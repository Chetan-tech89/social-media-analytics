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excel\"/>
    </mc:Choice>
  </mc:AlternateContent>
  <xr:revisionPtr revIDLastSave="0" documentId="13_ncr:1_{9F5673F3-15E6-4047-8F47-2B95D51AB7AB}" xr6:coauthVersionLast="47" xr6:coauthVersionMax="47" xr10:uidLastSave="{00000000-0000-0000-0000-000000000000}"/>
  <bookViews>
    <workbookView xWindow="-120" yWindow="-120" windowWidth="20730" windowHeight="11040" firstSheet="3" activeTab="9" xr2:uid="{00000000-000D-0000-FFFF-FFFF00000000}"/>
  </bookViews>
  <sheets>
    <sheet name="Sheet1" sheetId="11" r:id="rId1"/>
    <sheet name="Sheet4" sheetId="5" r:id="rId2"/>
    <sheet name="count of sentiment" sheetId="9" r:id="rId3"/>
    <sheet name="Sheet7" sheetId="15" r:id="rId4"/>
    <sheet name="Sheet12" sheetId="20" r:id="rId5"/>
    <sheet name="Sheet14" sheetId="22" r:id="rId6"/>
    <sheet name="Sheet15" sheetId="23" r:id="rId7"/>
    <sheet name="Sheet16" sheetId="24" r:id="rId8"/>
    <sheet name="Social Media Analytics" sheetId="1" r:id="rId9"/>
    <sheet name="dashboard" sheetId="10" r:id="rId10"/>
  </sheets>
  <definedNames>
    <definedName name="_xlnm._FilterDatabase" localSheetId="8" hidden="1">'Social Media Analytics'!$A$1:$P$3001</definedName>
    <definedName name="Slicer_Platform">#N/A</definedName>
  </definedNames>
  <calcPr calcId="181029"/>
  <pivotCaches>
    <pivotCache cacheId="1" r:id="rId11"/>
    <pivotCache cacheId="2"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001" i="1" l="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B13" i="11"/>
  <c r="B12" i="11"/>
  <c r="B11" i="11"/>
  <c r="B10" i="11"/>
  <c r="B9" i="11"/>
  <c r="B8" i="11"/>
  <c r="B7" i="11"/>
  <c r="B11" i="24"/>
  <c r="B9" i="24"/>
  <c r="B7" i="24"/>
  <c r="B10" i="24"/>
  <c r="B8" i="24"/>
  <c r="B6" i="24"/>
</calcChain>
</file>

<file path=xl/sharedStrings.xml><?xml version="1.0" encoding="utf-8"?>
<sst xmlns="http://schemas.openxmlformats.org/spreadsheetml/2006/main" count="22638" uniqueCount="6096">
  <si>
    <t>Post ID</t>
  </si>
  <si>
    <t>Timestamp</t>
  </si>
  <si>
    <t>Platform</t>
  </si>
  <si>
    <t>Account / Creator</t>
  </si>
  <si>
    <t>Content Category</t>
  </si>
  <si>
    <t>Post Type</t>
  </si>
  <si>
    <t>Follower Count</t>
  </si>
  <si>
    <t>Impressions</t>
  </si>
  <si>
    <t>Reach</t>
  </si>
  <si>
    <t>Likes</t>
  </si>
  <si>
    <t>Comments</t>
  </si>
  <si>
    <t>Shares / Retweets</t>
  </si>
  <si>
    <t>Saves / Bookmarks</t>
  </si>
  <si>
    <t>Clicks</t>
  </si>
  <si>
    <t>Engagement Rate (%)</t>
  </si>
  <si>
    <t>Sentiment</t>
  </si>
  <si>
    <t>POST-10001</t>
  </si>
  <si>
    <t>2026-06-13 11:01:47</t>
  </si>
  <si>
    <t>TikTok</t>
  </si>
  <si>
    <t>@quick_bytes</t>
  </si>
  <si>
    <t>Business &amp; Finance</t>
  </si>
  <si>
    <t>Short Video</t>
  </si>
  <si>
    <t>Positive</t>
  </si>
  <si>
    <t>POST-10002</t>
  </si>
  <si>
    <t>2026-06-17 06:34:26</t>
  </si>
  <si>
    <t>LinkedIn</t>
  </si>
  <si>
    <t>Career Mobility</t>
  </si>
  <si>
    <t>Entertainment &amp; Humor</t>
  </si>
  <si>
    <t>Text Only</t>
  </si>
  <si>
    <t>Neutral</t>
  </si>
  <si>
    <t>POST-10003</t>
  </si>
  <si>
    <t>2026-06-04 16:51:02</t>
  </si>
  <si>
    <t>X (Twitter)</t>
  </si>
  <si>
    <t>@crypto_pulse</t>
  </si>
  <si>
    <t>Tech &amp; AI</t>
  </si>
  <si>
    <t>Video Tweet</t>
  </si>
  <si>
    <t>POST-10004</t>
  </si>
  <si>
    <t>2026-01-21 15:55:06</t>
  </si>
  <si>
    <t>@ai_innovator</t>
  </si>
  <si>
    <t>Education &amp; How-To</t>
  </si>
  <si>
    <t>Image Tweet</t>
  </si>
  <si>
    <t>POST-10005</t>
  </si>
  <si>
    <t>2026-04-08 16:59:40</t>
  </si>
  <si>
    <t>YouTube</t>
  </si>
  <si>
    <t>Daily Digest</t>
  </si>
  <si>
    <t>Design &amp; Creative</t>
  </si>
  <si>
    <t>Long Video</t>
  </si>
  <si>
    <t>POST-10006</t>
  </si>
  <si>
    <t>2026-06-17 23:25:56</t>
  </si>
  <si>
    <t>@market_watch</t>
  </si>
  <si>
    <t>Lifestyle &amp; Wellness</t>
  </si>
  <si>
    <t>Thread</t>
  </si>
  <si>
    <t>POST-10007</t>
  </si>
  <si>
    <t>2026-01-13 11:09:40</t>
  </si>
  <si>
    <t>Text + Image</t>
  </si>
  <si>
    <t>POST-10008</t>
  </si>
  <si>
    <t>2026-07-17 04:21:07</t>
  </si>
  <si>
    <t>@future_tech</t>
  </si>
  <si>
    <t>Duet / Stitch</t>
  </si>
  <si>
    <t>POST-10009</t>
  </si>
  <si>
    <t>2026-02-20 12:23:48</t>
  </si>
  <si>
    <t>Data Science Today</t>
  </si>
  <si>
    <t>POST-10010</t>
  </si>
  <si>
    <t>2026-05-05 10:48:34</t>
  </si>
  <si>
    <t>Global Marketing Insights</t>
  </si>
  <si>
    <t>Video</t>
  </si>
  <si>
    <t>Negative</t>
  </si>
  <si>
    <t>POST-10011</t>
  </si>
  <si>
    <t>2026-06-16 19:28:57</t>
  </si>
  <si>
    <t>Digital Mastery</t>
  </si>
  <si>
    <t>Shorts</t>
  </si>
  <si>
    <t>POST-10012</t>
  </si>
  <si>
    <t>2026-03-26 10:32:15</t>
  </si>
  <si>
    <t>Live Stream Clip</t>
  </si>
  <si>
    <t>POST-10013</t>
  </si>
  <si>
    <t>2026-05-01 07:03:43</t>
  </si>
  <si>
    <t>Instagram</t>
  </si>
  <si>
    <t>@tech_insider</t>
  </si>
  <si>
    <t>Single Image</t>
  </si>
  <si>
    <t>POST-10014</t>
  </si>
  <si>
    <t>2026-08-09 01:06:03</t>
  </si>
  <si>
    <t>Tech Vision</t>
  </si>
  <si>
    <t>POST-10015</t>
  </si>
  <si>
    <t>2026-06-29 07:50:35</t>
  </si>
  <si>
    <t>POST-10016</t>
  </si>
  <si>
    <t>2026-01-21 13:04:38</t>
  </si>
  <si>
    <t>@lifestyle_daily</t>
  </si>
  <si>
    <t>Reel</t>
  </si>
  <si>
    <t>POST-10017</t>
  </si>
  <si>
    <t>2026-03-09 20:08:42</t>
  </si>
  <si>
    <t>POST-10018</t>
  </si>
  <si>
    <t>2026-02-10 22:53:34</t>
  </si>
  <si>
    <t>@life_hacks_101</t>
  </si>
  <si>
    <t>POST-10019</t>
  </si>
  <si>
    <t>2026-02-24 06:21:13</t>
  </si>
  <si>
    <t>POST-10020</t>
  </si>
  <si>
    <t>2026-05-24 08:07:04</t>
  </si>
  <si>
    <t>POST-10021</t>
  </si>
  <si>
    <t>2026-01-27 19:49:35</t>
  </si>
  <si>
    <t>POST-10022</t>
  </si>
  <si>
    <t>2026-08-11 07:51:15</t>
  </si>
  <si>
    <t>POST-10023</t>
  </si>
  <si>
    <t>2026-04-13 18:17:55</t>
  </si>
  <si>
    <t>@growth_hacks</t>
  </si>
  <si>
    <t>Story</t>
  </si>
  <si>
    <t>POST-10024</t>
  </si>
  <si>
    <t>2026-07-06 18:27:38</t>
  </si>
  <si>
    <t>Community Post</t>
  </si>
  <si>
    <t>POST-10025</t>
  </si>
  <si>
    <t>2026-01-19 05:58:21</t>
  </si>
  <si>
    <t>Code &amp; Build</t>
  </si>
  <si>
    <t>POST-10026</t>
  </si>
  <si>
    <t>2026-07-11 13:39:36</t>
  </si>
  <si>
    <t>POST-10027</t>
  </si>
  <si>
    <t>2026-07-08 13:42:05</t>
  </si>
  <si>
    <t>POST-10028</t>
  </si>
  <si>
    <t>2026-07-16 10:29:26</t>
  </si>
  <si>
    <t>POST-10029</t>
  </si>
  <si>
    <t>2026-06-29 00:29:03</t>
  </si>
  <si>
    <t>POST-10030</t>
  </si>
  <si>
    <t>2026-05-21 22:57:10</t>
  </si>
  <si>
    <t>@saas_guru</t>
  </si>
  <si>
    <t>POST-10031</t>
  </si>
  <si>
    <t>2026-01-21 12:09:14</t>
  </si>
  <si>
    <t>POST-10032</t>
  </si>
  <si>
    <t>2026-08-15 02:24:30</t>
  </si>
  <si>
    <t>POST-10033</t>
  </si>
  <si>
    <t>2026-04-15 07:10:53</t>
  </si>
  <si>
    <t>Tweet</t>
  </si>
  <si>
    <t>POST-10034</t>
  </si>
  <si>
    <t>2026-03-28 20:17:48</t>
  </si>
  <si>
    <t>POST-10035</t>
  </si>
  <si>
    <t>2026-01-07 03:09:15</t>
  </si>
  <si>
    <t>POST-10036</t>
  </si>
  <si>
    <t>2026-01-29 02:01:59</t>
  </si>
  <si>
    <t>POST-10037</t>
  </si>
  <si>
    <t>2026-05-25 09:22:34</t>
  </si>
  <si>
    <t>POST-10038</t>
  </si>
  <si>
    <t>2026-06-16 16:39:51</t>
  </si>
  <si>
    <t>POST-10039</t>
  </si>
  <si>
    <t>2026-03-28 08:31:54</t>
  </si>
  <si>
    <t>POST-10040</t>
  </si>
  <si>
    <t>2026-07-14 15:44:30</t>
  </si>
  <si>
    <t>POST-10041</t>
  </si>
  <si>
    <t>2026-04-27 16:19:16</t>
  </si>
  <si>
    <t>Tech Pulse Inc.</t>
  </si>
  <si>
    <t>Document / PDF</t>
  </si>
  <si>
    <t>POST-10042</t>
  </si>
  <si>
    <t>2026-01-26 14:18:14</t>
  </si>
  <si>
    <t>POST-10043</t>
  </si>
  <si>
    <t>2026-05-01 23:28:21</t>
  </si>
  <si>
    <t>POST-10044</t>
  </si>
  <si>
    <t>2026-05-23 21:38:38</t>
  </si>
  <si>
    <t>POST-10045</t>
  </si>
  <si>
    <t>2026-06-10 14:16:42</t>
  </si>
  <si>
    <t>Carousel</t>
  </si>
  <si>
    <t>POST-10046</t>
  </si>
  <si>
    <t>2026-03-01 16:50:50</t>
  </si>
  <si>
    <t>POST-10047</t>
  </si>
  <si>
    <t>2026-04-23 11:29:44</t>
  </si>
  <si>
    <t>POST-10048</t>
  </si>
  <si>
    <t>2026-05-31 08:48:43</t>
  </si>
  <si>
    <t>POST-10049</t>
  </si>
  <si>
    <t>2026-06-21 11:54:10</t>
  </si>
  <si>
    <t>POST-10050</t>
  </si>
  <si>
    <t>2026-01-02 05:55:34</t>
  </si>
  <si>
    <t>POST-10051</t>
  </si>
  <si>
    <t>2026-02-01 08:40:38</t>
  </si>
  <si>
    <t>POST-10052</t>
  </si>
  <si>
    <t>2026-08-02 23:30:15</t>
  </si>
  <si>
    <t>POST-10053</t>
  </si>
  <si>
    <t>2026-03-15 07:19:53</t>
  </si>
  <si>
    <t>Studio Underground</t>
  </si>
  <si>
    <t>POST-10054</t>
  </si>
  <si>
    <t>2026-04-09 15:54:49</t>
  </si>
  <si>
    <t>@tech_cruncher</t>
  </si>
  <si>
    <t>POST-10055</t>
  </si>
  <si>
    <t>2026-08-11 11:55:54</t>
  </si>
  <si>
    <t>POST-10056</t>
  </si>
  <si>
    <t>2026-08-07 18:54:43</t>
  </si>
  <si>
    <t>POST-10057</t>
  </si>
  <si>
    <t>2026-01-27 04:45:55</t>
  </si>
  <si>
    <t>@design_hub</t>
  </si>
  <si>
    <t>POST-10058</t>
  </si>
  <si>
    <t>2026-06-06 20:39:43</t>
  </si>
  <si>
    <t>POST-10059</t>
  </si>
  <si>
    <t>2026-05-31 17:40:27</t>
  </si>
  <si>
    <t>POST-10060</t>
  </si>
  <si>
    <t>2026-05-26 05:49:47</t>
  </si>
  <si>
    <t>@fitness_edge</t>
  </si>
  <si>
    <t>POST-10061</t>
  </si>
  <si>
    <t>2026-06-10 11:57:40</t>
  </si>
  <si>
    <t>POST-10062</t>
  </si>
  <si>
    <t>2026-03-11 13:16:58</t>
  </si>
  <si>
    <t>POST-10063</t>
  </si>
  <si>
    <t>2026-04-04 10:50:25</t>
  </si>
  <si>
    <t>POST-10064</t>
  </si>
  <si>
    <t>2026-05-24 18:58:39</t>
  </si>
  <si>
    <t>POST-10065</t>
  </si>
  <si>
    <t>2026-04-06 05:47:44</t>
  </si>
  <si>
    <t>POST-10066</t>
  </si>
  <si>
    <t>2026-03-02 19:06:43</t>
  </si>
  <si>
    <t>POST-10067</t>
  </si>
  <si>
    <t>2026-03-27 15:08:50</t>
  </si>
  <si>
    <t>POST-10068</t>
  </si>
  <si>
    <t>2026-07-24 13:07:42</t>
  </si>
  <si>
    <t>POST-10069</t>
  </si>
  <si>
    <t>2026-05-13 02:06:28</t>
  </si>
  <si>
    <t>POST-10070</t>
  </si>
  <si>
    <t>2026-07-02 22:04:57</t>
  </si>
  <si>
    <t>POST-10071</t>
  </si>
  <si>
    <t>2026-06-29 11:54:41</t>
  </si>
  <si>
    <t>POST-10072</t>
  </si>
  <si>
    <t>2026-05-02 10:05:53</t>
  </si>
  <si>
    <t>POST-10073</t>
  </si>
  <si>
    <t>2026-04-20 07:03:18</t>
  </si>
  <si>
    <t>POST-10074</t>
  </si>
  <si>
    <t>2026-04-21 01:49:52</t>
  </si>
  <si>
    <t>POST-10075</t>
  </si>
  <si>
    <t>2026-02-07 02:42:25</t>
  </si>
  <si>
    <t>POST-10076</t>
  </si>
  <si>
    <t>2026-02-09 13:48:39</t>
  </si>
  <si>
    <t>POST-10077</t>
  </si>
  <si>
    <t>2026-06-20 17:02:14</t>
  </si>
  <si>
    <t>POST-10078</t>
  </si>
  <si>
    <t>2026-06-30 15:32:35</t>
  </si>
  <si>
    <t>@trend_wave</t>
  </si>
  <si>
    <t>POST-10079</t>
  </si>
  <si>
    <t>2026-03-25 13:51:39</t>
  </si>
  <si>
    <t>POST-10080</t>
  </si>
  <si>
    <t>2026-01-31 00:32:12</t>
  </si>
  <si>
    <t>@creative_labs</t>
  </si>
  <si>
    <t>POST-10081</t>
  </si>
  <si>
    <t>2026-05-26 02:28:43</t>
  </si>
  <si>
    <t>POST-10082</t>
  </si>
  <si>
    <t>2026-01-15 19:53:18</t>
  </si>
  <si>
    <t>POST-10083</t>
  </si>
  <si>
    <t>2026-01-16 22:06:51</t>
  </si>
  <si>
    <t>POST-10084</t>
  </si>
  <si>
    <t>2026-01-15 04:41:21</t>
  </si>
  <si>
    <t>POST-10085</t>
  </si>
  <si>
    <t>2026-04-11 12:38:45</t>
  </si>
  <si>
    <t>POST-10086</t>
  </si>
  <si>
    <t>2026-01-05 19:19:11</t>
  </si>
  <si>
    <t>Startup Founders Network</t>
  </si>
  <si>
    <t>POST-10087</t>
  </si>
  <si>
    <t>2026-07-17 03:08:38</t>
  </si>
  <si>
    <t>POST-10088</t>
  </si>
  <si>
    <t>2026-07-20 22:14:34</t>
  </si>
  <si>
    <t>POST-10089</t>
  </si>
  <si>
    <t>2026-02-05 16:03:41</t>
  </si>
  <si>
    <t>POST-10090</t>
  </si>
  <si>
    <t>2026-07-29 22:56:22</t>
  </si>
  <si>
    <t>POST-10091</t>
  </si>
  <si>
    <t>2026-03-15 23:44:53</t>
  </si>
  <si>
    <t>POST-10092</t>
  </si>
  <si>
    <t>2026-04-19 04:50:39</t>
  </si>
  <si>
    <t>POST-10093</t>
  </si>
  <si>
    <t>2026-06-21 10:33:23</t>
  </si>
  <si>
    <t>POST-10094</t>
  </si>
  <si>
    <t>2026-07-18 02:47:48</t>
  </si>
  <si>
    <t>POST-10095</t>
  </si>
  <si>
    <t>2026-04-28 09:18:12</t>
  </si>
  <si>
    <t>POST-10096</t>
  </si>
  <si>
    <t>2026-03-11 11:51:23</t>
  </si>
  <si>
    <t>POST-10097</t>
  </si>
  <si>
    <t>2026-07-30 13:34:18</t>
  </si>
  <si>
    <t>POST-10098</t>
  </si>
  <si>
    <t>2026-03-13 04:50:03</t>
  </si>
  <si>
    <t>POST-10099</t>
  </si>
  <si>
    <t>2026-02-10 05:28:23</t>
  </si>
  <si>
    <t>POST-10100</t>
  </si>
  <si>
    <t>2026-07-18 16:45:28</t>
  </si>
  <si>
    <t>POST-10101</t>
  </si>
  <si>
    <t>2026-07-01 10:35:34</t>
  </si>
  <si>
    <t>POST-10102</t>
  </si>
  <si>
    <t>2026-05-27 19:29:51</t>
  </si>
  <si>
    <t>POST-10103</t>
  </si>
  <si>
    <t>2026-04-26 22:43:33</t>
  </si>
  <si>
    <t>POST-10104</t>
  </si>
  <si>
    <t>2026-02-27 19:33:57</t>
  </si>
  <si>
    <t>POST-10105</t>
  </si>
  <si>
    <t>2026-07-05 03:21:53</t>
  </si>
  <si>
    <t>POST-10106</t>
  </si>
  <si>
    <t>2026-06-14 17:30:15</t>
  </si>
  <si>
    <t>POST-10107</t>
  </si>
  <si>
    <t>2026-04-13 12:48:23</t>
  </si>
  <si>
    <t>POST-10108</t>
  </si>
  <si>
    <t>2026-02-10 18:59:36</t>
  </si>
  <si>
    <t>POST-10109</t>
  </si>
  <si>
    <t>2026-05-08 03:56:53</t>
  </si>
  <si>
    <t>POST-10110</t>
  </si>
  <si>
    <t>2026-01-19 20:32:28</t>
  </si>
  <si>
    <t>POST-10111</t>
  </si>
  <si>
    <t>2026-05-09 09:02:02</t>
  </si>
  <si>
    <t>POST-10112</t>
  </si>
  <si>
    <t>2026-05-12 01:31:45</t>
  </si>
  <si>
    <t>POST-10113</t>
  </si>
  <si>
    <t>2026-06-18 02:36:14</t>
  </si>
  <si>
    <t>POST-10114</t>
  </si>
  <si>
    <t>2026-02-08 21:44:13</t>
  </si>
  <si>
    <t>POST-10115</t>
  </si>
  <si>
    <t>2026-05-17 18:34:22</t>
  </si>
  <si>
    <t>POST-10116</t>
  </si>
  <si>
    <t>2026-07-04 16:18:07</t>
  </si>
  <si>
    <t>POST-10117</t>
  </si>
  <si>
    <t>2026-02-22 01:17:59</t>
  </si>
  <si>
    <t>POST-10118</t>
  </si>
  <si>
    <t>2026-06-24 12:00:35</t>
  </si>
  <si>
    <t>POST-10119</t>
  </si>
  <si>
    <t>2026-01-10 13:26:56</t>
  </si>
  <si>
    <t>POST-10120</t>
  </si>
  <si>
    <t>2026-05-21 00:31:56</t>
  </si>
  <si>
    <t>POST-10121</t>
  </si>
  <si>
    <t>2026-02-15 03:54:40</t>
  </si>
  <si>
    <t>POST-10122</t>
  </si>
  <si>
    <t>2026-03-20 02:46:36</t>
  </si>
  <si>
    <t>POST-10123</t>
  </si>
  <si>
    <t>2026-03-17 19:39:14</t>
  </si>
  <si>
    <t>POST-10124</t>
  </si>
  <si>
    <t>2026-06-02 10:33:28</t>
  </si>
  <si>
    <t>POST-10125</t>
  </si>
  <si>
    <t>2026-05-30 23:05:57</t>
  </si>
  <si>
    <t>POST-10126</t>
  </si>
  <si>
    <t>2026-05-29 10:02:27</t>
  </si>
  <si>
    <t>POST-10127</t>
  </si>
  <si>
    <t>2026-04-08 22:55:58</t>
  </si>
  <si>
    <t>POST-10128</t>
  </si>
  <si>
    <t>2026-06-23 07:34:27</t>
  </si>
  <si>
    <t>POST-10129</t>
  </si>
  <si>
    <t>2026-06-02 09:28:38</t>
  </si>
  <si>
    <t>POST-10130</t>
  </si>
  <si>
    <t>2026-06-04 05:52:20</t>
  </si>
  <si>
    <t>POST-10131</t>
  </si>
  <si>
    <t>2026-06-21 20:50:33</t>
  </si>
  <si>
    <t>POST-10132</t>
  </si>
  <si>
    <t>2026-04-18 01:33:08</t>
  </si>
  <si>
    <t>POST-10133</t>
  </si>
  <si>
    <t>2026-01-19 14:51:48</t>
  </si>
  <si>
    <t>POST-10134</t>
  </si>
  <si>
    <t>2026-06-05 06:13:25</t>
  </si>
  <si>
    <t>POST-10135</t>
  </si>
  <si>
    <t>2026-02-22 19:20:26</t>
  </si>
  <si>
    <t>POST-10136</t>
  </si>
  <si>
    <t>2026-06-25 18:16:48</t>
  </si>
  <si>
    <t>POST-10137</t>
  </si>
  <si>
    <t>2026-01-21 05:03:48</t>
  </si>
  <si>
    <t>POST-10138</t>
  </si>
  <si>
    <t>2026-05-18 01:26:00</t>
  </si>
  <si>
    <t>POST-10139</t>
  </si>
  <si>
    <t>2026-06-09 00:16:52</t>
  </si>
  <si>
    <t>POST-10140</t>
  </si>
  <si>
    <t>2026-01-24 20:24:24</t>
  </si>
  <si>
    <t>POST-10141</t>
  </si>
  <si>
    <t>2026-08-20 06:56:36</t>
  </si>
  <si>
    <t>POST-10142</t>
  </si>
  <si>
    <t>2026-07-02 20:59:04</t>
  </si>
  <si>
    <t>POST-10143</t>
  </si>
  <si>
    <t>2026-01-14 11:27:14</t>
  </si>
  <si>
    <t>POST-10144</t>
  </si>
  <si>
    <t>2026-01-23 03:18:51</t>
  </si>
  <si>
    <t>POST-10145</t>
  </si>
  <si>
    <t>2026-02-03 10:11:27</t>
  </si>
  <si>
    <t>POST-10146</t>
  </si>
  <si>
    <t>2026-08-20 01:57:15</t>
  </si>
  <si>
    <t>POST-10147</t>
  </si>
  <si>
    <t>2026-03-06 07:40:31</t>
  </si>
  <si>
    <t>POST-10148</t>
  </si>
  <si>
    <t>2026-06-17 03:08:19</t>
  </si>
  <si>
    <t>POST-10149</t>
  </si>
  <si>
    <t>2026-04-11 19:07:59</t>
  </si>
  <si>
    <t>POST-10150</t>
  </si>
  <si>
    <t>2026-07-23 21:43:31</t>
  </si>
  <si>
    <t>POST-10151</t>
  </si>
  <si>
    <t>2026-05-20 09:50:23</t>
  </si>
  <si>
    <t>POST-10152</t>
  </si>
  <si>
    <t>2026-07-23 21:06:00</t>
  </si>
  <si>
    <t>POST-10153</t>
  </si>
  <si>
    <t>2026-01-31 07:09:22</t>
  </si>
  <si>
    <t>POST-10154</t>
  </si>
  <si>
    <t>2026-01-29 05:51:10</t>
  </si>
  <si>
    <t>POST-10155</t>
  </si>
  <si>
    <t>2026-04-27 02:27:24</t>
  </si>
  <si>
    <t>POST-10156</t>
  </si>
  <si>
    <t>2026-05-17 04:20:38</t>
  </si>
  <si>
    <t>POST-10157</t>
  </si>
  <si>
    <t>2026-03-03 17:07:11</t>
  </si>
  <si>
    <t>POST-10158</t>
  </si>
  <si>
    <t>2026-02-05 13:20:53</t>
  </si>
  <si>
    <t>POST-10159</t>
  </si>
  <si>
    <t>2026-02-12 10:36:01</t>
  </si>
  <si>
    <t>POST-10160</t>
  </si>
  <si>
    <t>2026-04-05 01:52:48</t>
  </si>
  <si>
    <t>POST-10161</t>
  </si>
  <si>
    <t>2026-01-31 15:13:51</t>
  </si>
  <si>
    <t>POST-10162</t>
  </si>
  <si>
    <t>2026-06-30 17:18:36</t>
  </si>
  <si>
    <t>POST-10163</t>
  </si>
  <si>
    <t>2026-07-15 05:25:31</t>
  </si>
  <si>
    <t>POST-10164</t>
  </si>
  <si>
    <t>2026-05-05 18:37:00</t>
  </si>
  <si>
    <t>POST-10165</t>
  </si>
  <si>
    <t>2026-07-21 18:57:43</t>
  </si>
  <si>
    <t>POST-10166</t>
  </si>
  <si>
    <t>2026-08-12 16:05:41</t>
  </si>
  <si>
    <t>POST-10167</t>
  </si>
  <si>
    <t>2026-01-20 12:37:14</t>
  </si>
  <si>
    <t>POST-10168</t>
  </si>
  <si>
    <t>2026-03-18 12:24:49</t>
  </si>
  <si>
    <t>POST-10169</t>
  </si>
  <si>
    <t>2026-02-05 11:37:46</t>
  </si>
  <si>
    <t>POST-10170</t>
  </si>
  <si>
    <t>2026-08-13 17:13:33</t>
  </si>
  <si>
    <t>POST-10171</t>
  </si>
  <si>
    <t>2026-01-04 19:59:20</t>
  </si>
  <si>
    <t>POST-10172</t>
  </si>
  <si>
    <t>2026-07-22 20:32:18</t>
  </si>
  <si>
    <t>POST-10173</t>
  </si>
  <si>
    <t>2026-06-13 04:43:41</t>
  </si>
  <si>
    <t>POST-10174</t>
  </si>
  <si>
    <t>2026-01-31 08:45:08</t>
  </si>
  <si>
    <t>POST-10175</t>
  </si>
  <si>
    <t>2026-07-26 21:17:33</t>
  </si>
  <si>
    <t>POST-10176</t>
  </si>
  <si>
    <t>2026-07-10 00:00:02</t>
  </si>
  <si>
    <t>POST-10177</t>
  </si>
  <si>
    <t>2026-03-11 10:36:23</t>
  </si>
  <si>
    <t>POST-10178</t>
  </si>
  <si>
    <t>2026-01-03 19:12:18</t>
  </si>
  <si>
    <t>POST-10179</t>
  </si>
  <si>
    <t>2026-04-15 08:14:34</t>
  </si>
  <si>
    <t>POST-10180</t>
  </si>
  <si>
    <t>2026-03-13 10:02:58</t>
  </si>
  <si>
    <t>POST-10181</t>
  </si>
  <si>
    <t>2026-03-16 16:54:20</t>
  </si>
  <si>
    <t>POST-10182</t>
  </si>
  <si>
    <t>2026-04-02 14:28:19</t>
  </si>
  <si>
    <t>POST-10183</t>
  </si>
  <si>
    <t>2026-04-13 00:03:43</t>
  </si>
  <si>
    <t>POST-10184</t>
  </si>
  <si>
    <t>2026-02-03 14:52:25</t>
  </si>
  <si>
    <t>POST-10185</t>
  </si>
  <si>
    <t>2026-04-29 09:10:59</t>
  </si>
  <si>
    <t>POST-10186</t>
  </si>
  <si>
    <t>2026-03-05 04:18:31</t>
  </si>
  <si>
    <t>POST-10187</t>
  </si>
  <si>
    <t>2026-07-21 06:22:30</t>
  </si>
  <si>
    <t>POST-10188</t>
  </si>
  <si>
    <t>2026-04-03 02:14:10</t>
  </si>
  <si>
    <t>POST-10189</t>
  </si>
  <si>
    <t>2026-08-05 13:11:15</t>
  </si>
  <si>
    <t>POST-10190</t>
  </si>
  <si>
    <t>2026-01-10 10:03:14</t>
  </si>
  <si>
    <t>POST-10191</t>
  </si>
  <si>
    <t>2026-06-30 12:49:07</t>
  </si>
  <si>
    <t>POST-10192</t>
  </si>
  <si>
    <t>2026-06-16 18:11:45</t>
  </si>
  <si>
    <t>POST-10193</t>
  </si>
  <si>
    <t>2026-07-18 02:02:11</t>
  </si>
  <si>
    <t>POST-10194</t>
  </si>
  <si>
    <t>2026-07-02 05:40:46</t>
  </si>
  <si>
    <t>POST-10195</t>
  </si>
  <si>
    <t>2026-08-14 20:22:34</t>
  </si>
  <si>
    <t>POST-10196</t>
  </si>
  <si>
    <t>2026-01-21 01:57:05</t>
  </si>
  <si>
    <t>POST-10197</t>
  </si>
  <si>
    <t>2026-07-07 01:16:42</t>
  </si>
  <si>
    <t>POST-10198</t>
  </si>
  <si>
    <t>2026-01-07 14:10:40</t>
  </si>
  <si>
    <t>POST-10199</t>
  </si>
  <si>
    <t>2026-04-23 22:16:14</t>
  </si>
  <si>
    <t>POST-10200</t>
  </si>
  <si>
    <t>2026-04-19 01:43:55</t>
  </si>
  <si>
    <t>POST-10201</t>
  </si>
  <si>
    <t>2026-04-25 13:10:13</t>
  </si>
  <si>
    <t>POST-10202</t>
  </si>
  <si>
    <t>2026-04-13 01:20:54</t>
  </si>
  <si>
    <t>POST-10203</t>
  </si>
  <si>
    <t>2026-05-25 11:50:18</t>
  </si>
  <si>
    <t>POST-10204</t>
  </si>
  <si>
    <t>2026-08-14 18:44:15</t>
  </si>
  <si>
    <t>POST-10205</t>
  </si>
  <si>
    <t>2026-04-24 18:17:46</t>
  </si>
  <si>
    <t>POST-10206</t>
  </si>
  <si>
    <t>2026-07-02 00:25:08</t>
  </si>
  <si>
    <t>POST-10207</t>
  </si>
  <si>
    <t>2026-04-13 04:59:07</t>
  </si>
  <si>
    <t>POST-10208</t>
  </si>
  <si>
    <t>2026-04-09 09:10:54</t>
  </si>
  <si>
    <t>POST-10209</t>
  </si>
  <si>
    <t>2026-06-03 08:14:16</t>
  </si>
  <si>
    <t>POST-10210</t>
  </si>
  <si>
    <t>2026-05-12 05:53:53</t>
  </si>
  <si>
    <t>POST-10211</t>
  </si>
  <si>
    <t>2026-03-18 14:09:33</t>
  </si>
  <si>
    <t>POST-10212</t>
  </si>
  <si>
    <t>2026-05-27 14:21:46</t>
  </si>
  <si>
    <t>POST-10213</t>
  </si>
  <si>
    <t>2026-07-15 13:43:57</t>
  </si>
  <si>
    <t>POST-10214</t>
  </si>
  <si>
    <t>2026-05-30 03:04:30</t>
  </si>
  <si>
    <t>POST-10215</t>
  </si>
  <si>
    <t>2026-07-03 13:49:05</t>
  </si>
  <si>
    <t>POST-10216</t>
  </si>
  <si>
    <t>2026-06-07 21:40:27</t>
  </si>
  <si>
    <t>POST-10217</t>
  </si>
  <si>
    <t>2026-03-05 15:44:56</t>
  </si>
  <si>
    <t>POST-10218</t>
  </si>
  <si>
    <t>2026-02-04 18:57:31</t>
  </si>
  <si>
    <t>POST-10219</t>
  </si>
  <si>
    <t>2026-06-13 16:49:34</t>
  </si>
  <si>
    <t>POST-10220</t>
  </si>
  <si>
    <t>2026-06-26 04:00:19</t>
  </si>
  <si>
    <t>POST-10221</t>
  </si>
  <si>
    <t>2026-02-21 16:53:33</t>
  </si>
  <si>
    <t>POST-10222</t>
  </si>
  <si>
    <t>2026-05-07 12:05:49</t>
  </si>
  <si>
    <t>POST-10223</t>
  </si>
  <si>
    <t>2026-04-04 05:20:27</t>
  </si>
  <si>
    <t>POST-10224</t>
  </si>
  <si>
    <t>2026-04-13 22:17:53</t>
  </si>
  <si>
    <t>POST-10225</t>
  </si>
  <si>
    <t>2026-04-03 03:01:55</t>
  </si>
  <si>
    <t>POST-10226</t>
  </si>
  <si>
    <t>2026-06-21 18:33:33</t>
  </si>
  <si>
    <t>POST-10227</t>
  </si>
  <si>
    <t>2026-02-11 00:54:30</t>
  </si>
  <si>
    <t>POST-10228</t>
  </si>
  <si>
    <t>2026-04-25 10:54:31</t>
  </si>
  <si>
    <t>POST-10229</t>
  </si>
  <si>
    <t>2026-05-24 14:41:42</t>
  </si>
  <si>
    <t>POST-10230</t>
  </si>
  <si>
    <t>2026-01-01 18:22:53</t>
  </si>
  <si>
    <t>POST-10231</t>
  </si>
  <si>
    <t>2026-04-11 14:29:52</t>
  </si>
  <si>
    <t>POST-10232</t>
  </si>
  <si>
    <t>2026-07-08 09:35:59</t>
  </si>
  <si>
    <t>POST-10233</t>
  </si>
  <si>
    <t>2026-06-27 15:17:25</t>
  </si>
  <si>
    <t>POST-10234</t>
  </si>
  <si>
    <t>2026-02-24 03:45:18</t>
  </si>
  <si>
    <t>POST-10235</t>
  </si>
  <si>
    <t>2026-08-18 01:18:56</t>
  </si>
  <si>
    <t>POST-10236</t>
  </si>
  <si>
    <t>2026-07-20 17:13:48</t>
  </si>
  <si>
    <t>POST-10237</t>
  </si>
  <si>
    <t>2026-06-28 05:03:59</t>
  </si>
  <si>
    <t>POST-10238</t>
  </si>
  <si>
    <t>2026-07-14 02:34:47</t>
  </si>
  <si>
    <t>POST-10239</t>
  </si>
  <si>
    <t>2026-02-12 02:54:16</t>
  </si>
  <si>
    <t>POST-10240</t>
  </si>
  <si>
    <t>2026-07-01 18:33:14</t>
  </si>
  <si>
    <t>POST-10241</t>
  </si>
  <si>
    <t>2026-05-25 04:00:07</t>
  </si>
  <si>
    <t>POST-10242</t>
  </si>
  <si>
    <t>2026-05-13 19:32:51</t>
  </si>
  <si>
    <t>POST-10243</t>
  </si>
  <si>
    <t>2026-06-22 04:49:13</t>
  </si>
  <si>
    <t>POST-10244</t>
  </si>
  <si>
    <t>2026-01-20 02:52:14</t>
  </si>
  <si>
    <t>POST-10245</t>
  </si>
  <si>
    <t>2026-01-19 19:59:32</t>
  </si>
  <si>
    <t>POST-10246</t>
  </si>
  <si>
    <t>2026-08-07 01:18:40</t>
  </si>
  <si>
    <t>POST-10247</t>
  </si>
  <si>
    <t>2026-07-05 19:13:26</t>
  </si>
  <si>
    <t>POST-10248</t>
  </si>
  <si>
    <t>2026-03-17 05:04:16</t>
  </si>
  <si>
    <t>POST-10249</t>
  </si>
  <si>
    <t>2026-05-30 12:36:36</t>
  </si>
  <si>
    <t>POST-10250</t>
  </si>
  <si>
    <t>2026-04-02 17:31:35</t>
  </si>
  <si>
    <t>POST-10251</t>
  </si>
  <si>
    <t>2026-07-29 02:37:25</t>
  </si>
  <si>
    <t>POST-10252</t>
  </si>
  <si>
    <t>2026-04-30 00:32:05</t>
  </si>
  <si>
    <t>POST-10253</t>
  </si>
  <si>
    <t>2026-02-08 07:46:30</t>
  </si>
  <si>
    <t>POST-10254</t>
  </si>
  <si>
    <t>2026-06-16 18:06:45</t>
  </si>
  <si>
    <t>POST-10255</t>
  </si>
  <si>
    <t>2026-05-13 20:22:52</t>
  </si>
  <si>
    <t>POST-10256</t>
  </si>
  <si>
    <t>2026-06-19 15:26:51</t>
  </si>
  <si>
    <t>POST-10257</t>
  </si>
  <si>
    <t>2026-05-27 12:03:10</t>
  </si>
  <si>
    <t>POST-10258</t>
  </si>
  <si>
    <t>2026-02-26 21:38:09</t>
  </si>
  <si>
    <t>POST-10259</t>
  </si>
  <si>
    <t>2026-08-10 00:43:26</t>
  </si>
  <si>
    <t>POST-10260</t>
  </si>
  <si>
    <t>2026-07-19 05:41:27</t>
  </si>
  <si>
    <t>POST-10261</t>
  </si>
  <si>
    <t>2026-04-19 12:16:30</t>
  </si>
  <si>
    <t>POST-10262</t>
  </si>
  <si>
    <t>2026-01-28 12:27:41</t>
  </si>
  <si>
    <t>POST-10263</t>
  </si>
  <si>
    <t>2026-03-06 17:36:22</t>
  </si>
  <si>
    <t>POST-10264</t>
  </si>
  <si>
    <t>2026-02-11 20:40:00</t>
  </si>
  <si>
    <t>POST-10265</t>
  </si>
  <si>
    <t>2026-01-15 13:40:31</t>
  </si>
  <si>
    <t>POST-10266</t>
  </si>
  <si>
    <t>2026-03-12 20:22:42</t>
  </si>
  <si>
    <t>POST-10267</t>
  </si>
  <si>
    <t>2026-06-05 14:29:59</t>
  </si>
  <si>
    <t>POST-10268</t>
  </si>
  <si>
    <t>2026-05-28 16:44:28</t>
  </si>
  <si>
    <t>POST-10269</t>
  </si>
  <si>
    <t>2026-02-27 05:44:14</t>
  </si>
  <si>
    <t>POST-10270</t>
  </si>
  <si>
    <t>2026-02-26 02:17:11</t>
  </si>
  <si>
    <t>POST-10271</t>
  </si>
  <si>
    <t>2026-06-19 23:39:00</t>
  </si>
  <si>
    <t>POST-10272</t>
  </si>
  <si>
    <t>2026-02-02 09:33:51</t>
  </si>
  <si>
    <t>POST-10273</t>
  </si>
  <si>
    <t>2026-04-09 02:06:20</t>
  </si>
  <si>
    <t>POST-10274</t>
  </si>
  <si>
    <t>2026-04-26 13:36:08</t>
  </si>
  <si>
    <t>POST-10275</t>
  </si>
  <si>
    <t>2026-08-18 04:33:34</t>
  </si>
  <si>
    <t>POST-10276</t>
  </si>
  <si>
    <t>2026-04-03 19:35:35</t>
  </si>
  <si>
    <t>POST-10277</t>
  </si>
  <si>
    <t>2026-05-06 07:28:56</t>
  </si>
  <si>
    <t>POST-10278</t>
  </si>
  <si>
    <t>2026-03-29 15:20:20</t>
  </si>
  <si>
    <t>POST-10279</t>
  </si>
  <si>
    <t>2026-03-07 07:44:47</t>
  </si>
  <si>
    <t>POST-10280</t>
  </si>
  <si>
    <t>2026-06-17 20:19:14</t>
  </si>
  <si>
    <t>POST-10281</t>
  </si>
  <si>
    <t>2026-04-24 12:44:34</t>
  </si>
  <si>
    <t>POST-10282</t>
  </si>
  <si>
    <t>2026-04-04 21:16:09</t>
  </si>
  <si>
    <t>POST-10283</t>
  </si>
  <si>
    <t>2026-06-02 15:50:00</t>
  </si>
  <si>
    <t>POST-10284</t>
  </si>
  <si>
    <t>2026-07-25 03:51:44</t>
  </si>
  <si>
    <t>POST-10285</t>
  </si>
  <si>
    <t>2026-01-05 12:03:34</t>
  </si>
  <si>
    <t>POST-10286</t>
  </si>
  <si>
    <t>2026-04-30 06:50:02</t>
  </si>
  <si>
    <t>POST-10287</t>
  </si>
  <si>
    <t>2026-04-09 22:15:47</t>
  </si>
  <si>
    <t>POST-10288</t>
  </si>
  <si>
    <t>2026-03-06 23:40:19</t>
  </si>
  <si>
    <t>POST-10289</t>
  </si>
  <si>
    <t>2026-05-03 06:38:09</t>
  </si>
  <si>
    <t>POST-10290</t>
  </si>
  <si>
    <t>2026-05-24 04:48:22</t>
  </si>
  <si>
    <t>POST-10291</t>
  </si>
  <si>
    <t>2026-03-25 07:29:17</t>
  </si>
  <si>
    <t>POST-10292</t>
  </si>
  <si>
    <t>2026-08-08 19:49:39</t>
  </si>
  <si>
    <t>POST-10293</t>
  </si>
  <si>
    <t>2026-05-15 05:04:02</t>
  </si>
  <si>
    <t>POST-10294</t>
  </si>
  <si>
    <t>2026-07-03 10:00:59</t>
  </si>
  <si>
    <t>POST-10295</t>
  </si>
  <si>
    <t>2026-01-19 17:04:13</t>
  </si>
  <si>
    <t>POST-10296</t>
  </si>
  <si>
    <t>2026-06-14 02:22:43</t>
  </si>
  <si>
    <t>POST-10297</t>
  </si>
  <si>
    <t>2026-08-05 19:26:48</t>
  </si>
  <si>
    <t>POST-10298</t>
  </si>
  <si>
    <t>2026-03-15 03:01:33</t>
  </si>
  <si>
    <t>POST-10299</t>
  </si>
  <si>
    <t>2026-01-10 22:22:09</t>
  </si>
  <si>
    <t>POST-10300</t>
  </si>
  <si>
    <t>2026-06-27 06:36:52</t>
  </si>
  <si>
    <t>POST-10301</t>
  </si>
  <si>
    <t>2026-07-17 15:47:41</t>
  </si>
  <si>
    <t>POST-10302</t>
  </si>
  <si>
    <t>2026-04-26 03:36:32</t>
  </si>
  <si>
    <t>POST-10303</t>
  </si>
  <si>
    <t>2026-07-15 12:30:35</t>
  </si>
  <si>
    <t>POST-10304</t>
  </si>
  <si>
    <t>2026-04-04 19:12:20</t>
  </si>
  <si>
    <t>POST-10305</t>
  </si>
  <si>
    <t>2026-02-10 07:54:05</t>
  </si>
  <si>
    <t>POST-10306</t>
  </si>
  <si>
    <t>2026-05-21 23:39:46</t>
  </si>
  <si>
    <t>POST-10307</t>
  </si>
  <si>
    <t>2026-06-18 19:55:06</t>
  </si>
  <si>
    <t>POST-10308</t>
  </si>
  <si>
    <t>2026-07-02 08:02:15</t>
  </si>
  <si>
    <t>POST-10309</t>
  </si>
  <si>
    <t>2026-03-07 20:56:52</t>
  </si>
  <si>
    <t>POST-10310</t>
  </si>
  <si>
    <t>2026-02-09 21:19:58</t>
  </si>
  <si>
    <t>POST-10311</t>
  </si>
  <si>
    <t>2026-07-17 12:41:59</t>
  </si>
  <si>
    <t>POST-10312</t>
  </si>
  <si>
    <t>2026-07-11 04:59:47</t>
  </si>
  <si>
    <t>POST-10313</t>
  </si>
  <si>
    <t>2026-07-19 23:08:32</t>
  </si>
  <si>
    <t>POST-10314</t>
  </si>
  <si>
    <t>2026-02-27 07:42:12</t>
  </si>
  <si>
    <t>POST-10315</t>
  </si>
  <si>
    <t>2026-07-11 02:38:34</t>
  </si>
  <si>
    <t>POST-10316</t>
  </si>
  <si>
    <t>2026-02-18 17:28:25</t>
  </si>
  <si>
    <t>POST-10317</t>
  </si>
  <si>
    <t>2026-08-18 06:34:08</t>
  </si>
  <si>
    <t>POST-10318</t>
  </si>
  <si>
    <t>2026-07-04 07:07:05</t>
  </si>
  <si>
    <t>POST-10319</t>
  </si>
  <si>
    <t>2026-08-13 05:55:09</t>
  </si>
  <si>
    <t>POST-10320</t>
  </si>
  <si>
    <t>2026-05-08 23:34:51</t>
  </si>
  <si>
    <t>POST-10321</t>
  </si>
  <si>
    <t>2026-02-23 09:11:09</t>
  </si>
  <si>
    <t>POST-10322</t>
  </si>
  <si>
    <t>2026-06-30 03:36:50</t>
  </si>
  <si>
    <t>POST-10323</t>
  </si>
  <si>
    <t>2026-05-01 12:07:44</t>
  </si>
  <si>
    <t>POST-10324</t>
  </si>
  <si>
    <t>2026-06-30 17:27:38</t>
  </si>
  <si>
    <t>POST-10325</t>
  </si>
  <si>
    <t>2026-02-19 08:07:01</t>
  </si>
  <si>
    <t>POST-10326</t>
  </si>
  <si>
    <t>2026-01-18 17:19:32</t>
  </si>
  <si>
    <t>POST-10327</t>
  </si>
  <si>
    <t>2026-05-02 09:41:08</t>
  </si>
  <si>
    <t>POST-10328</t>
  </si>
  <si>
    <t>2026-01-05 14:36:43</t>
  </si>
  <si>
    <t>POST-10329</t>
  </si>
  <si>
    <t>2026-06-30 18:45:02</t>
  </si>
  <si>
    <t>POST-10330</t>
  </si>
  <si>
    <t>2026-01-07 23:57:32</t>
  </si>
  <si>
    <t>POST-10331</t>
  </si>
  <si>
    <t>2026-04-28 20:45:55</t>
  </si>
  <si>
    <t>POST-10332</t>
  </si>
  <si>
    <t>2026-03-22 04:57:13</t>
  </si>
  <si>
    <t>POST-10333</t>
  </si>
  <si>
    <t>2026-04-01 01:20:17</t>
  </si>
  <si>
    <t>POST-10334</t>
  </si>
  <si>
    <t>2026-04-11 13:45:38</t>
  </si>
  <si>
    <t>POST-10335</t>
  </si>
  <si>
    <t>2026-07-26 06:29:06</t>
  </si>
  <si>
    <t>POST-10336</t>
  </si>
  <si>
    <t>2026-04-27 23:01:04</t>
  </si>
  <si>
    <t>POST-10337</t>
  </si>
  <si>
    <t>2026-01-19 17:34:29</t>
  </si>
  <si>
    <t>POST-10338</t>
  </si>
  <si>
    <t>2026-03-30 01:44:15</t>
  </si>
  <si>
    <t>POST-10339</t>
  </si>
  <si>
    <t>2026-07-29 20:20:31</t>
  </si>
  <si>
    <t>POST-10340</t>
  </si>
  <si>
    <t>2026-08-13 18:19:36</t>
  </si>
  <si>
    <t>POST-10341</t>
  </si>
  <si>
    <t>2026-07-30 19:07:55</t>
  </si>
  <si>
    <t>POST-10342</t>
  </si>
  <si>
    <t>2026-04-03 21:09:18</t>
  </si>
  <si>
    <t>POST-10343</t>
  </si>
  <si>
    <t>2026-06-29 03:59:27</t>
  </si>
  <si>
    <t>POST-10344</t>
  </si>
  <si>
    <t>2026-04-17 01:36:23</t>
  </si>
  <si>
    <t>POST-10345</t>
  </si>
  <si>
    <t>2026-05-15 03:05:15</t>
  </si>
  <si>
    <t>POST-10346</t>
  </si>
  <si>
    <t>2026-07-24 17:18:10</t>
  </si>
  <si>
    <t>POST-10347</t>
  </si>
  <si>
    <t>2026-01-22 12:32:04</t>
  </si>
  <si>
    <t>POST-10348</t>
  </si>
  <si>
    <t>2026-06-29 15:31:11</t>
  </si>
  <si>
    <t>POST-10349</t>
  </si>
  <si>
    <t>2026-07-07 19:03:41</t>
  </si>
  <si>
    <t>POST-10350</t>
  </si>
  <si>
    <t>2026-04-22 08:18:59</t>
  </si>
  <si>
    <t>POST-10351</t>
  </si>
  <si>
    <t>2026-01-26 16:41:37</t>
  </si>
  <si>
    <t>POST-10352</t>
  </si>
  <si>
    <t>2026-04-16 11:33:06</t>
  </si>
  <si>
    <t>POST-10353</t>
  </si>
  <si>
    <t>2026-01-31 10:54:38</t>
  </si>
  <si>
    <t>POST-10354</t>
  </si>
  <si>
    <t>2026-07-17 18:16:10</t>
  </si>
  <si>
    <t>POST-10355</t>
  </si>
  <si>
    <t>2026-02-07 01:49:27</t>
  </si>
  <si>
    <t>POST-10356</t>
  </si>
  <si>
    <t>2026-01-11 05:24:17</t>
  </si>
  <si>
    <t>POST-10357</t>
  </si>
  <si>
    <t>2026-07-29 23:07:36</t>
  </si>
  <si>
    <t>POST-10358</t>
  </si>
  <si>
    <t>2026-02-21 13:35:02</t>
  </si>
  <si>
    <t>POST-10359</t>
  </si>
  <si>
    <t>2026-05-06 20:04:50</t>
  </si>
  <si>
    <t>POST-10360</t>
  </si>
  <si>
    <t>2026-06-24 01:09:47</t>
  </si>
  <si>
    <t>POST-10361</t>
  </si>
  <si>
    <t>2026-03-20 11:29:39</t>
  </si>
  <si>
    <t>POST-10362</t>
  </si>
  <si>
    <t>2026-06-26 02:34:08</t>
  </si>
  <si>
    <t>POST-10363</t>
  </si>
  <si>
    <t>2026-07-23 04:39:24</t>
  </si>
  <si>
    <t>POST-10364</t>
  </si>
  <si>
    <t>2026-06-13 16:33:28</t>
  </si>
  <si>
    <t>POST-10365</t>
  </si>
  <si>
    <t>2026-01-26 03:23:55</t>
  </si>
  <si>
    <t>POST-10366</t>
  </si>
  <si>
    <t>2026-01-12 09:41:23</t>
  </si>
  <si>
    <t>POST-10367</t>
  </si>
  <si>
    <t>2026-08-18 15:46:28</t>
  </si>
  <si>
    <t>POST-10368</t>
  </si>
  <si>
    <t>2026-05-02 02:31:03</t>
  </si>
  <si>
    <t>POST-10369</t>
  </si>
  <si>
    <t>2026-02-04 11:54:29</t>
  </si>
  <si>
    <t>POST-10370</t>
  </si>
  <si>
    <t>2026-08-09 00:31:55</t>
  </si>
  <si>
    <t>POST-10371</t>
  </si>
  <si>
    <t>2026-04-17 09:02:30</t>
  </si>
  <si>
    <t>POST-10372</t>
  </si>
  <si>
    <t>2026-02-03 19:18:15</t>
  </si>
  <si>
    <t>POST-10373</t>
  </si>
  <si>
    <t>2026-06-10 22:45:40</t>
  </si>
  <si>
    <t>POST-10374</t>
  </si>
  <si>
    <t>2026-01-16 00:58:43</t>
  </si>
  <si>
    <t>POST-10375</t>
  </si>
  <si>
    <t>2026-01-31 04:30:47</t>
  </si>
  <si>
    <t>POST-10376</t>
  </si>
  <si>
    <t>2026-07-02 01:43:52</t>
  </si>
  <si>
    <t>POST-10377</t>
  </si>
  <si>
    <t>2026-03-15 10:06:10</t>
  </si>
  <si>
    <t>POST-10378</t>
  </si>
  <si>
    <t>2026-01-06 17:12:04</t>
  </si>
  <si>
    <t>POST-10379</t>
  </si>
  <si>
    <t>2026-07-22 17:10:50</t>
  </si>
  <si>
    <t>POST-10380</t>
  </si>
  <si>
    <t>2026-07-02 06:57:42</t>
  </si>
  <si>
    <t>POST-10381</t>
  </si>
  <si>
    <t>2026-05-19 13:34:19</t>
  </si>
  <si>
    <t>POST-10382</t>
  </si>
  <si>
    <t>2026-07-14 02:42:09</t>
  </si>
  <si>
    <t>POST-10383</t>
  </si>
  <si>
    <t>2026-01-16 03:41:12</t>
  </si>
  <si>
    <t>POST-10384</t>
  </si>
  <si>
    <t>2026-01-16 05:23:25</t>
  </si>
  <si>
    <t>POST-10385</t>
  </si>
  <si>
    <t>2026-03-15 13:51:46</t>
  </si>
  <si>
    <t>POST-10386</t>
  </si>
  <si>
    <t>2026-03-11 21:11:35</t>
  </si>
  <si>
    <t>POST-10387</t>
  </si>
  <si>
    <t>2026-07-22 08:09:16</t>
  </si>
  <si>
    <t>POST-10388</t>
  </si>
  <si>
    <t>2026-04-04 02:30:36</t>
  </si>
  <si>
    <t>POST-10389</t>
  </si>
  <si>
    <t>2026-04-02 13:03:17</t>
  </si>
  <si>
    <t>POST-10390</t>
  </si>
  <si>
    <t>2026-08-01 05:51:19</t>
  </si>
  <si>
    <t>POST-10391</t>
  </si>
  <si>
    <t>2026-02-26 14:50:57</t>
  </si>
  <si>
    <t>POST-10392</t>
  </si>
  <si>
    <t>2026-04-03 12:52:28</t>
  </si>
  <si>
    <t>POST-10393</t>
  </si>
  <si>
    <t>2026-04-20 06:48:50</t>
  </si>
  <si>
    <t>POST-10394</t>
  </si>
  <si>
    <t>2026-07-13 11:50:07</t>
  </si>
  <si>
    <t>POST-10395</t>
  </si>
  <si>
    <t>2026-06-06 15:32:36</t>
  </si>
  <si>
    <t>POST-10396</t>
  </si>
  <si>
    <t>2026-05-02 19:44:37</t>
  </si>
  <si>
    <t>POST-10397</t>
  </si>
  <si>
    <t>2026-07-15 19:45:18</t>
  </si>
  <si>
    <t>POST-10398</t>
  </si>
  <si>
    <t>2026-02-18 10:57:53</t>
  </si>
  <si>
    <t>POST-10399</t>
  </si>
  <si>
    <t>2026-08-17 13:04:23</t>
  </si>
  <si>
    <t>POST-10400</t>
  </si>
  <si>
    <t>2026-05-03 05:38:25</t>
  </si>
  <si>
    <t>POST-10401</t>
  </si>
  <si>
    <t>2026-01-07 13:24:38</t>
  </si>
  <si>
    <t>POST-10402</t>
  </si>
  <si>
    <t>2026-07-28 01:34:01</t>
  </si>
  <si>
    <t>POST-10403</t>
  </si>
  <si>
    <t>2026-03-22 06:24:31</t>
  </si>
  <si>
    <t>POST-10404</t>
  </si>
  <si>
    <t>2026-04-01 17:20:03</t>
  </si>
  <si>
    <t>POST-10405</t>
  </si>
  <si>
    <t>2026-03-04 15:15:41</t>
  </si>
  <si>
    <t>POST-10406</t>
  </si>
  <si>
    <t>2026-06-28 23:37:01</t>
  </si>
  <si>
    <t>POST-10407</t>
  </si>
  <si>
    <t>2026-04-22 14:31:40</t>
  </si>
  <si>
    <t>POST-10408</t>
  </si>
  <si>
    <t>2026-05-27 00:30:27</t>
  </si>
  <si>
    <t>POST-10409</t>
  </si>
  <si>
    <t>2026-06-11 06:33:55</t>
  </si>
  <si>
    <t>POST-10410</t>
  </si>
  <si>
    <t>2026-01-17 00:12:23</t>
  </si>
  <si>
    <t>POST-10411</t>
  </si>
  <si>
    <t>2026-02-11 16:43:38</t>
  </si>
  <si>
    <t>POST-10412</t>
  </si>
  <si>
    <t>2026-01-08 16:50:51</t>
  </si>
  <si>
    <t>POST-10413</t>
  </si>
  <si>
    <t>2026-06-22 05:56:05</t>
  </si>
  <si>
    <t>POST-10414</t>
  </si>
  <si>
    <t>2026-02-01 18:21:53</t>
  </si>
  <si>
    <t>POST-10415</t>
  </si>
  <si>
    <t>2026-06-29 11:20:34</t>
  </si>
  <si>
    <t>POST-10416</t>
  </si>
  <si>
    <t>2026-07-24 09:44:58</t>
  </si>
  <si>
    <t>POST-10417</t>
  </si>
  <si>
    <t>2026-03-07 17:05:59</t>
  </si>
  <si>
    <t>POST-10418</t>
  </si>
  <si>
    <t>2026-08-04 18:45:27</t>
  </si>
  <si>
    <t>POST-10419</t>
  </si>
  <si>
    <t>2026-07-23 04:08:00</t>
  </si>
  <si>
    <t>POST-10420</t>
  </si>
  <si>
    <t>2026-03-23 22:30:55</t>
  </si>
  <si>
    <t>POST-10421</t>
  </si>
  <si>
    <t>2026-06-16 03:40:14</t>
  </si>
  <si>
    <t>POST-10422</t>
  </si>
  <si>
    <t>2026-04-22 22:52:43</t>
  </si>
  <si>
    <t>POST-10423</t>
  </si>
  <si>
    <t>2026-07-07 05:12:26</t>
  </si>
  <si>
    <t>POST-10424</t>
  </si>
  <si>
    <t>2026-06-27 20:43:13</t>
  </si>
  <si>
    <t>POST-10425</t>
  </si>
  <si>
    <t>2026-07-11 09:00:16</t>
  </si>
  <si>
    <t>POST-10426</t>
  </si>
  <si>
    <t>2026-03-24 06:33:27</t>
  </si>
  <si>
    <t>POST-10427</t>
  </si>
  <si>
    <t>2026-03-22 21:57:10</t>
  </si>
  <si>
    <t>POST-10428</t>
  </si>
  <si>
    <t>2026-05-07 09:28:22</t>
  </si>
  <si>
    <t>POST-10429</t>
  </si>
  <si>
    <t>2026-08-18 05:37:13</t>
  </si>
  <si>
    <t>POST-10430</t>
  </si>
  <si>
    <t>2026-01-28 18:09:01</t>
  </si>
  <si>
    <t>POST-10431</t>
  </si>
  <si>
    <t>2026-07-25 02:08:13</t>
  </si>
  <si>
    <t>POST-10432</t>
  </si>
  <si>
    <t>2026-04-10 20:18:41</t>
  </si>
  <si>
    <t>POST-10433</t>
  </si>
  <si>
    <t>2026-04-10 23:17:36</t>
  </si>
  <si>
    <t>POST-10434</t>
  </si>
  <si>
    <t>2026-05-08 00:40:41</t>
  </si>
  <si>
    <t>POST-10435</t>
  </si>
  <si>
    <t>2026-05-22 10:58:02</t>
  </si>
  <si>
    <t>POST-10436</t>
  </si>
  <si>
    <t>2026-02-15 13:53:25</t>
  </si>
  <si>
    <t>POST-10437</t>
  </si>
  <si>
    <t>2026-06-04 16:55:43</t>
  </si>
  <si>
    <t>POST-10438</t>
  </si>
  <si>
    <t>2026-06-07 19:44:43</t>
  </si>
  <si>
    <t>POST-10439</t>
  </si>
  <si>
    <t>2026-06-11 01:12:05</t>
  </si>
  <si>
    <t>POST-10440</t>
  </si>
  <si>
    <t>2026-08-01 20:03:21</t>
  </si>
  <si>
    <t>POST-10441</t>
  </si>
  <si>
    <t>2026-07-29 23:14:45</t>
  </si>
  <si>
    <t>POST-10442</t>
  </si>
  <si>
    <t>2026-03-16 07:12:30</t>
  </si>
  <si>
    <t>POST-10443</t>
  </si>
  <si>
    <t>2026-06-23 04:47:23</t>
  </si>
  <si>
    <t>POST-10444</t>
  </si>
  <si>
    <t>2026-03-02 14:35:03</t>
  </si>
  <si>
    <t>POST-10445</t>
  </si>
  <si>
    <t>2026-03-29 19:49:02</t>
  </si>
  <si>
    <t>POST-10446</t>
  </si>
  <si>
    <t>2026-06-06 11:52:35</t>
  </si>
  <si>
    <t>POST-10447</t>
  </si>
  <si>
    <t>2026-03-27 12:07:54</t>
  </si>
  <si>
    <t>POST-10448</t>
  </si>
  <si>
    <t>2026-07-13 00:26:50</t>
  </si>
  <si>
    <t>POST-10449</t>
  </si>
  <si>
    <t>2026-01-22 18:20:25</t>
  </si>
  <si>
    <t>POST-10450</t>
  </si>
  <si>
    <t>2026-04-14 05:44:35</t>
  </si>
  <si>
    <t>POST-10451</t>
  </si>
  <si>
    <t>2026-08-17 04:25:49</t>
  </si>
  <si>
    <t>POST-10452</t>
  </si>
  <si>
    <t>2026-06-12 13:01:01</t>
  </si>
  <si>
    <t>POST-10453</t>
  </si>
  <si>
    <t>2026-02-01 22:19:36</t>
  </si>
  <si>
    <t>POST-10454</t>
  </si>
  <si>
    <t>2026-07-04 02:43:08</t>
  </si>
  <si>
    <t>POST-10455</t>
  </si>
  <si>
    <t>2026-08-16 12:30:13</t>
  </si>
  <si>
    <t>POST-10456</t>
  </si>
  <si>
    <t>2026-02-11 12:32:08</t>
  </si>
  <si>
    <t>POST-10457</t>
  </si>
  <si>
    <t>2026-03-16 09:33:09</t>
  </si>
  <si>
    <t>POST-10458</t>
  </si>
  <si>
    <t>2026-05-06 08:07:35</t>
  </si>
  <si>
    <t>POST-10459</t>
  </si>
  <si>
    <t>2026-04-27 05:28:09</t>
  </si>
  <si>
    <t>POST-10460</t>
  </si>
  <si>
    <t>2026-01-08 02:40:50</t>
  </si>
  <si>
    <t>POST-10461</t>
  </si>
  <si>
    <t>2026-06-19 01:11:01</t>
  </si>
  <si>
    <t>POST-10462</t>
  </si>
  <si>
    <t>2026-05-16 18:24:16</t>
  </si>
  <si>
    <t>POST-10463</t>
  </si>
  <si>
    <t>2026-03-18 20:06:20</t>
  </si>
  <si>
    <t>POST-10464</t>
  </si>
  <si>
    <t>2026-01-16 18:29:35</t>
  </si>
  <si>
    <t>POST-10465</t>
  </si>
  <si>
    <t>2026-05-26 21:28:05</t>
  </si>
  <si>
    <t>POST-10466</t>
  </si>
  <si>
    <t>2026-06-17 13:00:03</t>
  </si>
  <si>
    <t>POST-10467</t>
  </si>
  <si>
    <t>2026-04-13 06:07:53</t>
  </si>
  <si>
    <t>POST-10468</t>
  </si>
  <si>
    <t>2026-03-24 18:13:29</t>
  </si>
  <si>
    <t>POST-10469</t>
  </si>
  <si>
    <t>2026-05-18 10:50:56</t>
  </si>
  <si>
    <t>POST-10470</t>
  </si>
  <si>
    <t>2026-02-19 22:00:14</t>
  </si>
  <si>
    <t>POST-10471</t>
  </si>
  <si>
    <t>2026-06-05 14:00:12</t>
  </si>
  <si>
    <t>POST-10472</t>
  </si>
  <si>
    <t>2026-05-26 15:56:33</t>
  </si>
  <si>
    <t>POST-10473</t>
  </si>
  <si>
    <t>2026-04-21 21:17:07</t>
  </si>
  <si>
    <t>POST-10474</t>
  </si>
  <si>
    <t>2026-05-27 08:47:14</t>
  </si>
  <si>
    <t>POST-10475</t>
  </si>
  <si>
    <t>2026-03-05 11:30:15</t>
  </si>
  <si>
    <t>POST-10476</t>
  </si>
  <si>
    <t>2026-03-23 06:04:50</t>
  </si>
  <si>
    <t>POST-10477</t>
  </si>
  <si>
    <t>2026-06-04 05:39:00</t>
  </si>
  <si>
    <t>POST-10478</t>
  </si>
  <si>
    <t>2026-06-01 14:57:36</t>
  </si>
  <si>
    <t>POST-10479</t>
  </si>
  <si>
    <t>2026-03-22 02:56:34</t>
  </si>
  <si>
    <t>POST-10480</t>
  </si>
  <si>
    <t>2026-03-30 14:12:40</t>
  </si>
  <si>
    <t>POST-10481</t>
  </si>
  <si>
    <t>2026-04-27 09:31:14</t>
  </si>
  <si>
    <t>POST-10482</t>
  </si>
  <si>
    <t>2026-01-03 10:22:01</t>
  </si>
  <si>
    <t>POST-10483</t>
  </si>
  <si>
    <t>2026-03-29 01:15:11</t>
  </si>
  <si>
    <t>POST-10484</t>
  </si>
  <si>
    <t>2026-02-14 00:51:39</t>
  </si>
  <si>
    <t>POST-10485</t>
  </si>
  <si>
    <t>2026-08-08 01:18:50</t>
  </si>
  <si>
    <t>POST-10486</t>
  </si>
  <si>
    <t>2026-05-11 20:48:56</t>
  </si>
  <si>
    <t>POST-10487</t>
  </si>
  <si>
    <t>2026-06-16 09:13:14</t>
  </si>
  <si>
    <t>POST-10488</t>
  </si>
  <si>
    <t>2026-03-01 02:02:29</t>
  </si>
  <si>
    <t>POST-10489</t>
  </si>
  <si>
    <t>2026-01-22 17:53:32</t>
  </si>
  <si>
    <t>POST-10490</t>
  </si>
  <si>
    <t>2026-07-17 05:54:17</t>
  </si>
  <si>
    <t>POST-10491</t>
  </si>
  <si>
    <t>2026-07-14 12:55:25</t>
  </si>
  <si>
    <t>POST-10492</t>
  </si>
  <si>
    <t>2026-06-28 21:13:28</t>
  </si>
  <si>
    <t>POST-10493</t>
  </si>
  <si>
    <t>2026-07-16 06:34:19</t>
  </si>
  <si>
    <t>POST-10494</t>
  </si>
  <si>
    <t>2026-01-18 01:24:12</t>
  </si>
  <si>
    <t>POST-10495</t>
  </si>
  <si>
    <t>2026-04-09 17:13:14</t>
  </si>
  <si>
    <t>POST-10496</t>
  </si>
  <si>
    <t>2026-08-10 14:08:55</t>
  </si>
  <si>
    <t>POST-10497</t>
  </si>
  <si>
    <t>2026-06-04 15:33:21</t>
  </si>
  <si>
    <t>POST-10498</t>
  </si>
  <si>
    <t>2026-08-06 13:26:15</t>
  </si>
  <si>
    <t>POST-10499</t>
  </si>
  <si>
    <t>2026-03-17 05:58:04</t>
  </si>
  <si>
    <t>POST-10500</t>
  </si>
  <si>
    <t>2026-06-23 07:29:24</t>
  </si>
  <si>
    <t>POST-10501</t>
  </si>
  <si>
    <t>2026-02-05 23:52:17</t>
  </si>
  <si>
    <t>POST-10502</t>
  </si>
  <si>
    <t>2026-08-18 05:34:13</t>
  </si>
  <si>
    <t>POST-10503</t>
  </si>
  <si>
    <t>2026-01-05 21:01:00</t>
  </si>
  <si>
    <t>POST-10504</t>
  </si>
  <si>
    <t>2026-06-10 14:39:13</t>
  </si>
  <si>
    <t>POST-10505</t>
  </si>
  <si>
    <t>2026-06-17 03:23:02</t>
  </si>
  <si>
    <t>POST-10506</t>
  </si>
  <si>
    <t>2026-06-12 06:24:43</t>
  </si>
  <si>
    <t>POST-10507</t>
  </si>
  <si>
    <t>2026-01-07 03:48:57</t>
  </si>
  <si>
    <t>POST-10508</t>
  </si>
  <si>
    <t>2026-04-25 07:56:21</t>
  </si>
  <si>
    <t>POST-10509</t>
  </si>
  <si>
    <t>2026-06-20 15:51:43</t>
  </si>
  <si>
    <t>POST-10510</t>
  </si>
  <si>
    <t>2026-08-01 14:15:32</t>
  </si>
  <si>
    <t>POST-10511</t>
  </si>
  <si>
    <t>2026-01-21 19:25:24</t>
  </si>
  <si>
    <t>POST-10512</t>
  </si>
  <si>
    <t>2026-06-03 01:09:35</t>
  </si>
  <si>
    <t>POST-10513</t>
  </si>
  <si>
    <t>2026-07-07 07:23:31</t>
  </si>
  <si>
    <t>POST-10514</t>
  </si>
  <si>
    <t>2026-03-08 07:22:32</t>
  </si>
  <si>
    <t>POST-10515</t>
  </si>
  <si>
    <t>2026-02-07 16:38:29</t>
  </si>
  <si>
    <t>POST-10516</t>
  </si>
  <si>
    <t>2026-08-01 21:16:44</t>
  </si>
  <si>
    <t>POST-10517</t>
  </si>
  <si>
    <t>2026-07-11 14:59:47</t>
  </si>
  <si>
    <t>POST-10518</t>
  </si>
  <si>
    <t>2026-02-20 23:11:32</t>
  </si>
  <si>
    <t>POST-10519</t>
  </si>
  <si>
    <t>2026-02-12 10:18:05</t>
  </si>
  <si>
    <t>POST-10520</t>
  </si>
  <si>
    <t>2026-01-11 11:13:33</t>
  </si>
  <si>
    <t>POST-10521</t>
  </si>
  <si>
    <t>2026-06-06 09:22:55</t>
  </si>
  <si>
    <t>POST-10522</t>
  </si>
  <si>
    <t>2026-06-26 05:55:30</t>
  </si>
  <si>
    <t>POST-10523</t>
  </si>
  <si>
    <t>2026-06-05 23:25:47</t>
  </si>
  <si>
    <t>POST-10524</t>
  </si>
  <si>
    <t>2026-07-04 00:02:08</t>
  </si>
  <si>
    <t>POST-10525</t>
  </si>
  <si>
    <t>2026-07-03 08:10:59</t>
  </si>
  <si>
    <t>POST-10526</t>
  </si>
  <si>
    <t>2026-05-29 03:04:41</t>
  </si>
  <si>
    <t>POST-10527</t>
  </si>
  <si>
    <t>2026-07-10 02:59:12</t>
  </si>
  <si>
    <t>POST-10528</t>
  </si>
  <si>
    <t>2026-07-23 12:33:42</t>
  </si>
  <si>
    <t>POST-10529</t>
  </si>
  <si>
    <t>2026-07-12 05:54:51</t>
  </si>
  <si>
    <t>POST-10530</t>
  </si>
  <si>
    <t>2026-02-10 06:13:54</t>
  </si>
  <si>
    <t>POST-10531</t>
  </si>
  <si>
    <t>2026-04-11 20:04:33</t>
  </si>
  <si>
    <t>POST-10532</t>
  </si>
  <si>
    <t>2026-05-28 12:28:44</t>
  </si>
  <si>
    <t>POST-10533</t>
  </si>
  <si>
    <t>2026-06-23 13:59:03</t>
  </si>
  <si>
    <t>POST-10534</t>
  </si>
  <si>
    <t>2026-06-27 03:11:41</t>
  </si>
  <si>
    <t>POST-10535</t>
  </si>
  <si>
    <t>2026-05-27 23:17:44</t>
  </si>
  <si>
    <t>POST-10536</t>
  </si>
  <si>
    <t>2026-01-06 20:35:52</t>
  </si>
  <si>
    <t>POST-10537</t>
  </si>
  <si>
    <t>2026-02-16 08:35:28</t>
  </si>
  <si>
    <t>POST-10538</t>
  </si>
  <si>
    <t>2026-06-18 08:15:19</t>
  </si>
  <si>
    <t>POST-10539</t>
  </si>
  <si>
    <t>2026-01-10 14:09:19</t>
  </si>
  <si>
    <t>POST-10540</t>
  </si>
  <si>
    <t>2026-06-23 21:44:09</t>
  </si>
  <si>
    <t>POST-10541</t>
  </si>
  <si>
    <t>2026-03-22 21:24:01</t>
  </si>
  <si>
    <t>POST-10542</t>
  </si>
  <si>
    <t>2026-03-12 08:06:24</t>
  </si>
  <si>
    <t>POST-10543</t>
  </si>
  <si>
    <t>2026-08-18 09:10:20</t>
  </si>
  <si>
    <t>POST-10544</t>
  </si>
  <si>
    <t>2026-06-13 19:45:49</t>
  </si>
  <si>
    <t>POST-10545</t>
  </si>
  <si>
    <t>2026-08-08 10:19:26</t>
  </si>
  <si>
    <t>POST-10546</t>
  </si>
  <si>
    <t>2026-06-24 00:59:46</t>
  </si>
  <si>
    <t>POST-10547</t>
  </si>
  <si>
    <t>2026-08-15 00:43:38</t>
  </si>
  <si>
    <t>POST-10548</t>
  </si>
  <si>
    <t>2026-01-29 18:58:43</t>
  </si>
  <si>
    <t>POST-10549</t>
  </si>
  <si>
    <t>2026-01-10 22:57:39</t>
  </si>
  <si>
    <t>POST-10550</t>
  </si>
  <si>
    <t>2026-05-17 00:57:09</t>
  </si>
  <si>
    <t>POST-10551</t>
  </si>
  <si>
    <t>2026-08-03 22:10:08</t>
  </si>
  <si>
    <t>POST-10552</t>
  </si>
  <si>
    <t>2026-03-10 11:26:31</t>
  </si>
  <si>
    <t>POST-10553</t>
  </si>
  <si>
    <t>2026-02-02 12:22:32</t>
  </si>
  <si>
    <t>POST-10554</t>
  </si>
  <si>
    <t>2026-03-13 11:55:16</t>
  </si>
  <si>
    <t>POST-10555</t>
  </si>
  <si>
    <t>2026-01-10 16:12:59</t>
  </si>
  <si>
    <t>POST-10556</t>
  </si>
  <si>
    <t>2026-03-19 11:17:23</t>
  </si>
  <si>
    <t>POST-10557</t>
  </si>
  <si>
    <t>2026-03-06 23:23:21</t>
  </si>
  <si>
    <t>POST-10558</t>
  </si>
  <si>
    <t>2026-02-24 02:24:05</t>
  </si>
  <si>
    <t>POST-10559</t>
  </si>
  <si>
    <t>2026-05-02 14:34:46</t>
  </si>
  <si>
    <t>POST-10560</t>
  </si>
  <si>
    <t>2026-01-18 23:26:33</t>
  </si>
  <si>
    <t>POST-10561</t>
  </si>
  <si>
    <t>2026-05-12 10:10:28</t>
  </si>
  <si>
    <t>POST-10562</t>
  </si>
  <si>
    <t>2026-07-05 00:16:19</t>
  </si>
  <si>
    <t>POST-10563</t>
  </si>
  <si>
    <t>2026-06-14 15:52:13</t>
  </si>
  <si>
    <t>POST-10564</t>
  </si>
  <si>
    <t>2026-01-16 04:52:00</t>
  </si>
  <si>
    <t>POST-10565</t>
  </si>
  <si>
    <t>2026-08-12 04:40:38</t>
  </si>
  <si>
    <t>POST-10566</t>
  </si>
  <si>
    <t>2026-01-24 23:11:29</t>
  </si>
  <si>
    <t>POST-10567</t>
  </si>
  <si>
    <t>2026-06-15 20:06:46</t>
  </si>
  <si>
    <t>POST-10568</t>
  </si>
  <si>
    <t>2026-06-11 03:00:50</t>
  </si>
  <si>
    <t>POST-10569</t>
  </si>
  <si>
    <t>2026-06-11 01:07:01</t>
  </si>
  <si>
    <t>POST-10570</t>
  </si>
  <si>
    <t>2026-06-25 20:43:56</t>
  </si>
  <si>
    <t>POST-10571</t>
  </si>
  <si>
    <t>2026-04-21 00:21:38</t>
  </si>
  <si>
    <t>POST-10572</t>
  </si>
  <si>
    <t>2026-08-09 12:49:41</t>
  </si>
  <si>
    <t>POST-10573</t>
  </si>
  <si>
    <t>2026-07-16 20:22:20</t>
  </si>
  <si>
    <t>POST-10574</t>
  </si>
  <si>
    <t>2026-07-30 15:24:05</t>
  </si>
  <si>
    <t>POST-10575</t>
  </si>
  <si>
    <t>2026-01-29 09:58:22</t>
  </si>
  <si>
    <t>POST-10576</t>
  </si>
  <si>
    <t>2026-01-08 06:27:23</t>
  </si>
  <si>
    <t>POST-10577</t>
  </si>
  <si>
    <t>2026-05-02 07:08:47</t>
  </si>
  <si>
    <t>POST-10578</t>
  </si>
  <si>
    <t>2026-01-03 20:53:27</t>
  </si>
  <si>
    <t>POST-10579</t>
  </si>
  <si>
    <t>2026-01-15 15:25:11</t>
  </si>
  <si>
    <t>POST-10580</t>
  </si>
  <si>
    <t>2026-04-04 03:49:54</t>
  </si>
  <si>
    <t>POST-10581</t>
  </si>
  <si>
    <t>2026-05-27 02:02:36</t>
  </si>
  <si>
    <t>POST-10582</t>
  </si>
  <si>
    <t>2026-06-30 05:06:21</t>
  </si>
  <si>
    <t>POST-10583</t>
  </si>
  <si>
    <t>2026-07-03 15:56:13</t>
  </si>
  <si>
    <t>POST-10584</t>
  </si>
  <si>
    <t>2026-06-05 10:09:36</t>
  </si>
  <si>
    <t>POST-10585</t>
  </si>
  <si>
    <t>2026-04-04 19:05:04</t>
  </si>
  <si>
    <t>POST-10586</t>
  </si>
  <si>
    <t>2026-06-24 12:28:23</t>
  </si>
  <si>
    <t>POST-10587</t>
  </si>
  <si>
    <t>2026-07-31 01:00:09</t>
  </si>
  <si>
    <t>POST-10588</t>
  </si>
  <si>
    <t>2026-02-17 07:06:58</t>
  </si>
  <si>
    <t>POST-10589</t>
  </si>
  <si>
    <t>2026-02-08 04:13:20</t>
  </si>
  <si>
    <t>POST-10590</t>
  </si>
  <si>
    <t>2026-06-12 13:05:09</t>
  </si>
  <si>
    <t>POST-10591</t>
  </si>
  <si>
    <t>2026-07-12 17:10:12</t>
  </si>
  <si>
    <t>POST-10592</t>
  </si>
  <si>
    <t>2026-07-06 05:37:39</t>
  </si>
  <si>
    <t>POST-10593</t>
  </si>
  <si>
    <t>2026-08-02 12:40:28</t>
  </si>
  <si>
    <t>POST-10594</t>
  </si>
  <si>
    <t>2026-01-04 19:52:23</t>
  </si>
  <si>
    <t>POST-10595</t>
  </si>
  <si>
    <t>2026-04-20 19:11:35</t>
  </si>
  <si>
    <t>POST-10596</t>
  </si>
  <si>
    <t>2026-01-27 10:41:01</t>
  </si>
  <si>
    <t>POST-10597</t>
  </si>
  <si>
    <t>2026-05-22 20:07:12</t>
  </si>
  <si>
    <t>POST-10598</t>
  </si>
  <si>
    <t>2026-03-20 21:43:15</t>
  </si>
  <si>
    <t>POST-10599</t>
  </si>
  <si>
    <t>2026-04-11 14:39:41</t>
  </si>
  <si>
    <t>POST-10600</t>
  </si>
  <si>
    <t>2026-02-01 04:36:50</t>
  </si>
  <si>
    <t>POST-10601</t>
  </si>
  <si>
    <t>2026-04-08 08:47:46</t>
  </si>
  <si>
    <t>POST-10602</t>
  </si>
  <si>
    <t>2026-01-22 12:40:01</t>
  </si>
  <si>
    <t>POST-10603</t>
  </si>
  <si>
    <t>2026-01-06 21:04:31</t>
  </si>
  <si>
    <t>POST-10604</t>
  </si>
  <si>
    <t>2026-03-29 19:30:39</t>
  </si>
  <si>
    <t>POST-10605</t>
  </si>
  <si>
    <t>2026-02-25 08:20:08</t>
  </si>
  <si>
    <t>POST-10606</t>
  </si>
  <si>
    <t>2026-02-19 16:11:12</t>
  </si>
  <si>
    <t>POST-10607</t>
  </si>
  <si>
    <t>2026-01-29 03:24:27</t>
  </si>
  <si>
    <t>POST-10608</t>
  </si>
  <si>
    <t>2026-04-12 08:07:11</t>
  </si>
  <si>
    <t>POST-10609</t>
  </si>
  <si>
    <t>2026-03-24 15:35:04</t>
  </si>
  <si>
    <t>POST-10610</t>
  </si>
  <si>
    <t>2026-03-23 18:12:12</t>
  </si>
  <si>
    <t>POST-10611</t>
  </si>
  <si>
    <t>2026-01-02 22:18:08</t>
  </si>
  <si>
    <t>POST-10612</t>
  </si>
  <si>
    <t>2026-03-22 23:39:03</t>
  </si>
  <si>
    <t>POST-10613</t>
  </si>
  <si>
    <t>2026-08-10 06:46:27</t>
  </si>
  <si>
    <t>POST-10614</t>
  </si>
  <si>
    <t>2026-01-20 16:21:44</t>
  </si>
  <si>
    <t>POST-10615</t>
  </si>
  <si>
    <t>2026-05-15 00:15:36</t>
  </si>
  <si>
    <t>POST-10616</t>
  </si>
  <si>
    <t>2026-02-23 06:04:04</t>
  </si>
  <si>
    <t>POST-10617</t>
  </si>
  <si>
    <t>2026-03-22 06:29:41</t>
  </si>
  <si>
    <t>POST-10618</t>
  </si>
  <si>
    <t>2026-08-12 02:41:06</t>
  </si>
  <si>
    <t>POST-10619</t>
  </si>
  <si>
    <t>2026-02-08 20:32:27</t>
  </si>
  <si>
    <t>POST-10620</t>
  </si>
  <si>
    <t>2026-05-13 21:06:43</t>
  </si>
  <si>
    <t>POST-10621</t>
  </si>
  <si>
    <t>2026-02-27 07:52:56</t>
  </si>
  <si>
    <t>POST-10622</t>
  </si>
  <si>
    <t>2026-06-26 15:10:20</t>
  </si>
  <si>
    <t>POST-10623</t>
  </si>
  <si>
    <t>2026-04-01 23:37:00</t>
  </si>
  <si>
    <t>POST-10624</t>
  </si>
  <si>
    <t>2026-03-27 22:31:47</t>
  </si>
  <si>
    <t>POST-10625</t>
  </si>
  <si>
    <t>2026-01-29 16:43:33</t>
  </si>
  <si>
    <t>POST-10626</t>
  </si>
  <si>
    <t>2026-06-13 11:17:56</t>
  </si>
  <si>
    <t>POST-10627</t>
  </si>
  <si>
    <t>2026-08-03 03:07:27</t>
  </si>
  <si>
    <t>POST-10628</t>
  </si>
  <si>
    <t>2026-03-15 10:51:18</t>
  </si>
  <si>
    <t>POST-10629</t>
  </si>
  <si>
    <t>2026-08-09 00:42:49</t>
  </si>
  <si>
    <t>POST-10630</t>
  </si>
  <si>
    <t>2026-04-09 21:25:57</t>
  </si>
  <si>
    <t>POST-10631</t>
  </si>
  <si>
    <t>2026-03-19 02:59:40</t>
  </si>
  <si>
    <t>POST-10632</t>
  </si>
  <si>
    <t>2026-04-18 21:29:01</t>
  </si>
  <si>
    <t>POST-10633</t>
  </si>
  <si>
    <t>2026-08-05 20:08:25</t>
  </si>
  <si>
    <t>POST-10634</t>
  </si>
  <si>
    <t>2026-05-31 05:32:47</t>
  </si>
  <si>
    <t>POST-10635</t>
  </si>
  <si>
    <t>2026-06-10 06:12:07</t>
  </si>
  <si>
    <t>POST-10636</t>
  </si>
  <si>
    <t>2026-03-03 01:16:52</t>
  </si>
  <si>
    <t>POST-10637</t>
  </si>
  <si>
    <t>2026-03-16 17:42:06</t>
  </si>
  <si>
    <t>POST-10638</t>
  </si>
  <si>
    <t>2026-03-19 09:41:41</t>
  </si>
  <si>
    <t>POST-10639</t>
  </si>
  <si>
    <t>2026-04-11 00:04:11</t>
  </si>
  <si>
    <t>POST-10640</t>
  </si>
  <si>
    <t>2026-06-06 05:11:36</t>
  </si>
  <si>
    <t>POST-10641</t>
  </si>
  <si>
    <t>2026-01-28 23:59:43</t>
  </si>
  <si>
    <t>POST-10642</t>
  </si>
  <si>
    <t>2026-04-24 19:38:40</t>
  </si>
  <si>
    <t>POST-10643</t>
  </si>
  <si>
    <t>2026-07-29 00:51:50</t>
  </si>
  <si>
    <t>POST-10644</t>
  </si>
  <si>
    <t>2026-07-07 07:41:33</t>
  </si>
  <si>
    <t>POST-10645</t>
  </si>
  <si>
    <t>2026-05-13 17:06:07</t>
  </si>
  <si>
    <t>POST-10646</t>
  </si>
  <si>
    <t>2026-08-08 00:59:39</t>
  </si>
  <si>
    <t>POST-10647</t>
  </si>
  <si>
    <t>2026-08-16 09:08:13</t>
  </si>
  <si>
    <t>POST-10648</t>
  </si>
  <si>
    <t>2026-06-06 10:56:35</t>
  </si>
  <si>
    <t>POST-10649</t>
  </si>
  <si>
    <t>2026-07-18 14:34:38</t>
  </si>
  <si>
    <t>POST-10650</t>
  </si>
  <si>
    <t>2026-02-19 18:27:58</t>
  </si>
  <si>
    <t>POST-10651</t>
  </si>
  <si>
    <t>2026-01-20 09:08:28</t>
  </si>
  <si>
    <t>POST-10652</t>
  </si>
  <si>
    <t>2026-07-01 07:52:22</t>
  </si>
  <si>
    <t>POST-10653</t>
  </si>
  <si>
    <t>2026-06-09 23:17:05</t>
  </si>
  <si>
    <t>POST-10654</t>
  </si>
  <si>
    <t>2026-01-06 23:53:02</t>
  </si>
  <si>
    <t>POST-10655</t>
  </si>
  <si>
    <t>2026-06-18 21:34:03</t>
  </si>
  <si>
    <t>POST-10656</t>
  </si>
  <si>
    <t>2026-04-22 21:50:46</t>
  </si>
  <si>
    <t>POST-10657</t>
  </si>
  <si>
    <t>2026-03-02 12:58:00</t>
  </si>
  <si>
    <t>POST-10658</t>
  </si>
  <si>
    <t>2026-03-21 02:42:20</t>
  </si>
  <si>
    <t>POST-10659</t>
  </si>
  <si>
    <t>2026-03-22 10:28:11</t>
  </si>
  <si>
    <t>POST-10660</t>
  </si>
  <si>
    <t>2026-05-23 06:14:03</t>
  </si>
  <si>
    <t>POST-10661</t>
  </si>
  <si>
    <t>2026-07-31 05:26:04</t>
  </si>
  <si>
    <t>POST-10662</t>
  </si>
  <si>
    <t>2026-02-09 02:01:06</t>
  </si>
  <si>
    <t>POST-10663</t>
  </si>
  <si>
    <t>2026-06-16 10:04:59</t>
  </si>
  <si>
    <t>POST-10664</t>
  </si>
  <si>
    <t>2026-03-04 18:15:51</t>
  </si>
  <si>
    <t>POST-10665</t>
  </si>
  <si>
    <t>2026-06-04 15:28:50</t>
  </si>
  <si>
    <t>POST-10666</t>
  </si>
  <si>
    <t>2026-05-10 12:36:31</t>
  </si>
  <si>
    <t>POST-10667</t>
  </si>
  <si>
    <t>2026-01-19 12:32:55</t>
  </si>
  <si>
    <t>POST-10668</t>
  </si>
  <si>
    <t>2026-01-12 10:47:58</t>
  </si>
  <si>
    <t>POST-10669</t>
  </si>
  <si>
    <t>2026-08-18 08:37:37</t>
  </si>
  <si>
    <t>POST-10670</t>
  </si>
  <si>
    <t>2026-08-05 21:18:20</t>
  </si>
  <si>
    <t>POST-10671</t>
  </si>
  <si>
    <t>2026-03-15 16:31:28</t>
  </si>
  <si>
    <t>POST-10672</t>
  </si>
  <si>
    <t>2026-08-18 01:34:51</t>
  </si>
  <si>
    <t>POST-10673</t>
  </si>
  <si>
    <t>2026-01-31 22:56:27</t>
  </si>
  <si>
    <t>POST-10674</t>
  </si>
  <si>
    <t>2026-06-12 07:32:43</t>
  </si>
  <si>
    <t>POST-10675</t>
  </si>
  <si>
    <t>2026-05-31 20:55:14</t>
  </si>
  <si>
    <t>POST-10676</t>
  </si>
  <si>
    <t>2026-05-07 01:39:13</t>
  </si>
  <si>
    <t>POST-10677</t>
  </si>
  <si>
    <t>2026-05-07 04:25:38</t>
  </si>
  <si>
    <t>POST-10678</t>
  </si>
  <si>
    <t>2026-06-19 11:22:44</t>
  </si>
  <si>
    <t>POST-10679</t>
  </si>
  <si>
    <t>2026-03-23 21:25:51</t>
  </si>
  <si>
    <t>POST-10680</t>
  </si>
  <si>
    <t>2026-01-30 03:39:21</t>
  </si>
  <si>
    <t>POST-10681</t>
  </si>
  <si>
    <t>2026-02-20 13:53:34</t>
  </si>
  <si>
    <t>POST-10682</t>
  </si>
  <si>
    <t>2026-05-05 09:10:18</t>
  </si>
  <si>
    <t>POST-10683</t>
  </si>
  <si>
    <t>2026-01-20 00:46:45</t>
  </si>
  <si>
    <t>POST-10684</t>
  </si>
  <si>
    <t>2026-02-21 11:16:41</t>
  </si>
  <si>
    <t>POST-10685</t>
  </si>
  <si>
    <t>2026-04-11 19:48:34</t>
  </si>
  <si>
    <t>POST-10686</t>
  </si>
  <si>
    <t>2026-08-10 23:37:15</t>
  </si>
  <si>
    <t>POST-10687</t>
  </si>
  <si>
    <t>2026-06-03 21:55:00</t>
  </si>
  <si>
    <t>POST-10688</t>
  </si>
  <si>
    <t>2026-06-29 10:24:08</t>
  </si>
  <si>
    <t>POST-10689</t>
  </si>
  <si>
    <t>2026-04-13 08:18:07</t>
  </si>
  <si>
    <t>POST-10690</t>
  </si>
  <si>
    <t>2026-06-04 16:30:29</t>
  </si>
  <si>
    <t>POST-10691</t>
  </si>
  <si>
    <t>2026-01-26 01:29:21</t>
  </si>
  <si>
    <t>POST-10692</t>
  </si>
  <si>
    <t>2026-07-06 17:23:39</t>
  </si>
  <si>
    <t>POST-10693</t>
  </si>
  <si>
    <t>2026-05-29 02:38:17</t>
  </si>
  <si>
    <t>POST-10694</t>
  </si>
  <si>
    <t>2026-01-14 12:32:51</t>
  </si>
  <si>
    <t>POST-10695</t>
  </si>
  <si>
    <t>2026-01-22 03:53:13</t>
  </si>
  <si>
    <t>POST-10696</t>
  </si>
  <si>
    <t>2026-07-18 05:22:46</t>
  </si>
  <si>
    <t>POST-10697</t>
  </si>
  <si>
    <t>2026-03-07 00:58:00</t>
  </si>
  <si>
    <t>POST-10698</t>
  </si>
  <si>
    <t>2026-06-06 04:29:31</t>
  </si>
  <si>
    <t>POST-10699</t>
  </si>
  <si>
    <t>2026-06-14 06:03:20</t>
  </si>
  <si>
    <t>POST-10700</t>
  </si>
  <si>
    <t>2026-06-20 20:26:53</t>
  </si>
  <si>
    <t>POST-10701</t>
  </si>
  <si>
    <t>2026-03-13 01:22:07</t>
  </si>
  <si>
    <t>POST-10702</t>
  </si>
  <si>
    <t>2026-01-03 14:40:23</t>
  </si>
  <si>
    <t>POST-10703</t>
  </si>
  <si>
    <t>2026-03-22 21:14:53</t>
  </si>
  <si>
    <t>POST-10704</t>
  </si>
  <si>
    <t>2026-01-11 02:24:09</t>
  </si>
  <si>
    <t>POST-10705</t>
  </si>
  <si>
    <t>2026-07-17 14:16:13</t>
  </si>
  <si>
    <t>POST-10706</t>
  </si>
  <si>
    <t>2026-04-02 08:10:26</t>
  </si>
  <si>
    <t>POST-10707</t>
  </si>
  <si>
    <t>2026-04-13 23:53:15</t>
  </si>
  <si>
    <t>POST-10708</t>
  </si>
  <si>
    <t>2026-01-08 13:32:10</t>
  </si>
  <si>
    <t>POST-10709</t>
  </si>
  <si>
    <t>2026-04-28 20:10:29</t>
  </si>
  <si>
    <t>POST-10710</t>
  </si>
  <si>
    <t>2026-01-26 23:35:43</t>
  </si>
  <si>
    <t>POST-10711</t>
  </si>
  <si>
    <t>2026-07-06 21:38:25</t>
  </si>
  <si>
    <t>POST-10712</t>
  </si>
  <si>
    <t>2026-07-12 20:58:04</t>
  </si>
  <si>
    <t>POST-10713</t>
  </si>
  <si>
    <t>2026-04-18 13:10:25</t>
  </si>
  <si>
    <t>POST-10714</t>
  </si>
  <si>
    <t>2026-06-18 05:25:27</t>
  </si>
  <si>
    <t>POST-10715</t>
  </si>
  <si>
    <t>2026-02-15 21:34:48</t>
  </si>
  <si>
    <t>POST-10716</t>
  </si>
  <si>
    <t>2026-08-11 23:29:23</t>
  </si>
  <si>
    <t>POST-10717</t>
  </si>
  <si>
    <t>2026-06-02 11:22:46</t>
  </si>
  <si>
    <t>POST-10718</t>
  </si>
  <si>
    <t>2026-08-01 07:52:33</t>
  </si>
  <si>
    <t>POST-10719</t>
  </si>
  <si>
    <t>2026-03-19 21:25:01</t>
  </si>
  <si>
    <t>POST-10720</t>
  </si>
  <si>
    <t>2026-05-02 14:48:59</t>
  </si>
  <si>
    <t>POST-10721</t>
  </si>
  <si>
    <t>2026-03-12 16:29:38</t>
  </si>
  <si>
    <t>POST-10722</t>
  </si>
  <si>
    <t>2026-05-23 08:21:21</t>
  </si>
  <si>
    <t>POST-10723</t>
  </si>
  <si>
    <t>2026-05-24 19:05:13</t>
  </si>
  <si>
    <t>POST-10724</t>
  </si>
  <si>
    <t>2026-03-15 01:47:31</t>
  </si>
  <si>
    <t>POST-10725</t>
  </si>
  <si>
    <t>2026-04-14 01:26:22</t>
  </si>
  <si>
    <t>POST-10726</t>
  </si>
  <si>
    <t>2026-05-07 22:18:52</t>
  </si>
  <si>
    <t>POST-10727</t>
  </si>
  <si>
    <t>2026-02-19 04:01:39</t>
  </si>
  <si>
    <t>POST-10728</t>
  </si>
  <si>
    <t>2026-08-16 04:24:35</t>
  </si>
  <si>
    <t>POST-10729</t>
  </si>
  <si>
    <t>2026-03-05 05:38:28</t>
  </si>
  <si>
    <t>POST-10730</t>
  </si>
  <si>
    <t>2026-05-01 20:04:50</t>
  </si>
  <si>
    <t>POST-10731</t>
  </si>
  <si>
    <t>2026-01-11 19:25:45</t>
  </si>
  <si>
    <t>POST-10732</t>
  </si>
  <si>
    <t>2026-07-23 23:13:16</t>
  </si>
  <si>
    <t>POST-10733</t>
  </si>
  <si>
    <t>2026-01-10 12:09:33</t>
  </si>
  <si>
    <t>POST-10734</t>
  </si>
  <si>
    <t>2026-02-08 03:18:54</t>
  </si>
  <si>
    <t>POST-10735</t>
  </si>
  <si>
    <t>2026-02-13 19:41:09</t>
  </si>
  <si>
    <t>POST-10736</t>
  </si>
  <si>
    <t>2026-02-27 17:13:14</t>
  </si>
  <si>
    <t>POST-10737</t>
  </si>
  <si>
    <t>2026-02-21 19:42:02</t>
  </si>
  <si>
    <t>POST-10738</t>
  </si>
  <si>
    <t>2026-07-09 13:44:59</t>
  </si>
  <si>
    <t>POST-10739</t>
  </si>
  <si>
    <t>2026-02-23 15:15:37</t>
  </si>
  <si>
    <t>POST-10740</t>
  </si>
  <si>
    <t>2026-06-03 23:19:36</t>
  </si>
  <si>
    <t>POST-10741</t>
  </si>
  <si>
    <t>2026-06-11 13:21:32</t>
  </si>
  <si>
    <t>POST-10742</t>
  </si>
  <si>
    <t>2026-03-24 00:30:31</t>
  </si>
  <si>
    <t>POST-10743</t>
  </si>
  <si>
    <t>2026-03-20 18:49:33</t>
  </si>
  <si>
    <t>POST-10744</t>
  </si>
  <si>
    <t>2026-05-13 23:41:38</t>
  </si>
  <si>
    <t>POST-10745</t>
  </si>
  <si>
    <t>2026-07-15 21:00:48</t>
  </si>
  <si>
    <t>POST-10746</t>
  </si>
  <si>
    <t>2026-03-24 21:50:24</t>
  </si>
  <si>
    <t>POST-10747</t>
  </si>
  <si>
    <t>2026-01-13 05:24:44</t>
  </si>
  <si>
    <t>POST-10748</t>
  </si>
  <si>
    <t>2026-07-07 21:52:09</t>
  </si>
  <si>
    <t>POST-10749</t>
  </si>
  <si>
    <t>2026-08-12 06:45:47</t>
  </si>
  <si>
    <t>POST-10750</t>
  </si>
  <si>
    <t>2026-06-14 21:27:25</t>
  </si>
  <si>
    <t>POST-10751</t>
  </si>
  <si>
    <t>2026-07-08 10:36:05</t>
  </si>
  <si>
    <t>POST-10752</t>
  </si>
  <si>
    <t>2026-04-30 22:56:56</t>
  </si>
  <si>
    <t>POST-10753</t>
  </si>
  <si>
    <t>2026-01-05 08:14:20</t>
  </si>
  <si>
    <t>POST-10754</t>
  </si>
  <si>
    <t>2026-07-17 12:13:19</t>
  </si>
  <si>
    <t>POST-10755</t>
  </si>
  <si>
    <t>2026-02-25 19:01:08</t>
  </si>
  <si>
    <t>POST-10756</t>
  </si>
  <si>
    <t>2026-02-15 00:58:37</t>
  </si>
  <si>
    <t>POST-10757</t>
  </si>
  <si>
    <t>2026-01-29 22:01:00</t>
  </si>
  <si>
    <t>POST-10758</t>
  </si>
  <si>
    <t>2026-08-13 23:01:17</t>
  </si>
  <si>
    <t>POST-10759</t>
  </si>
  <si>
    <t>2026-06-08 21:52:10</t>
  </si>
  <si>
    <t>POST-10760</t>
  </si>
  <si>
    <t>2026-08-04 16:39:20</t>
  </si>
  <si>
    <t>POST-10761</t>
  </si>
  <si>
    <t>2026-01-24 21:04:07</t>
  </si>
  <si>
    <t>POST-10762</t>
  </si>
  <si>
    <t>2026-06-22 06:06:30</t>
  </si>
  <si>
    <t>POST-10763</t>
  </si>
  <si>
    <t>2026-02-18 07:42:19</t>
  </si>
  <si>
    <t>POST-10764</t>
  </si>
  <si>
    <t>2026-07-24 20:40:03</t>
  </si>
  <si>
    <t>POST-10765</t>
  </si>
  <si>
    <t>2026-04-14 22:13:29</t>
  </si>
  <si>
    <t>POST-10766</t>
  </si>
  <si>
    <t>2026-01-26 05:54:21</t>
  </si>
  <si>
    <t>POST-10767</t>
  </si>
  <si>
    <t>2026-03-20 22:27:35</t>
  </si>
  <si>
    <t>POST-10768</t>
  </si>
  <si>
    <t>2026-01-14 01:23:34</t>
  </si>
  <si>
    <t>POST-10769</t>
  </si>
  <si>
    <t>2026-02-21 16:03:25</t>
  </si>
  <si>
    <t>POST-10770</t>
  </si>
  <si>
    <t>2026-01-16 21:08:09</t>
  </si>
  <si>
    <t>POST-10771</t>
  </si>
  <si>
    <t>2026-07-06 07:37:43</t>
  </si>
  <si>
    <t>POST-10772</t>
  </si>
  <si>
    <t>2026-02-02 01:47:39</t>
  </si>
  <si>
    <t>POST-10773</t>
  </si>
  <si>
    <t>2026-03-16 15:33:06</t>
  </si>
  <si>
    <t>POST-10774</t>
  </si>
  <si>
    <t>2026-03-07 04:32:21</t>
  </si>
  <si>
    <t>POST-10775</t>
  </si>
  <si>
    <t>2026-06-06 02:24:38</t>
  </si>
  <si>
    <t>POST-10776</t>
  </si>
  <si>
    <t>2026-07-28 20:45:47</t>
  </si>
  <si>
    <t>POST-10777</t>
  </si>
  <si>
    <t>2026-03-26 11:18:58</t>
  </si>
  <si>
    <t>POST-10778</t>
  </si>
  <si>
    <t>2026-07-16 13:13:35</t>
  </si>
  <si>
    <t>POST-10779</t>
  </si>
  <si>
    <t>2026-07-04 10:40:25</t>
  </si>
  <si>
    <t>POST-10780</t>
  </si>
  <si>
    <t>2026-02-19 02:19:58</t>
  </si>
  <si>
    <t>POST-10781</t>
  </si>
  <si>
    <t>2026-03-30 01:22:25</t>
  </si>
  <si>
    <t>POST-10782</t>
  </si>
  <si>
    <t>2026-02-26 15:56:14</t>
  </si>
  <si>
    <t>POST-10783</t>
  </si>
  <si>
    <t>2026-05-29 20:40:36</t>
  </si>
  <si>
    <t>POST-10784</t>
  </si>
  <si>
    <t>2026-06-29 15:50:34</t>
  </si>
  <si>
    <t>POST-10785</t>
  </si>
  <si>
    <t>2026-03-11 02:53:03</t>
  </si>
  <si>
    <t>POST-10786</t>
  </si>
  <si>
    <t>2026-06-24 19:04:46</t>
  </si>
  <si>
    <t>POST-10787</t>
  </si>
  <si>
    <t>2026-03-02 02:51:56</t>
  </si>
  <si>
    <t>POST-10788</t>
  </si>
  <si>
    <t>2026-07-06 13:46:12</t>
  </si>
  <si>
    <t>POST-10789</t>
  </si>
  <si>
    <t>2026-05-02 12:54:21</t>
  </si>
  <si>
    <t>POST-10790</t>
  </si>
  <si>
    <t>2026-01-26 00:16:01</t>
  </si>
  <si>
    <t>POST-10791</t>
  </si>
  <si>
    <t>2026-02-14 14:40:39</t>
  </si>
  <si>
    <t>POST-10792</t>
  </si>
  <si>
    <t>2026-07-29 22:01:39</t>
  </si>
  <si>
    <t>POST-10793</t>
  </si>
  <si>
    <t>2026-06-19 01:53:24</t>
  </si>
  <si>
    <t>POST-10794</t>
  </si>
  <si>
    <t>2026-07-02 02:06:54</t>
  </si>
  <si>
    <t>POST-10795</t>
  </si>
  <si>
    <t>2026-03-17 04:27:25</t>
  </si>
  <si>
    <t>POST-10796</t>
  </si>
  <si>
    <t>2026-08-01 09:12:05</t>
  </si>
  <si>
    <t>POST-10797</t>
  </si>
  <si>
    <t>2026-08-12 21:47:32</t>
  </si>
  <si>
    <t>POST-10798</t>
  </si>
  <si>
    <t>2026-06-14 03:00:02</t>
  </si>
  <si>
    <t>POST-10799</t>
  </si>
  <si>
    <t>2026-01-12 12:09:38</t>
  </si>
  <si>
    <t>POST-10800</t>
  </si>
  <si>
    <t>2026-04-07 16:53:57</t>
  </si>
  <si>
    <t>POST-10801</t>
  </si>
  <si>
    <t>2026-02-17 01:20:10</t>
  </si>
  <si>
    <t>POST-10802</t>
  </si>
  <si>
    <t>2026-05-13 09:30:30</t>
  </si>
  <si>
    <t>POST-10803</t>
  </si>
  <si>
    <t>2026-05-09 14:49:13</t>
  </si>
  <si>
    <t>POST-10804</t>
  </si>
  <si>
    <t>2026-02-18 04:12:21</t>
  </si>
  <si>
    <t>POST-10805</t>
  </si>
  <si>
    <t>2026-07-04 13:46:59</t>
  </si>
  <si>
    <t>POST-10806</t>
  </si>
  <si>
    <t>2026-01-19 08:41:52</t>
  </si>
  <si>
    <t>POST-10807</t>
  </si>
  <si>
    <t>2026-02-09 22:34:56</t>
  </si>
  <si>
    <t>POST-10808</t>
  </si>
  <si>
    <t>2026-07-02 01:54:14</t>
  </si>
  <si>
    <t>POST-10809</t>
  </si>
  <si>
    <t>2026-07-06 00:13:15</t>
  </si>
  <si>
    <t>POST-10810</t>
  </si>
  <si>
    <t>2026-06-16 22:19:57</t>
  </si>
  <si>
    <t>POST-10811</t>
  </si>
  <si>
    <t>2026-02-14 16:47:43</t>
  </si>
  <si>
    <t>POST-10812</t>
  </si>
  <si>
    <t>2026-06-07 00:47:40</t>
  </si>
  <si>
    <t>POST-10813</t>
  </si>
  <si>
    <t>2026-01-17 19:39:58</t>
  </si>
  <si>
    <t>POST-10814</t>
  </si>
  <si>
    <t>2026-05-25 01:40:30</t>
  </si>
  <si>
    <t>POST-10815</t>
  </si>
  <si>
    <t>2026-04-24 02:36:11</t>
  </si>
  <si>
    <t>POST-10816</t>
  </si>
  <si>
    <t>2026-06-21 14:40:20</t>
  </si>
  <si>
    <t>POST-10817</t>
  </si>
  <si>
    <t>2026-05-06 18:57:10</t>
  </si>
  <si>
    <t>POST-10818</t>
  </si>
  <si>
    <t>2026-06-09 08:47:36</t>
  </si>
  <si>
    <t>POST-10819</t>
  </si>
  <si>
    <t>2026-02-03 19:46:16</t>
  </si>
  <si>
    <t>POST-10820</t>
  </si>
  <si>
    <t>2026-07-15 11:15:04</t>
  </si>
  <si>
    <t>POST-10821</t>
  </si>
  <si>
    <t>2026-08-12 22:40:55</t>
  </si>
  <si>
    <t>POST-10822</t>
  </si>
  <si>
    <t>2026-07-03 10:24:20</t>
  </si>
  <si>
    <t>POST-10823</t>
  </si>
  <si>
    <t>2026-02-15 14:16:09</t>
  </si>
  <si>
    <t>POST-10824</t>
  </si>
  <si>
    <t>2026-06-13 17:13:27</t>
  </si>
  <si>
    <t>POST-10825</t>
  </si>
  <si>
    <t>2026-07-29 21:05:43</t>
  </si>
  <si>
    <t>POST-10826</t>
  </si>
  <si>
    <t>2026-07-10 23:23:31</t>
  </si>
  <si>
    <t>POST-10827</t>
  </si>
  <si>
    <t>2026-08-11 22:28:09</t>
  </si>
  <si>
    <t>POST-10828</t>
  </si>
  <si>
    <t>2026-02-25 11:01:25</t>
  </si>
  <si>
    <t>POST-10829</t>
  </si>
  <si>
    <t>2026-08-07 13:31:42</t>
  </si>
  <si>
    <t>POST-10830</t>
  </si>
  <si>
    <t>2026-06-11 17:43:39</t>
  </si>
  <si>
    <t>POST-10831</t>
  </si>
  <si>
    <t>2026-02-23 18:44:14</t>
  </si>
  <si>
    <t>POST-10832</t>
  </si>
  <si>
    <t>2026-07-28 15:31:36</t>
  </si>
  <si>
    <t>POST-10833</t>
  </si>
  <si>
    <t>2026-07-19 14:50:49</t>
  </si>
  <si>
    <t>POST-10834</t>
  </si>
  <si>
    <t>2026-08-16 01:12:52</t>
  </si>
  <si>
    <t>POST-10835</t>
  </si>
  <si>
    <t>2026-02-22 12:18:01</t>
  </si>
  <si>
    <t>POST-10836</t>
  </si>
  <si>
    <t>2026-07-01 03:29:18</t>
  </si>
  <si>
    <t>POST-10837</t>
  </si>
  <si>
    <t>2026-02-15 18:39:53</t>
  </si>
  <si>
    <t>POST-10838</t>
  </si>
  <si>
    <t>2026-04-03 19:21:05</t>
  </si>
  <si>
    <t>POST-10839</t>
  </si>
  <si>
    <t>2026-08-11 16:14:15</t>
  </si>
  <si>
    <t>POST-10840</t>
  </si>
  <si>
    <t>2026-06-13 05:25:01</t>
  </si>
  <si>
    <t>POST-10841</t>
  </si>
  <si>
    <t>2026-08-14 19:32:57</t>
  </si>
  <si>
    <t>POST-10842</t>
  </si>
  <si>
    <t>2026-03-25 16:25:07</t>
  </si>
  <si>
    <t>POST-10843</t>
  </si>
  <si>
    <t>2026-05-27 07:47:19</t>
  </si>
  <si>
    <t>POST-10844</t>
  </si>
  <si>
    <t>2026-02-22 23:46:24</t>
  </si>
  <si>
    <t>POST-10845</t>
  </si>
  <si>
    <t>2026-01-09 03:03:54</t>
  </si>
  <si>
    <t>POST-10846</t>
  </si>
  <si>
    <t>2026-06-17 08:19:49</t>
  </si>
  <si>
    <t>POST-10847</t>
  </si>
  <si>
    <t>2026-02-14 08:07:05</t>
  </si>
  <si>
    <t>POST-10848</t>
  </si>
  <si>
    <t>2026-04-16 13:00:36</t>
  </si>
  <si>
    <t>POST-10849</t>
  </si>
  <si>
    <t>2026-05-25 21:35:44</t>
  </si>
  <si>
    <t>POST-10850</t>
  </si>
  <si>
    <t>2026-07-09 04:22:26</t>
  </si>
  <si>
    <t>POST-10851</t>
  </si>
  <si>
    <t>2026-08-15 12:21:59</t>
  </si>
  <si>
    <t>POST-10852</t>
  </si>
  <si>
    <t>2026-05-27 12:52:50</t>
  </si>
  <si>
    <t>POST-10853</t>
  </si>
  <si>
    <t>2026-03-27 23:07:20</t>
  </si>
  <si>
    <t>POST-10854</t>
  </si>
  <si>
    <t>2026-07-12 14:45:00</t>
  </si>
  <si>
    <t>POST-10855</t>
  </si>
  <si>
    <t>2026-01-31 14:11:52</t>
  </si>
  <si>
    <t>POST-10856</t>
  </si>
  <si>
    <t>2026-06-13 03:37:02</t>
  </si>
  <si>
    <t>POST-10857</t>
  </si>
  <si>
    <t>2026-06-25 23:01:24</t>
  </si>
  <si>
    <t>POST-10858</t>
  </si>
  <si>
    <t>2026-03-24 17:35:49</t>
  </si>
  <si>
    <t>POST-10859</t>
  </si>
  <si>
    <t>2026-07-26 01:41:46</t>
  </si>
  <si>
    <t>POST-10860</t>
  </si>
  <si>
    <t>2026-02-20 23:31:15</t>
  </si>
  <si>
    <t>POST-10861</t>
  </si>
  <si>
    <t>2026-01-26 13:08:08</t>
  </si>
  <si>
    <t>POST-10862</t>
  </si>
  <si>
    <t>2026-05-24 06:27:04</t>
  </si>
  <si>
    <t>POST-10863</t>
  </si>
  <si>
    <t>2026-03-09 23:04:50</t>
  </si>
  <si>
    <t>POST-10864</t>
  </si>
  <si>
    <t>2026-05-31 00:00:19</t>
  </si>
  <si>
    <t>POST-10865</t>
  </si>
  <si>
    <t>2026-02-03 00:09:55</t>
  </si>
  <si>
    <t>POST-10866</t>
  </si>
  <si>
    <t>2026-07-19 20:01:12</t>
  </si>
  <si>
    <t>POST-10867</t>
  </si>
  <si>
    <t>2026-05-08 10:27:38</t>
  </si>
  <si>
    <t>POST-10868</t>
  </si>
  <si>
    <t>2026-06-04 18:58:19</t>
  </si>
  <si>
    <t>POST-10869</t>
  </si>
  <si>
    <t>2026-05-06 18:34:33</t>
  </si>
  <si>
    <t>POST-10870</t>
  </si>
  <si>
    <t>2026-02-19 18:33:43</t>
  </si>
  <si>
    <t>POST-10871</t>
  </si>
  <si>
    <t>2026-02-22 22:37:33</t>
  </si>
  <si>
    <t>POST-10872</t>
  </si>
  <si>
    <t>2026-05-26 22:34:21</t>
  </si>
  <si>
    <t>POST-10873</t>
  </si>
  <si>
    <t>2026-05-30 16:32:36</t>
  </si>
  <si>
    <t>POST-10874</t>
  </si>
  <si>
    <t>2026-01-11 10:17:06</t>
  </si>
  <si>
    <t>POST-10875</t>
  </si>
  <si>
    <t>2026-03-14 21:15:14</t>
  </si>
  <si>
    <t>POST-10876</t>
  </si>
  <si>
    <t>2026-02-11 10:36:47</t>
  </si>
  <si>
    <t>POST-10877</t>
  </si>
  <si>
    <t>2026-04-23 02:55:38</t>
  </si>
  <si>
    <t>POST-10878</t>
  </si>
  <si>
    <t>2026-02-23 05:31:27</t>
  </si>
  <si>
    <t>POST-10879</t>
  </si>
  <si>
    <t>2026-04-14 14:13:20</t>
  </si>
  <si>
    <t>POST-10880</t>
  </si>
  <si>
    <t>2026-01-06 20:36:22</t>
  </si>
  <si>
    <t>POST-10881</t>
  </si>
  <si>
    <t>2026-05-31 04:33:38</t>
  </si>
  <si>
    <t>POST-10882</t>
  </si>
  <si>
    <t>2026-02-08 17:09:54</t>
  </si>
  <si>
    <t>POST-10883</t>
  </si>
  <si>
    <t>2026-04-19 13:15:01</t>
  </si>
  <si>
    <t>POST-10884</t>
  </si>
  <si>
    <t>2026-03-04 08:20:54</t>
  </si>
  <si>
    <t>POST-10885</t>
  </si>
  <si>
    <t>2026-04-29 15:29:11</t>
  </si>
  <si>
    <t>POST-10886</t>
  </si>
  <si>
    <t>2026-06-16 00:22:50</t>
  </si>
  <si>
    <t>POST-10887</t>
  </si>
  <si>
    <t>2026-03-18 11:38:57</t>
  </si>
  <si>
    <t>POST-10888</t>
  </si>
  <si>
    <t>2026-06-16 17:25:15</t>
  </si>
  <si>
    <t>POST-10889</t>
  </si>
  <si>
    <t>2026-01-26 17:23:03</t>
  </si>
  <si>
    <t>POST-10890</t>
  </si>
  <si>
    <t>2026-05-10 13:00:06</t>
  </si>
  <si>
    <t>POST-10891</t>
  </si>
  <si>
    <t>2026-05-14 02:07:56</t>
  </si>
  <si>
    <t>POST-10892</t>
  </si>
  <si>
    <t>2026-07-05 04:17:09</t>
  </si>
  <si>
    <t>POST-10893</t>
  </si>
  <si>
    <t>2026-05-26 16:58:13</t>
  </si>
  <si>
    <t>POST-10894</t>
  </si>
  <si>
    <t>2026-06-08 07:23:54</t>
  </si>
  <si>
    <t>POST-10895</t>
  </si>
  <si>
    <t>2026-07-28 08:27:30</t>
  </si>
  <si>
    <t>POST-10896</t>
  </si>
  <si>
    <t>2026-08-14 15:29:57</t>
  </si>
  <si>
    <t>POST-10897</t>
  </si>
  <si>
    <t>2026-01-15 21:25:52</t>
  </si>
  <si>
    <t>POST-10898</t>
  </si>
  <si>
    <t>2026-03-02 17:15:39</t>
  </si>
  <si>
    <t>POST-10899</t>
  </si>
  <si>
    <t>2026-06-29 04:09:03</t>
  </si>
  <si>
    <t>POST-10900</t>
  </si>
  <si>
    <t>2026-01-11 02:05:02</t>
  </si>
  <si>
    <t>POST-10901</t>
  </si>
  <si>
    <t>2026-08-07 16:10:41</t>
  </si>
  <si>
    <t>POST-10902</t>
  </si>
  <si>
    <t>2026-07-28 20:26:51</t>
  </si>
  <si>
    <t>POST-10903</t>
  </si>
  <si>
    <t>2026-03-14 18:44:20</t>
  </si>
  <si>
    <t>POST-10904</t>
  </si>
  <si>
    <t>2026-04-04 13:25:12</t>
  </si>
  <si>
    <t>POST-10905</t>
  </si>
  <si>
    <t>2026-07-01 21:42:20</t>
  </si>
  <si>
    <t>POST-10906</t>
  </si>
  <si>
    <t>2026-04-17 09:49:00</t>
  </si>
  <si>
    <t>POST-10907</t>
  </si>
  <si>
    <t>2026-04-12 00:37:39</t>
  </si>
  <si>
    <t>POST-10908</t>
  </si>
  <si>
    <t>2026-07-22 10:30:53</t>
  </si>
  <si>
    <t>POST-10909</t>
  </si>
  <si>
    <t>2026-05-16 15:02:14</t>
  </si>
  <si>
    <t>POST-10910</t>
  </si>
  <si>
    <t>2026-07-17 04:50:19</t>
  </si>
  <si>
    <t>POST-10911</t>
  </si>
  <si>
    <t>2026-01-05 05:27:05</t>
  </si>
  <si>
    <t>POST-10912</t>
  </si>
  <si>
    <t>2026-07-15 17:19:34</t>
  </si>
  <si>
    <t>POST-10913</t>
  </si>
  <si>
    <t>2026-02-02 00:49:53</t>
  </si>
  <si>
    <t>POST-10914</t>
  </si>
  <si>
    <t>2026-06-08 10:04:10</t>
  </si>
  <si>
    <t>POST-10915</t>
  </si>
  <si>
    <t>2026-02-12 14:39:40</t>
  </si>
  <si>
    <t>POST-10916</t>
  </si>
  <si>
    <t>2026-02-18 08:36:22</t>
  </si>
  <si>
    <t>POST-10917</t>
  </si>
  <si>
    <t>2026-05-08 01:35:46</t>
  </si>
  <si>
    <t>POST-10918</t>
  </si>
  <si>
    <t>2026-06-28 16:52:24</t>
  </si>
  <si>
    <t>POST-10919</t>
  </si>
  <si>
    <t>2026-05-16 03:38:54</t>
  </si>
  <si>
    <t>POST-10920</t>
  </si>
  <si>
    <t>2026-05-19 10:51:45</t>
  </si>
  <si>
    <t>POST-10921</t>
  </si>
  <si>
    <t>2026-07-09 09:08:04</t>
  </si>
  <si>
    <t>POST-10922</t>
  </si>
  <si>
    <t>2026-06-17 02:44:55</t>
  </si>
  <si>
    <t>POST-10923</t>
  </si>
  <si>
    <t>2026-07-18 14:31:35</t>
  </si>
  <si>
    <t>POST-10924</t>
  </si>
  <si>
    <t>2026-08-16 11:45:26</t>
  </si>
  <si>
    <t>POST-10925</t>
  </si>
  <si>
    <t>2026-03-01 15:47:02</t>
  </si>
  <si>
    <t>POST-10926</t>
  </si>
  <si>
    <t>2026-06-15 11:55:23</t>
  </si>
  <si>
    <t>POST-10927</t>
  </si>
  <si>
    <t>2026-05-06 16:27:03</t>
  </si>
  <si>
    <t>POST-10928</t>
  </si>
  <si>
    <t>2026-07-16 08:30:50</t>
  </si>
  <si>
    <t>POST-10929</t>
  </si>
  <si>
    <t>2026-02-04 08:49:15</t>
  </si>
  <si>
    <t>POST-10930</t>
  </si>
  <si>
    <t>2026-08-15 11:15:57</t>
  </si>
  <si>
    <t>POST-10931</t>
  </si>
  <si>
    <t>2026-05-22 21:36:21</t>
  </si>
  <si>
    <t>POST-10932</t>
  </si>
  <si>
    <t>2026-04-02 11:24:30</t>
  </si>
  <si>
    <t>POST-10933</t>
  </si>
  <si>
    <t>2026-08-18 12:14:26</t>
  </si>
  <si>
    <t>POST-10934</t>
  </si>
  <si>
    <t>2026-01-04 02:26:07</t>
  </si>
  <si>
    <t>POST-10935</t>
  </si>
  <si>
    <t>2026-03-13 01:10:42</t>
  </si>
  <si>
    <t>POST-10936</t>
  </si>
  <si>
    <t>2026-01-08 07:06:40</t>
  </si>
  <si>
    <t>POST-10937</t>
  </si>
  <si>
    <t>2026-02-28 03:08:02</t>
  </si>
  <si>
    <t>POST-10938</t>
  </si>
  <si>
    <t>2026-07-15 13:13:04</t>
  </si>
  <si>
    <t>POST-10939</t>
  </si>
  <si>
    <t>2026-03-26 22:10:53</t>
  </si>
  <si>
    <t>POST-10940</t>
  </si>
  <si>
    <t>2026-02-20 20:18:24</t>
  </si>
  <si>
    <t>POST-10941</t>
  </si>
  <si>
    <t>2026-07-03 07:52:08</t>
  </si>
  <si>
    <t>POST-10942</t>
  </si>
  <si>
    <t>2026-03-08 18:35:08</t>
  </si>
  <si>
    <t>POST-10943</t>
  </si>
  <si>
    <t>2026-03-24 22:10:43</t>
  </si>
  <si>
    <t>POST-10944</t>
  </si>
  <si>
    <t>2026-01-21 10:44:12</t>
  </si>
  <si>
    <t>POST-10945</t>
  </si>
  <si>
    <t>2026-03-16 17:16:10</t>
  </si>
  <si>
    <t>POST-10946</t>
  </si>
  <si>
    <t>2026-04-22 22:01:02</t>
  </si>
  <si>
    <t>POST-10947</t>
  </si>
  <si>
    <t>2026-04-16 12:51:17</t>
  </si>
  <si>
    <t>POST-10948</t>
  </si>
  <si>
    <t>2026-03-03 21:38:54</t>
  </si>
  <si>
    <t>POST-10949</t>
  </si>
  <si>
    <t>2026-01-13 11:55:25</t>
  </si>
  <si>
    <t>POST-10950</t>
  </si>
  <si>
    <t>2026-04-08 06:48:12</t>
  </si>
  <si>
    <t>POST-10951</t>
  </si>
  <si>
    <t>2026-04-15 17:10:01</t>
  </si>
  <si>
    <t>POST-10952</t>
  </si>
  <si>
    <t>2026-06-11 20:10:22</t>
  </si>
  <si>
    <t>POST-10953</t>
  </si>
  <si>
    <t>2026-04-07 17:26:50</t>
  </si>
  <si>
    <t>POST-10954</t>
  </si>
  <si>
    <t>2026-07-05 12:29:39</t>
  </si>
  <si>
    <t>POST-10955</t>
  </si>
  <si>
    <t>2026-03-23 06:07:25</t>
  </si>
  <si>
    <t>POST-10956</t>
  </si>
  <si>
    <t>2026-02-20 23:13:08</t>
  </si>
  <si>
    <t>POST-10957</t>
  </si>
  <si>
    <t>2026-05-09 21:49:35</t>
  </si>
  <si>
    <t>POST-10958</t>
  </si>
  <si>
    <t>2026-06-26 20:21:30</t>
  </si>
  <si>
    <t>POST-10959</t>
  </si>
  <si>
    <t>2026-01-15 10:19:38</t>
  </si>
  <si>
    <t>POST-10960</t>
  </si>
  <si>
    <t>2026-02-10 14:38:38</t>
  </si>
  <si>
    <t>POST-10961</t>
  </si>
  <si>
    <t>2026-07-11 09:53:23</t>
  </si>
  <si>
    <t>POST-10962</t>
  </si>
  <si>
    <t>2026-02-19 09:33:56</t>
  </si>
  <si>
    <t>POST-10963</t>
  </si>
  <si>
    <t>2026-03-07 18:22:03</t>
  </si>
  <si>
    <t>POST-10964</t>
  </si>
  <si>
    <t>2026-01-11 11:15:19</t>
  </si>
  <si>
    <t>POST-10965</t>
  </si>
  <si>
    <t>2026-04-07 03:46:07</t>
  </si>
  <si>
    <t>POST-10966</t>
  </si>
  <si>
    <t>2026-01-06 06:28:16</t>
  </si>
  <si>
    <t>POST-10967</t>
  </si>
  <si>
    <t>2026-07-15 03:47:46</t>
  </si>
  <si>
    <t>POST-10968</t>
  </si>
  <si>
    <t>2026-03-22 02:39:50</t>
  </si>
  <si>
    <t>POST-10969</t>
  </si>
  <si>
    <t>2026-06-29 08:35:30</t>
  </si>
  <si>
    <t>POST-10970</t>
  </si>
  <si>
    <t>2026-03-26 05:42:38</t>
  </si>
  <si>
    <t>POST-10971</t>
  </si>
  <si>
    <t>2026-06-28 02:39:27</t>
  </si>
  <si>
    <t>POST-10972</t>
  </si>
  <si>
    <t>2026-08-01 14:00:35</t>
  </si>
  <si>
    <t>POST-10973</t>
  </si>
  <si>
    <t>2026-03-04 02:50:49</t>
  </si>
  <si>
    <t>POST-10974</t>
  </si>
  <si>
    <t>2026-01-17 09:07:53</t>
  </si>
  <si>
    <t>POST-10975</t>
  </si>
  <si>
    <t>2026-03-13 10:18:40</t>
  </si>
  <si>
    <t>POST-10976</t>
  </si>
  <si>
    <t>2026-02-27 04:17:17</t>
  </si>
  <si>
    <t>POST-10977</t>
  </si>
  <si>
    <t>2026-01-06 01:51:05</t>
  </si>
  <si>
    <t>POST-10978</t>
  </si>
  <si>
    <t>2026-02-20 14:29:14</t>
  </si>
  <si>
    <t>POST-10979</t>
  </si>
  <si>
    <t>2026-01-27 10:38:10</t>
  </si>
  <si>
    <t>POST-10980</t>
  </si>
  <si>
    <t>2026-08-18 05:34:18</t>
  </si>
  <si>
    <t>POST-10981</t>
  </si>
  <si>
    <t>2026-01-14 15:28:13</t>
  </si>
  <si>
    <t>POST-10982</t>
  </si>
  <si>
    <t>2026-08-13 23:57:52</t>
  </si>
  <si>
    <t>POST-10983</t>
  </si>
  <si>
    <t>2026-07-14 21:55:52</t>
  </si>
  <si>
    <t>POST-10984</t>
  </si>
  <si>
    <t>2026-05-21 07:40:27</t>
  </si>
  <si>
    <t>POST-10985</t>
  </si>
  <si>
    <t>2026-04-08 01:09:05</t>
  </si>
  <si>
    <t>POST-10986</t>
  </si>
  <si>
    <t>2026-04-15 02:09:46</t>
  </si>
  <si>
    <t>POST-10987</t>
  </si>
  <si>
    <t>2026-04-22 03:38:34</t>
  </si>
  <si>
    <t>POST-10988</t>
  </si>
  <si>
    <t>2026-07-04 06:16:32</t>
  </si>
  <si>
    <t>POST-10989</t>
  </si>
  <si>
    <t>2026-01-11 06:41:28</t>
  </si>
  <si>
    <t>POST-10990</t>
  </si>
  <si>
    <t>2026-06-07 10:46:40</t>
  </si>
  <si>
    <t>POST-10991</t>
  </si>
  <si>
    <t>2026-05-08 07:02:50</t>
  </si>
  <si>
    <t>POST-10992</t>
  </si>
  <si>
    <t>2026-04-10 20:46:39</t>
  </si>
  <si>
    <t>POST-10993</t>
  </si>
  <si>
    <t>2026-04-11 14:08:22</t>
  </si>
  <si>
    <t>POST-10994</t>
  </si>
  <si>
    <t>2026-08-20 02:59:06</t>
  </si>
  <si>
    <t>POST-10995</t>
  </si>
  <si>
    <t>2026-05-28 13:25:37</t>
  </si>
  <si>
    <t>POST-10996</t>
  </si>
  <si>
    <t>2026-08-07 01:20:01</t>
  </si>
  <si>
    <t>POST-10997</t>
  </si>
  <si>
    <t>2026-05-05 03:30:10</t>
  </si>
  <si>
    <t>POST-10998</t>
  </si>
  <si>
    <t>2026-01-28 14:46:11</t>
  </si>
  <si>
    <t>POST-10999</t>
  </si>
  <si>
    <t>2026-06-29 04:51:06</t>
  </si>
  <si>
    <t>POST-11000</t>
  </si>
  <si>
    <t>2026-04-03 12:15:54</t>
  </si>
  <si>
    <t>POST-11001</t>
  </si>
  <si>
    <t>2026-04-17 22:34:28</t>
  </si>
  <si>
    <t>POST-11002</t>
  </si>
  <si>
    <t>2026-07-22 06:53:39</t>
  </si>
  <si>
    <t>POST-11003</t>
  </si>
  <si>
    <t>2026-07-25 17:23:40</t>
  </si>
  <si>
    <t>POST-11004</t>
  </si>
  <si>
    <t>2026-01-10 00:13:40</t>
  </si>
  <si>
    <t>POST-11005</t>
  </si>
  <si>
    <t>2026-06-26 15:27:28</t>
  </si>
  <si>
    <t>POST-11006</t>
  </si>
  <si>
    <t>2026-02-15 06:34:51</t>
  </si>
  <si>
    <t>POST-11007</t>
  </si>
  <si>
    <t>2026-03-09 23:10:13</t>
  </si>
  <si>
    <t>POST-11008</t>
  </si>
  <si>
    <t>2026-07-11 19:35:40</t>
  </si>
  <si>
    <t>POST-11009</t>
  </si>
  <si>
    <t>2026-03-04 07:06:25</t>
  </si>
  <si>
    <t>POST-11010</t>
  </si>
  <si>
    <t>2026-08-03 08:20:11</t>
  </si>
  <si>
    <t>POST-11011</t>
  </si>
  <si>
    <t>2026-03-02 13:20:41</t>
  </si>
  <si>
    <t>POST-11012</t>
  </si>
  <si>
    <t>2026-03-16 15:01:36</t>
  </si>
  <si>
    <t>POST-11013</t>
  </si>
  <si>
    <t>2026-01-18 13:03:21</t>
  </si>
  <si>
    <t>POST-11014</t>
  </si>
  <si>
    <t>2026-07-12 11:08:50</t>
  </si>
  <si>
    <t>POST-11015</t>
  </si>
  <si>
    <t>2026-05-26 22:22:43</t>
  </si>
  <si>
    <t>POST-11016</t>
  </si>
  <si>
    <t>2026-03-02 20:41:05</t>
  </si>
  <si>
    <t>POST-11017</t>
  </si>
  <si>
    <t>2026-05-28 13:49:59</t>
  </si>
  <si>
    <t>POST-11018</t>
  </si>
  <si>
    <t>2026-01-22 14:43:37</t>
  </si>
  <si>
    <t>POST-11019</t>
  </si>
  <si>
    <t>2026-07-13 05:08:03</t>
  </si>
  <si>
    <t>POST-11020</t>
  </si>
  <si>
    <t>2026-05-16 22:59:15</t>
  </si>
  <si>
    <t>POST-11021</t>
  </si>
  <si>
    <t>2026-01-27 12:48:50</t>
  </si>
  <si>
    <t>POST-11022</t>
  </si>
  <si>
    <t>2026-03-15 20:08:01</t>
  </si>
  <si>
    <t>POST-11023</t>
  </si>
  <si>
    <t>2026-02-03 06:37:31</t>
  </si>
  <si>
    <t>POST-11024</t>
  </si>
  <si>
    <t>2026-01-21 07:49:09</t>
  </si>
  <si>
    <t>POST-11025</t>
  </si>
  <si>
    <t>2026-04-21 21:55:37</t>
  </si>
  <si>
    <t>POST-11026</t>
  </si>
  <si>
    <t>2026-07-01 17:02:15</t>
  </si>
  <si>
    <t>POST-11027</t>
  </si>
  <si>
    <t>2026-03-31 19:18:27</t>
  </si>
  <si>
    <t>POST-11028</t>
  </si>
  <si>
    <t>2026-01-08 07:50:26</t>
  </si>
  <si>
    <t>POST-11029</t>
  </si>
  <si>
    <t>2026-02-08 02:01:55</t>
  </si>
  <si>
    <t>POST-11030</t>
  </si>
  <si>
    <t>2026-04-04 00:17:31</t>
  </si>
  <si>
    <t>POST-11031</t>
  </si>
  <si>
    <t>2026-05-08 08:13:07</t>
  </si>
  <si>
    <t>POST-11032</t>
  </si>
  <si>
    <t>2026-04-22 12:05:22</t>
  </si>
  <si>
    <t>POST-11033</t>
  </si>
  <si>
    <t>2026-01-18 11:03:28</t>
  </si>
  <si>
    <t>POST-11034</t>
  </si>
  <si>
    <t>2026-06-30 06:40:44</t>
  </si>
  <si>
    <t>POST-11035</t>
  </si>
  <si>
    <t>2026-07-30 23:59:58</t>
  </si>
  <si>
    <t>POST-11036</t>
  </si>
  <si>
    <t>2026-04-08 11:09:13</t>
  </si>
  <si>
    <t>POST-11037</t>
  </si>
  <si>
    <t>2026-05-31 02:58:07</t>
  </si>
  <si>
    <t>POST-11038</t>
  </si>
  <si>
    <t>2026-05-19 13:06:05</t>
  </si>
  <si>
    <t>POST-11039</t>
  </si>
  <si>
    <t>2026-07-13 03:36:32</t>
  </si>
  <si>
    <t>POST-11040</t>
  </si>
  <si>
    <t>2026-07-28 10:34:59</t>
  </si>
  <si>
    <t>POST-11041</t>
  </si>
  <si>
    <t>2026-05-19 13:03:51</t>
  </si>
  <si>
    <t>POST-11042</t>
  </si>
  <si>
    <t>2026-06-21 10:59:10</t>
  </si>
  <si>
    <t>POST-11043</t>
  </si>
  <si>
    <t>2026-08-06 23:42:40</t>
  </si>
  <si>
    <t>POST-11044</t>
  </si>
  <si>
    <t>2026-05-05 17:43:57</t>
  </si>
  <si>
    <t>POST-11045</t>
  </si>
  <si>
    <t>2026-06-04 21:44:40</t>
  </si>
  <si>
    <t>POST-11046</t>
  </si>
  <si>
    <t>2026-04-09 12:10:59</t>
  </si>
  <si>
    <t>POST-11047</t>
  </si>
  <si>
    <t>2026-06-07 09:56:27</t>
  </si>
  <si>
    <t>POST-11048</t>
  </si>
  <si>
    <t>2026-01-30 02:57:48</t>
  </si>
  <si>
    <t>POST-11049</t>
  </si>
  <si>
    <t>2026-05-11 11:25:21</t>
  </si>
  <si>
    <t>POST-11050</t>
  </si>
  <si>
    <t>2026-04-17 20:54:04</t>
  </si>
  <si>
    <t>POST-11051</t>
  </si>
  <si>
    <t>2026-08-03 01:09:06</t>
  </si>
  <si>
    <t>POST-11052</t>
  </si>
  <si>
    <t>2026-06-20 01:39:51</t>
  </si>
  <si>
    <t>POST-11053</t>
  </si>
  <si>
    <t>2026-02-02 03:08:46</t>
  </si>
  <si>
    <t>POST-11054</t>
  </si>
  <si>
    <t>2026-01-16 15:53:38</t>
  </si>
  <si>
    <t>POST-11055</t>
  </si>
  <si>
    <t>2026-01-13 08:38:41</t>
  </si>
  <si>
    <t>POST-11056</t>
  </si>
  <si>
    <t>2026-06-07 21:27:31</t>
  </si>
  <si>
    <t>POST-11057</t>
  </si>
  <si>
    <t>2026-07-20 17:49:20</t>
  </si>
  <si>
    <t>POST-11058</t>
  </si>
  <si>
    <t>2026-03-16 09:06:25</t>
  </si>
  <si>
    <t>POST-11059</t>
  </si>
  <si>
    <t>2026-08-14 23:44:42</t>
  </si>
  <si>
    <t>POST-11060</t>
  </si>
  <si>
    <t>2026-07-28 16:34:51</t>
  </si>
  <si>
    <t>POST-11061</t>
  </si>
  <si>
    <t>2026-02-15 02:38:56</t>
  </si>
  <si>
    <t>POST-11062</t>
  </si>
  <si>
    <t>2026-05-16 16:14:47</t>
  </si>
  <si>
    <t>POST-11063</t>
  </si>
  <si>
    <t>2026-05-12 13:19:08</t>
  </si>
  <si>
    <t>POST-11064</t>
  </si>
  <si>
    <t>2026-06-16 22:21:47</t>
  </si>
  <si>
    <t>POST-11065</t>
  </si>
  <si>
    <t>2026-07-07 10:28:28</t>
  </si>
  <si>
    <t>POST-11066</t>
  </si>
  <si>
    <t>2026-05-02 19:45:00</t>
  </si>
  <si>
    <t>POST-11067</t>
  </si>
  <si>
    <t>2026-05-21 00:53:09</t>
  </si>
  <si>
    <t>POST-11068</t>
  </si>
  <si>
    <t>2026-01-18 21:22:11</t>
  </si>
  <si>
    <t>POST-11069</t>
  </si>
  <si>
    <t>2026-07-21 01:06:00</t>
  </si>
  <si>
    <t>POST-11070</t>
  </si>
  <si>
    <t>2026-05-17 00:49:09</t>
  </si>
  <si>
    <t>POST-11071</t>
  </si>
  <si>
    <t>2026-07-07 03:34:47</t>
  </si>
  <si>
    <t>POST-11072</t>
  </si>
  <si>
    <t>2026-06-16 05:35:31</t>
  </si>
  <si>
    <t>POST-11073</t>
  </si>
  <si>
    <t>2026-02-14 08:01:04</t>
  </si>
  <si>
    <t>POST-11074</t>
  </si>
  <si>
    <t>2026-01-04 01:05:52</t>
  </si>
  <si>
    <t>POST-11075</t>
  </si>
  <si>
    <t>2026-01-13 23:17:26</t>
  </si>
  <si>
    <t>POST-11076</t>
  </si>
  <si>
    <t>2026-07-12 20:58:11</t>
  </si>
  <si>
    <t>POST-11077</t>
  </si>
  <si>
    <t>2026-01-19 08:57:41</t>
  </si>
  <si>
    <t>POST-11078</t>
  </si>
  <si>
    <t>2026-06-01 16:49:39</t>
  </si>
  <si>
    <t>POST-11079</t>
  </si>
  <si>
    <t>2026-02-10 20:38:29</t>
  </si>
  <si>
    <t>POST-11080</t>
  </si>
  <si>
    <t>2026-07-26 02:27:11</t>
  </si>
  <si>
    <t>POST-11081</t>
  </si>
  <si>
    <t>2026-06-12 00:36:35</t>
  </si>
  <si>
    <t>POST-11082</t>
  </si>
  <si>
    <t>2026-04-28 23:29:18</t>
  </si>
  <si>
    <t>POST-11083</t>
  </si>
  <si>
    <t>2026-02-05 21:17:11</t>
  </si>
  <si>
    <t>POST-11084</t>
  </si>
  <si>
    <t>2026-07-31 01:22:43</t>
  </si>
  <si>
    <t>POST-11085</t>
  </si>
  <si>
    <t>2026-07-07 09:04:40</t>
  </si>
  <si>
    <t>POST-11086</t>
  </si>
  <si>
    <t>2026-06-06 18:56:46</t>
  </si>
  <si>
    <t>POST-11087</t>
  </si>
  <si>
    <t>2026-05-19 19:00:30</t>
  </si>
  <si>
    <t>POST-11088</t>
  </si>
  <si>
    <t>2026-01-22 07:56:02</t>
  </si>
  <si>
    <t>POST-11089</t>
  </si>
  <si>
    <t>2026-06-17 10:56:32</t>
  </si>
  <si>
    <t>POST-11090</t>
  </si>
  <si>
    <t>2026-03-30 12:38:16</t>
  </si>
  <si>
    <t>POST-11091</t>
  </si>
  <si>
    <t>2026-07-05 10:02:16</t>
  </si>
  <si>
    <t>POST-11092</t>
  </si>
  <si>
    <t>2026-03-08 00:48:56</t>
  </si>
  <si>
    <t>POST-11093</t>
  </si>
  <si>
    <t>2026-03-19 01:32:12</t>
  </si>
  <si>
    <t>POST-11094</t>
  </si>
  <si>
    <t>2026-04-25 22:59:17</t>
  </si>
  <si>
    <t>POST-11095</t>
  </si>
  <si>
    <t>2026-03-25 11:02:31</t>
  </si>
  <si>
    <t>POST-11096</t>
  </si>
  <si>
    <t>2026-07-26 17:45:28</t>
  </si>
  <si>
    <t>POST-11097</t>
  </si>
  <si>
    <t>2026-01-01 10:42:08</t>
  </si>
  <si>
    <t>POST-11098</t>
  </si>
  <si>
    <t>2026-08-13 19:51:41</t>
  </si>
  <si>
    <t>POST-11099</t>
  </si>
  <si>
    <t>2026-04-02 06:47:37</t>
  </si>
  <si>
    <t>POST-11100</t>
  </si>
  <si>
    <t>2026-01-31 08:17:22</t>
  </si>
  <si>
    <t>POST-11101</t>
  </si>
  <si>
    <t>2026-08-15 03:39:57</t>
  </si>
  <si>
    <t>POST-11102</t>
  </si>
  <si>
    <t>2026-05-28 08:41:01</t>
  </si>
  <si>
    <t>POST-11103</t>
  </si>
  <si>
    <t>2026-07-03 14:42:12</t>
  </si>
  <si>
    <t>POST-11104</t>
  </si>
  <si>
    <t>2026-02-12 04:22:53</t>
  </si>
  <si>
    <t>POST-11105</t>
  </si>
  <si>
    <t>2026-06-29 12:14:50</t>
  </si>
  <si>
    <t>POST-11106</t>
  </si>
  <si>
    <t>2026-05-20 01:58:26</t>
  </si>
  <si>
    <t>POST-11107</t>
  </si>
  <si>
    <t>2026-04-27 18:48:56</t>
  </si>
  <si>
    <t>POST-11108</t>
  </si>
  <si>
    <t>2026-03-03 21:42:51</t>
  </si>
  <si>
    <t>POST-11109</t>
  </si>
  <si>
    <t>2026-07-25 19:53:10</t>
  </si>
  <si>
    <t>POST-11110</t>
  </si>
  <si>
    <t>2026-05-27 23:46:00</t>
  </si>
  <si>
    <t>POST-11111</t>
  </si>
  <si>
    <t>2026-05-01 13:45:44</t>
  </si>
  <si>
    <t>POST-11112</t>
  </si>
  <si>
    <t>2026-06-05 12:32:58</t>
  </si>
  <si>
    <t>POST-11113</t>
  </si>
  <si>
    <t>2026-05-22 14:39:18</t>
  </si>
  <si>
    <t>POST-11114</t>
  </si>
  <si>
    <t>2026-05-16 07:07:04</t>
  </si>
  <si>
    <t>POST-11115</t>
  </si>
  <si>
    <t>2026-02-26 12:08:45</t>
  </si>
  <si>
    <t>POST-11116</t>
  </si>
  <si>
    <t>2026-03-06 20:12:00</t>
  </si>
  <si>
    <t>POST-11117</t>
  </si>
  <si>
    <t>2026-04-18 05:56:52</t>
  </si>
  <si>
    <t>POST-11118</t>
  </si>
  <si>
    <t>2026-07-30 16:04:39</t>
  </si>
  <si>
    <t>POST-11119</t>
  </si>
  <si>
    <t>2026-04-11 22:48:56</t>
  </si>
  <si>
    <t>POST-11120</t>
  </si>
  <si>
    <t>2026-04-21 20:12:43</t>
  </si>
  <si>
    <t>POST-11121</t>
  </si>
  <si>
    <t>2026-01-31 10:18:09</t>
  </si>
  <si>
    <t>POST-11122</t>
  </si>
  <si>
    <t>2026-01-12 01:47:31</t>
  </si>
  <si>
    <t>POST-11123</t>
  </si>
  <si>
    <t>2026-02-22 01:21:51</t>
  </si>
  <si>
    <t>POST-11124</t>
  </si>
  <si>
    <t>2026-06-26 15:04:05</t>
  </si>
  <si>
    <t>POST-11125</t>
  </si>
  <si>
    <t>2026-04-14 02:45:57</t>
  </si>
  <si>
    <t>POST-11126</t>
  </si>
  <si>
    <t>2026-03-13 12:05:11</t>
  </si>
  <si>
    <t>POST-11127</t>
  </si>
  <si>
    <t>2026-06-02 12:20:50</t>
  </si>
  <si>
    <t>POST-11128</t>
  </si>
  <si>
    <t>2026-02-16 20:07:59</t>
  </si>
  <si>
    <t>POST-11129</t>
  </si>
  <si>
    <t>2026-01-15 22:36:26</t>
  </si>
  <si>
    <t>POST-11130</t>
  </si>
  <si>
    <t>2026-04-06 07:35:28</t>
  </si>
  <si>
    <t>POST-11131</t>
  </si>
  <si>
    <t>2026-06-17 05:31:03</t>
  </si>
  <si>
    <t>POST-11132</t>
  </si>
  <si>
    <t>2026-05-28 21:25:43</t>
  </si>
  <si>
    <t>POST-11133</t>
  </si>
  <si>
    <t>2026-01-17 08:59:59</t>
  </si>
  <si>
    <t>POST-11134</t>
  </si>
  <si>
    <t>2026-02-19 11:27:01</t>
  </si>
  <si>
    <t>POST-11135</t>
  </si>
  <si>
    <t>2026-02-20 20:39:22</t>
  </si>
  <si>
    <t>POST-11136</t>
  </si>
  <si>
    <t>2026-04-02 05:43:13</t>
  </si>
  <si>
    <t>POST-11137</t>
  </si>
  <si>
    <t>2026-06-27 15:50:22</t>
  </si>
  <si>
    <t>POST-11138</t>
  </si>
  <si>
    <t>2026-07-21 11:48:32</t>
  </si>
  <si>
    <t>POST-11139</t>
  </si>
  <si>
    <t>2026-06-11 13:45:05</t>
  </si>
  <si>
    <t>POST-11140</t>
  </si>
  <si>
    <t>2026-02-06 13:58:45</t>
  </si>
  <si>
    <t>POST-11141</t>
  </si>
  <si>
    <t>2026-06-11 13:11:46</t>
  </si>
  <si>
    <t>POST-11142</t>
  </si>
  <si>
    <t>2026-07-24 15:04:54</t>
  </si>
  <si>
    <t>POST-11143</t>
  </si>
  <si>
    <t>2026-05-24 18:09:00</t>
  </si>
  <si>
    <t>POST-11144</t>
  </si>
  <si>
    <t>2026-07-22 23:02:23</t>
  </si>
  <si>
    <t>POST-11145</t>
  </si>
  <si>
    <t>2026-04-20 16:01:36</t>
  </si>
  <si>
    <t>POST-11146</t>
  </si>
  <si>
    <t>2026-04-22 13:42:00</t>
  </si>
  <si>
    <t>POST-11147</t>
  </si>
  <si>
    <t>2026-05-18 02:41:29</t>
  </si>
  <si>
    <t>POST-11148</t>
  </si>
  <si>
    <t>2026-01-08 22:21:44</t>
  </si>
  <si>
    <t>POST-11149</t>
  </si>
  <si>
    <t>2026-06-04 10:40:49</t>
  </si>
  <si>
    <t>POST-11150</t>
  </si>
  <si>
    <t>2026-08-04 08:49:22</t>
  </si>
  <si>
    <t>POST-11151</t>
  </si>
  <si>
    <t>2026-05-21 05:48:27</t>
  </si>
  <si>
    <t>POST-11152</t>
  </si>
  <si>
    <t>2026-01-06 21:15:22</t>
  </si>
  <si>
    <t>POST-11153</t>
  </si>
  <si>
    <t>2026-02-06 02:44:24</t>
  </si>
  <si>
    <t>POST-11154</t>
  </si>
  <si>
    <t>2026-01-21 18:39:18</t>
  </si>
  <si>
    <t>POST-11155</t>
  </si>
  <si>
    <t>2026-03-17 07:14:19</t>
  </si>
  <si>
    <t>POST-11156</t>
  </si>
  <si>
    <t>2026-05-28 16:56:26</t>
  </si>
  <si>
    <t>POST-11157</t>
  </si>
  <si>
    <t>2026-06-22 01:41:49</t>
  </si>
  <si>
    <t>POST-11158</t>
  </si>
  <si>
    <t>2026-03-20 00:22:12</t>
  </si>
  <si>
    <t>POST-11159</t>
  </si>
  <si>
    <t>2026-02-08 07:39:14</t>
  </si>
  <si>
    <t>POST-11160</t>
  </si>
  <si>
    <t>2026-02-18 18:37:21</t>
  </si>
  <si>
    <t>POST-11161</t>
  </si>
  <si>
    <t>2026-02-26 10:04:14</t>
  </si>
  <si>
    <t>POST-11162</t>
  </si>
  <si>
    <t>2026-02-16 16:26:13</t>
  </si>
  <si>
    <t>POST-11163</t>
  </si>
  <si>
    <t>2026-08-20 04:20:45</t>
  </si>
  <si>
    <t>POST-11164</t>
  </si>
  <si>
    <t>2026-01-10 17:13:53</t>
  </si>
  <si>
    <t>POST-11165</t>
  </si>
  <si>
    <t>2026-07-06 13:12:12</t>
  </si>
  <si>
    <t>POST-11166</t>
  </si>
  <si>
    <t>2026-04-23 10:46:44</t>
  </si>
  <si>
    <t>POST-11167</t>
  </si>
  <si>
    <t>2026-04-05 14:03:05</t>
  </si>
  <si>
    <t>POST-11168</t>
  </si>
  <si>
    <t>2026-05-30 07:51:58</t>
  </si>
  <si>
    <t>POST-11169</t>
  </si>
  <si>
    <t>2026-04-30 07:49:06</t>
  </si>
  <si>
    <t>POST-11170</t>
  </si>
  <si>
    <t>2026-04-23 12:50:43</t>
  </si>
  <si>
    <t>POST-11171</t>
  </si>
  <si>
    <t>2026-05-11 07:47:09</t>
  </si>
  <si>
    <t>POST-11172</t>
  </si>
  <si>
    <t>2026-06-28 19:44:35</t>
  </si>
  <si>
    <t>POST-11173</t>
  </si>
  <si>
    <t>2026-06-09 03:16:44</t>
  </si>
  <si>
    <t>POST-11174</t>
  </si>
  <si>
    <t>2026-02-16 13:01:23</t>
  </si>
  <si>
    <t>POST-11175</t>
  </si>
  <si>
    <t>2026-06-28 01:52:12</t>
  </si>
  <si>
    <t>POST-11176</t>
  </si>
  <si>
    <t>2026-02-12 08:55:23</t>
  </si>
  <si>
    <t>POST-11177</t>
  </si>
  <si>
    <t>2026-02-23 13:56:38</t>
  </si>
  <si>
    <t>POST-11178</t>
  </si>
  <si>
    <t>2026-01-22 12:51:38</t>
  </si>
  <si>
    <t>POST-11179</t>
  </si>
  <si>
    <t>2026-03-23 18:48:42</t>
  </si>
  <si>
    <t>POST-11180</t>
  </si>
  <si>
    <t>2026-04-07 10:21:42</t>
  </si>
  <si>
    <t>POST-11181</t>
  </si>
  <si>
    <t>2026-08-06 15:45:54</t>
  </si>
  <si>
    <t>POST-11182</t>
  </si>
  <si>
    <t>2026-02-09 21:34:26</t>
  </si>
  <si>
    <t>POST-11183</t>
  </si>
  <si>
    <t>2026-06-22 08:02:50</t>
  </si>
  <si>
    <t>POST-11184</t>
  </si>
  <si>
    <t>2026-03-22 07:07:38</t>
  </si>
  <si>
    <t>POST-11185</t>
  </si>
  <si>
    <t>2026-03-14 13:39:16</t>
  </si>
  <si>
    <t>POST-11186</t>
  </si>
  <si>
    <t>2026-04-16 02:39:38</t>
  </si>
  <si>
    <t>POST-11187</t>
  </si>
  <si>
    <t>2026-06-27 07:10:45</t>
  </si>
  <si>
    <t>POST-11188</t>
  </si>
  <si>
    <t>2026-08-16 00:57:15</t>
  </si>
  <si>
    <t>POST-11189</t>
  </si>
  <si>
    <t>2026-04-21 13:52:29</t>
  </si>
  <si>
    <t>POST-11190</t>
  </si>
  <si>
    <t>2026-07-11 10:32:21</t>
  </si>
  <si>
    <t>POST-11191</t>
  </si>
  <si>
    <t>2026-08-19 15:45:38</t>
  </si>
  <si>
    <t>POST-11192</t>
  </si>
  <si>
    <t>2026-08-18 23:31:24</t>
  </si>
  <si>
    <t>POST-11193</t>
  </si>
  <si>
    <t>2026-04-15 11:29:58</t>
  </si>
  <si>
    <t>POST-11194</t>
  </si>
  <si>
    <t>2026-07-07 12:44:25</t>
  </si>
  <si>
    <t>POST-11195</t>
  </si>
  <si>
    <t>2026-02-11 18:20:14</t>
  </si>
  <si>
    <t>POST-11196</t>
  </si>
  <si>
    <t>2026-06-08 21:27:37</t>
  </si>
  <si>
    <t>POST-11197</t>
  </si>
  <si>
    <t>2026-05-27 17:25:17</t>
  </si>
  <si>
    <t>POST-11198</t>
  </si>
  <si>
    <t>2026-03-17 02:34:01</t>
  </si>
  <si>
    <t>POST-11199</t>
  </si>
  <si>
    <t>2026-02-05 22:02:25</t>
  </si>
  <si>
    <t>POST-11200</t>
  </si>
  <si>
    <t>2026-02-19 05:51:02</t>
  </si>
  <si>
    <t>POST-11201</t>
  </si>
  <si>
    <t>2026-02-08 22:50:23</t>
  </si>
  <si>
    <t>POST-11202</t>
  </si>
  <si>
    <t>2026-04-02 20:18:06</t>
  </si>
  <si>
    <t>POST-11203</t>
  </si>
  <si>
    <t>2026-05-16 23:10:26</t>
  </si>
  <si>
    <t>POST-11204</t>
  </si>
  <si>
    <t>2026-05-04 16:42:21</t>
  </si>
  <si>
    <t>POST-11205</t>
  </si>
  <si>
    <t>2026-03-22 21:49:11</t>
  </si>
  <si>
    <t>POST-11206</t>
  </si>
  <si>
    <t>2026-06-25 18:23:38</t>
  </si>
  <si>
    <t>POST-11207</t>
  </si>
  <si>
    <t>2026-01-27 13:44:53</t>
  </si>
  <si>
    <t>POST-11208</t>
  </si>
  <si>
    <t>2026-04-29 23:10:27</t>
  </si>
  <si>
    <t>POST-11209</t>
  </si>
  <si>
    <t>2026-02-06 06:54:20</t>
  </si>
  <si>
    <t>POST-11210</t>
  </si>
  <si>
    <t>2026-04-27 17:17:30</t>
  </si>
  <si>
    <t>POST-11211</t>
  </si>
  <si>
    <t>2026-06-30 02:29:12</t>
  </si>
  <si>
    <t>POST-11212</t>
  </si>
  <si>
    <t>2026-08-01 04:33:58</t>
  </si>
  <si>
    <t>POST-11213</t>
  </si>
  <si>
    <t>2026-08-01 01:27:11</t>
  </si>
  <si>
    <t>POST-11214</t>
  </si>
  <si>
    <t>2026-05-13 02:55:06</t>
  </si>
  <si>
    <t>POST-11215</t>
  </si>
  <si>
    <t>2026-03-21 15:13:52</t>
  </si>
  <si>
    <t>POST-11216</t>
  </si>
  <si>
    <t>2026-05-22 18:30:14</t>
  </si>
  <si>
    <t>POST-11217</t>
  </si>
  <si>
    <t>2026-03-13 07:32:49</t>
  </si>
  <si>
    <t>POST-11218</t>
  </si>
  <si>
    <t>2026-04-01 00:08:33</t>
  </si>
  <si>
    <t>POST-11219</t>
  </si>
  <si>
    <t>2026-05-19 14:40:38</t>
  </si>
  <si>
    <t>POST-11220</t>
  </si>
  <si>
    <t>2026-02-11 00:25:33</t>
  </si>
  <si>
    <t>POST-11221</t>
  </si>
  <si>
    <t>2026-05-18 10:17:58</t>
  </si>
  <si>
    <t>POST-11222</t>
  </si>
  <si>
    <t>2026-08-09 21:59:27</t>
  </si>
  <si>
    <t>POST-11223</t>
  </si>
  <si>
    <t>2026-03-23 14:08:43</t>
  </si>
  <si>
    <t>POST-11224</t>
  </si>
  <si>
    <t>2026-03-22 19:07:15</t>
  </si>
  <si>
    <t>POST-11225</t>
  </si>
  <si>
    <t>2026-07-02 22:13:25</t>
  </si>
  <si>
    <t>POST-11226</t>
  </si>
  <si>
    <t>2026-06-08 09:45:00</t>
  </si>
  <si>
    <t>POST-11227</t>
  </si>
  <si>
    <t>2026-04-02 19:50:56</t>
  </si>
  <si>
    <t>POST-11228</t>
  </si>
  <si>
    <t>2026-06-02 21:49:41</t>
  </si>
  <si>
    <t>POST-11229</t>
  </si>
  <si>
    <t>2026-06-28 22:20:40</t>
  </si>
  <si>
    <t>POST-11230</t>
  </si>
  <si>
    <t>2026-02-06 23:26:13</t>
  </si>
  <si>
    <t>POST-11231</t>
  </si>
  <si>
    <t>2026-05-28 09:26:31</t>
  </si>
  <si>
    <t>POST-11232</t>
  </si>
  <si>
    <t>2026-08-09 06:15:53</t>
  </si>
  <si>
    <t>POST-11233</t>
  </si>
  <si>
    <t>2026-07-13 20:53:53</t>
  </si>
  <si>
    <t>POST-11234</t>
  </si>
  <si>
    <t>2026-02-24 20:18:48</t>
  </si>
  <si>
    <t>POST-11235</t>
  </si>
  <si>
    <t>2026-02-18 01:08:25</t>
  </si>
  <si>
    <t>POST-11236</t>
  </si>
  <si>
    <t>2026-03-10 16:04:01</t>
  </si>
  <si>
    <t>POST-11237</t>
  </si>
  <si>
    <t>2026-06-12 12:09:48</t>
  </si>
  <si>
    <t>POST-11238</t>
  </si>
  <si>
    <t>2026-05-07 17:50:09</t>
  </si>
  <si>
    <t>POST-11239</t>
  </si>
  <si>
    <t>2026-04-08 14:03:30</t>
  </si>
  <si>
    <t>POST-11240</t>
  </si>
  <si>
    <t>2026-01-19 02:23:12</t>
  </si>
  <si>
    <t>POST-11241</t>
  </si>
  <si>
    <t>2026-04-29 14:39:29</t>
  </si>
  <si>
    <t>POST-11242</t>
  </si>
  <si>
    <t>2026-01-31 08:51:52</t>
  </si>
  <si>
    <t>POST-11243</t>
  </si>
  <si>
    <t>2026-03-04 21:03:09</t>
  </si>
  <si>
    <t>POST-11244</t>
  </si>
  <si>
    <t>2026-06-21 07:01:37</t>
  </si>
  <si>
    <t>POST-11245</t>
  </si>
  <si>
    <t>2026-05-01 21:05:41</t>
  </si>
  <si>
    <t>POST-11246</t>
  </si>
  <si>
    <t>2026-01-29 18:59:34</t>
  </si>
  <si>
    <t>POST-11247</t>
  </si>
  <si>
    <t>2026-05-13 05:26:08</t>
  </si>
  <si>
    <t>POST-11248</t>
  </si>
  <si>
    <t>2026-05-27 09:31:18</t>
  </si>
  <si>
    <t>POST-11249</t>
  </si>
  <si>
    <t>2026-06-10 12:53:12</t>
  </si>
  <si>
    <t>POST-11250</t>
  </si>
  <si>
    <t>2026-08-08 08:10:04</t>
  </si>
  <si>
    <t>POST-11251</t>
  </si>
  <si>
    <t>2026-04-07 15:50:18</t>
  </si>
  <si>
    <t>POST-11252</t>
  </si>
  <si>
    <t>2026-08-08 10:24:36</t>
  </si>
  <si>
    <t>POST-11253</t>
  </si>
  <si>
    <t>2026-07-24 07:21:19</t>
  </si>
  <si>
    <t>POST-11254</t>
  </si>
  <si>
    <t>2026-04-22 11:56:06</t>
  </si>
  <si>
    <t>POST-11255</t>
  </si>
  <si>
    <t>2026-02-08 08:12:40</t>
  </si>
  <si>
    <t>POST-11256</t>
  </si>
  <si>
    <t>2026-03-11 20:27:28</t>
  </si>
  <si>
    <t>POST-11257</t>
  </si>
  <si>
    <t>2026-02-27 00:28:38</t>
  </si>
  <si>
    <t>POST-11258</t>
  </si>
  <si>
    <t>2026-04-16 17:10:59</t>
  </si>
  <si>
    <t>POST-11259</t>
  </si>
  <si>
    <t>2026-01-19 04:11:50</t>
  </si>
  <si>
    <t>POST-11260</t>
  </si>
  <si>
    <t>2026-02-03 01:15:33</t>
  </si>
  <si>
    <t>POST-11261</t>
  </si>
  <si>
    <t>2026-01-09 04:57:16</t>
  </si>
  <si>
    <t>POST-11262</t>
  </si>
  <si>
    <t>2026-08-13 17:41:11</t>
  </si>
  <si>
    <t>POST-11263</t>
  </si>
  <si>
    <t>2026-07-07 17:31:54</t>
  </si>
  <si>
    <t>POST-11264</t>
  </si>
  <si>
    <t>2026-02-16 20:28:00</t>
  </si>
  <si>
    <t>POST-11265</t>
  </si>
  <si>
    <t>2026-04-16 01:28:32</t>
  </si>
  <si>
    <t>POST-11266</t>
  </si>
  <si>
    <t>2026-05-25 23:19:09</t>
  </si>
  <si>
    <t>POST-11267</t>
  </si>
  <si>
    <t>2026-08-04 16:38:47</t>
  </si>
  <si>
    <t>POST-11268</t>
  </si>
  <si>
    <t>2026-05-07 14:34:35</t>
  </si>
  <si>
    <t>POST-11269</t>
  </si>
  <si>
    <t>2026-01-18 00:33:17</t>
  </si>
  <si>
    <t>POST-11270</t>
  </si>
  <si>
    <t>2026-03-21 14:42:47</t>
  </si>
  <si>
    <t>POST-11271</t>
  </si>
  <si>
    <t>2026-07-03 07:41:55</t>
  </si>
  <si>
    <t>POST-11272</t>
  </si>
  <si>
    <t>2026-01-09 08:13:19</t>
  </si>
  <si>
    <t>POST-11273</t>
  </si>
  <si>
    <t>2026-04-10 12:48:22</t>
  </si>
  <si>
    <t>POST-11274</t>
  </si>
  <si>
    <t>2026-04-23 18:14:21</t>
  </si>
  <si>
    <t>POST-11275</t>
  </si>
  <si>
    <t>2026-01-16 06:14:29</t>
  </si>
  <si>
    <t>POST-11276</t>
  </si>
  <si>
    <t>2026-04-09 16:30:31</t>
  </si>
  <si>
    <t>POST-11277</t>
  </si>
  <si>
    <t>2026-05-21 19:50:22</t>
  </si>
  <si>
    <t>POST-11278</t>
  </si>
  <si>
    <t>2026-04-12 02:02:50</t>
  </si>
  <si>
    <t>POST-11279</t>
  </si>
  <si>
    <t>2026-01-31 15:36:54</t>
  </si>
  <si>
    <t>POST-11280</t>
  </si>
  <si>
    <t>2026-07-29 04:33:49</t>
  </si>
  <si>
    <t>POST-11281</t>
  </si>
  <si>
    <t>2026-01-29 07:27:38</t>
  </si>
  <si>
    <t>POST-11282</t>
  </si>
  <si>
    <t>2026-07-23 15:14:42</t>
  </si>
  <si>
    <t>POST-11283</t>
  </si>
  <si>
    <t>2026-05-11 02:50:27</t>
  </si>
  <si>
    <t>POST-11284</t>
  </si>
  <si>
    <t>2026-04-07 02:31:32</t>
  </si>
  <si>
    <t>POST-11285</t>
  </si>
  <si>
    <t>2026-04-23 07:53:23</t>
  </si>
  <si>
    <t>POST-11286</t>
  </si>
  <si>
    <t>2026-05-05 01:41:48</t>
  </si>
  <si>
    <t>POST-11287</t>
  </si>
  <si>
    <t>2026-06-30 22:42:11</t>
  </si>
  <si>
    <t>POST-11288</t>
  </si>
  <si>
    <t>2026-04-25 21:27:16</t>
  </si>
  <si>
    <t>POST-11289</t>
  </si>
  <si>
    <t>2026-06-27 12:22:38</t>
  </si>
  <si>
    <t>POST-11290</t>
  </si>
  <si>
    <t>2026-06-23 15:11:03</t>
  </si>
  <si>
    <t>POST-11291</t>
  </si>
  <si>
    <t>2026-06-02 22:27:16</t>
  </si>
  <si>
    <t>POST-11292</t>
  </si>
  <si>
    <t>2026-08-09 08:15:53</t>
  </si>
  <si>
    <t>POST-11293</t>
  </si>
  <si>
    <t>2026-07-14 10:53:29</t>
  </si>
  <si>
    <t>POST-11294</t>
  </si>
  <si>
    <t>2026-05-29 01:14:02</t>
  </si>
  <si>
    <t>POST-11295</t>
  </si>
  <si>
    <t>2026-01-25 16:11:43</t>
  </si>
  <si>
    <t>POST-11296</t>
  </si>
  <si>
    <t>2026-08-16 09:56:21</t>
  </si>
  <si>
    <t>POST-11297</t>
  </si>
  <si>
    <t>2026-07-20 22:27:15</t>
  </si>
  <si>
    <t>POST-11298</t>
  </si>
  <si>
    <t>2026-02-27 07:38:14</t>
  </si>
  <si>
    <t>POST-11299</t>
  </si>
  <si>
    <t>2026-07-29 21:03:08</t>
  </si>
  <si>
    <t>POST-11300</t>
  </si>
  <si>
    <t>2026-04-06 08:28:46</t>
  </si>
  <si>
    <t>POST-11301</t>
  </si>
  <si>
    <t>2026-01-28 02:53:54</t>
  </si>
  <si>
    <t>POST-11302</t>
  </si>
  <si>
    <t>2026-05-30 15:11:57</t>
  </si>
  <si>
    <t>POST-11303</t>
  </si>
  <si>
    <t>2026-01-31 03:56:46</t>
  </si>
  <si>
    <t>POST-11304</t>
  </si>
  <si>
    <t>2026-07-13 15:12:56</t>
  </si>
  <si>
    <t>POST-11305</t>
  </si>
  <si>
    <t>2026-07-21 16:48:17</t>
  </si>
  <si>
    <t>POST-11306</t>
  </si>
  <si>
    <t>2026-04-13 14:04:30</t>
  </si>
  <si>
    <t>POST-11307</t>
  </si>
  <si>
    <t>2026-07-23 11:37:08</t>
  </si>
  <si>
    <t>POST-11308</t>
  </si>
  <si>
    <t>2026-06-11 20:16:24</t>
  </si>
  <si>
    <t>POST-11309</t>
  </si>
  <si>
    <t>2026-02-05 16:03:12</t>
  </si>
  <si>
    <t>POST-11310</t>
  </si>
  <si>
    <t>2026-08-04 09:33:54</t>
  </si>
  <si>
    <t>POST-11311</t>
  </si>
  <si>
    <t>2026-07-29 16:40:51</t>
  </si>
  <si>
    <t>POST-11312</t>
  </si>
  <si>
    <t>2026-08-14 15:48:10</t>
  </si>
  <si>
    <t>POST-11313</t>
  </si>
  <si>
    <t>2026-03-28 04:32:50</t>
  </si>
  <si>
    <t>POST-11314</t>
  </si>
  <si>
    <t>2026-05-04 12:42:37</t>
  </si>
  <si>
    <t>POST-11315</t>
  </si>
  <si>
    <t>2026-05-17 13:22:46</t>
  </si>
  <si>
    <t>POST-11316</t>
  </si>
  <si>
    <t>2026-03-12 10:18:36</t>
  </si>
  <si>
    <t>POST-11317</t>
  </si>
  <si>
    <t>2026-08-17 18:52:53</t>
  </si>
  <si>
    <t>POST-11318</t>
  </si>
  <si>
    <t>2026-04-05 14:34:39</t>
  </si>
  <si>
    <t>POST-11319</t>
  </si>
  <si>
    <t>2026-01-10 18:25:17</t>
  </si>
  <si>
    <t>POST-11320</t>
  </si>
  <si>
    <t>2026-04-29 13:12:17</t>
  </si>
  <si>
    <t>POST-11321</t>
  </si>
  <si>
    <t>2026-03-08 17:45:05</t>
  </si>
  <si>
    <t>POST-11322</t>
  </si>
  <si>
    <t>2026-04-03 23:26:57</t>
  </si>
  <si>
    <t>POST-11323</t>
  </si>
  <si>
    <t>2026-05-21 22:01:05</t>
  </si>
  <si>
    <t>POST-11324</t>
  </si>
  <si>
    <t>2026-03-10 19:27:49</t>
  </si>
  <si>
    <t>POST-11325</t>
  </si>
  <si>
    <t>2026-05-25 02:02:17</t>
  </si>
  <si>
    <t>POST-11326</t>
  </si>
  <si>
    <t>2026-07-09 16:11:05</t>
  </si>
  <si>
    <t>POST-11327</t>
  </si>
  <si>
    <t>2026-08-06 04:40:26</t>
  </si>
  <si>
    <t>POST-11328</t>
  </si>
  <si>
    <t>2026-03-31 21:16:57</t>
  </si>
  <si>
    <t>POST-11329</t>
  </si>
  <si>
    <t>2026-05-14 07:38:36</t>
  </si>
  <si>
    <t>POST-11330</t>
  </si>
  <si>
    <t>2026-03-16 15:23:26</t>
  </si>
  <si>
    <t>POST-11331</t>
  </si>
  <si>
    <t>2026-04-14 23:44:50</t>
  </si>
  <si>
    <t>POST-11332</t>
  </si>
  <si>
    <t>2026-04-21 18:13:32</t>
  </si>
  <si>
    <t>POST-11333</t>
  </si>
  <si>
    <t>2026-04-13 08:47:54</t>
  </si>
  <si>
    <t>POST-11334</t>
  </si>
  <si>
    <t>2026-08-10 20:43:46</t>
  </si>
  <si>
    <t>POST-11335</t>
  </si>
  <si>
    <t>2026-05-30 02:11:49</t>
  </si>
  <si>
    <t>POST-11336</t>
  </si>
  <si>
    <t>2026-04-29 10:29:47</t>
  </si>
  <si>
    <t>POST-11337</t>
  </si>
  <si>
    <t>2026-06-22 15:20:19</t>
  </si>
  <si>
    <t>POST-11338</t>
  </si>
  <si>
    <t>2026-01-01 19:16:38</t>
  </si>
  <si>
    <t>POST-11339</t>
  </si>
  <si>
    <t>2026-05-01 07:34:07</t>
  </si>
  <si>
    <t>POST-11340</t>
  </si>
  <si>
    <t>2026-01-14 11:24:41</t>
  </si>
  <si>
    <t>POST-11341</t>
  </si>
  <si>
    <t>2026-04-17 04:19:02</t>
  </si>
  <si>
    <t>POST-11342</t>
  </si>
  <si>
    <t>2026-04-18 01:11:41</t>
  </si>
  <si>
    <t>POST-11343</t>
  </si>
  <si>
    <t>2026-06-11 16:05:04</t>
  </si>
  <si>
    <t>POST-11344</t>
  </si>
  <si>
    <t>2026-08-04 08:15:39</t>
  </si>
  <si>
    <t>POST-11345</t>
  </si>
  <si>
    <t>2026-05-15 05:52:56</t>
  </si>
  <si>
    <t>POST-11346</t>
  </si>
  <si>
    <t>2026-01-24 12:14:29</t>
  </si>
  <si>
    <t>POST-11347</t>
  </si>
  <si>
    <t>2026-07-13 17:15:24</t>
  </si>
  <si>
    <t>POST-11348</t>
  </si>
  <si>
    <t>2026-06-23 08:15:55</t>
  </si>
  <si>
    <t>POST-11349</t>
  </si>
  <si>
    <t>2026-02-02 15:27:02</t>
  </si>
  <si>
    <t>POST-11350</t>
  </si>
  <si>
    <t>2026-01-13 16:11:38</t>
  </si>
  <si>
    <t>POST-11351</t>
  </si>
  <si>
    <t>2026-03-30 20:39:37</t>
  </si>
  <si>
    <t>POST-11352</t>
  </si>
  <si>
    <t>2026-05-07 22:39:11</t>
  </si>
  <si>
    <t>POST-11353</t>
  </si>
  <si>
    <t>2026-07-10 14:48:38</t>
  </si>
  <si>
    <t>POST-11354</t>
  </si>
  <si>
    <t>2026-01-18 17:47:41</t>
  </si>
  <si>
    <t>POST-11355</t>
  </si>
  <si>
    <t>2026-05-19 21:41:20</t>
  </si>
  <si>
    <t>POST-11356</t>
  </si>
  <si>
    <t>2026-04-20 21:38:51</t>
  </si>
  <si>
    <t>POST-11357</t>
  </si>
  <si>
    <t>2026-08-14 08:05:30</t>
  </si>
  <si>
    <t>POST-11358</t>
  </si>
  <si>
    <t>2026-03-16 08:19:15</t>
  </si>
  <si>
    <t>POST-11359</t>
  </si>
  <si>
    <t>2026-02-21 04:10:04</t>
  </si>
  <si>
    <t>POST-11360</t>
  </si>
  <si>
    <t>2026-01-20 02:12:33</t>
  </si>
  <si>
    <t>POST-11361</t>
  </si>
  <si>
    <t>2026-05-07 21:01:28</t>
  </si>
  <si>
    <t>POST-11362</t>
  </si>
  <si>
    <t>2026-01-10 06:35:54</t>
  </si>
  <si>
    <t>POST-11363</t>
  </si>
  <si>
    <t>2026-07-23 19:32:00</t>
  </si>
  <si>
    <t>POST-11364</t>
  </si>
  <si>
    <t>2026-01-30 20:03:41</t>
  </si>
  <si>
    <t>POST-11365</t>
  </si>
  <si>
    <t>2026-07-14 15:38:59</t>
  </si>
  <si>
    <t>POST-11366</t>
  </si>
  <si>
    <t>2026-07-31 01:35:25</t>
  </si>
  <si>
    <t>POST-11367</t>
  </si>
  <si>
    <t>2026-08-10 14:46:15</t>
  </si>
  <si>
    <t>POST-11368</t>
  </si>
  <si>
    <t>2026-01-12 00:46:38</t>
  </si>
  <si>
    <t>POST-11369</t>
  </si>
  <si>
    <t>2026-08-10 15:05:05</t>
  </si>
  <si>
    <t>POST-11370</t>
  </si>
  <si>
    <t>2026-04-14 09:18:29</t>
  </si>
  <si>
    <t>POST-11371</t>
  </si>
  <si>
    <t>2026-08-11 01:43:57</t>
  </si>
  <si>
    <t>POST-11372</t>
  </si>
  <si>
    <t>2026-04-15 12:55:26</t>
  </si>
  <si>
    <t>POST-11373</t>
  </si>
  <si>
    <t>2026-01-02 14:58:24</t>
  </si>
  <si>
    <t>POST-11374</t>
  </si>
  <si>
    <t>2026-06-12 21:17:53</t>
  </si>
  <si>
    <t>POST-11375</t>
  </si>
  <si>
    <t>2026-03-09 18:10:44</t>
  </si>
  <si>
    <t>POST-11376</t>
  </si>
  <si>
    <t>2026-08-09 22:22:58</t>
  </si>
  <si>
    <t>POST-11377</t>
  </si>
  <si>
    <t>2026-03-26 15:32:05</t>
  </si>
  <si>
    <t>POST-11378</t>
  </si>
  <si>
    <t>2026-08-10 13:38:50</t>
  </si>
  <si>
    <t>POST-11379</t>
  </si>
  <si>
    <t>2026-01-08 22:00:18</t>
  </si>
  <si>
    <t>POST-11380</t>
  </si>
  <si>
    <t>2026-06-24 07:40:05</t>
  </si>
  <si>
    <t>POST-11381</t>
  </si>
  <si>
    <t>2026-05-26 16:03:45</t>
  </si>
  <si>
    <t>POST-11382</t>
  </si>
  <si>
    <t>2026-01-22 04:59:33</t>
  </si>
  <si>
    <t>POST-11383</t>
  </si>
  <si>
    <t>2026-06-05 23:16:40</t>
  </si>
  <si>
    <t>POST-11384</t>
  </si>
  <si>
    <t>2026-03-09 15:54:00</t>
  </si>
  <si>
    <t>POST-11385</t>
  </si>
  <si>
    <t>2026-02-24 02:55:25</t>
  </si>
  <si>
    <t>POST-11386</t>
  </si>
  <si>
    <t>2026-03-08 13:28:30</t>
  </si>
  <si>
    <t>POST-11387</t>
  </si>
  <si>
    <t>2026-04-20 03:12:14</t>
  </si>
  <si>
    <t>POST-11388</t>
  </si>
  <si>
    <t>2026-08-09 10:21:53</t>
  </si>
  <si>
    <t>POST-11389</t>
  </si>
  <si>
    <t>2026-04-11 17:15:13</t>
  </si>
  <si>
    <t>POST-11390</t>
  </si>
  <si>
    <t>2026-03-19 07:30:01</t>
  </si>
  <si>
    <t>POST-11391</t>
  </si>
  <si>
    <t>2026-01-11 04:30:50</t>
  </si>
  <si>
    <t>POST-11392</t>
  </si>
  <si>
    <t>2026-08-04 21:53:10</t>
  </si>
  <si>
    <t>POST-11393</t>
  </si>
  <si>
    <t>2026-03-15 02:28:17</t>
  </si>
  <si>
    <t>POST-11394</t>
  </si>
  <si>
    <t>2026-06-03 10:16:38</t>
  </si>
  <si>
    <t>POST-11395</t>
  </si>
  <si>
    <t>2026-04-22 17:13:08</t>
  </si>
  <si>
    <t>POST-11396</t>
  </si>
  <si>
    <t>2026-06-07 17:35:59</t>
  </si>
  <si>
    <t>POST-11397</t>
  </si>
  <si>
    <t>2026-06-30 17:31:19</t>
  </si>
  <si>
    <t>POST-11398</t>
  </si>
  <si>
    <t>2026-05-21 04:30:03</t>
  </si>
  <si>
    <t>POST-11399</t>
  </si>
  <si>
    <t>2026-05-29 03:34:55</t>
  </si>
  <si>
    <t>POST-11400</t>
  </si>
  <si>
    <t>2026-08-08 22:09:12</t>
  </si>
  <si>
    <t>POST-11401</t>
  </si>
  <si>
    <t>2026-04-15 16:21:31</t>
  </si>
  <si>
    <t>POST-11402</t>
  </si>
  <si>
    <t>2026-04-25 18:33:50</t>
  </si>
  <si>
    <t>POST-11403</t>
  </si>
  <si>
    <t>2026-06-01 03:30:59</t>
  </si>
  <si>
    <t>POST-11404</t>
  </si>
  <si>
    <t>2026-03-04 21:12:02</t>
  </si>
  <si>
    <t>POST-11405</t>
  </si>
  <si>
    <t>2026-06-05 16:47:04</t>
  </si>
  <si>
    <t>POST-11406</t>
  </si>
  <si>
    <t>2026-03-11 18:09:35</t>
  </si>
  <si>
    <t>POST-11407</t>
  </si>
  <si>
    <t>2026-05-11 08:36:20</t>
  </si>
  <si>
    <t>POST-11408</t>
  </si>
  <si>
    <t>2026-03-11 12:41:55</t>
  </si>
  <si>
    <t>POST-11409</t>
  </si>
  <si>
    <t>2026-05-26 07:28:42</t>
  </si>
  <si>
    <t>POST-11410</t>
  </si>
  <si>
    <t>2026-01-02 00:33:48</t>
  </si>
  <si>
    <t>POST-11411</t>
  </si>
  <si>
    <t>2026-04-04 07:35:24</t>
  </si>
  <si>
    <t>POST-11412</t>
  </si>
  <si>
    <t>2026-02-25 05:41:58</t>
  </si>
  <si>
    <t>POST-11413</t>
  </si>
  <si>
    <t>2026-01-06 21:59:09</t>
  </si>
  <si>
    <t>POST-11414</t>
  </si>
  <si>
    <t>2026-01-11 06:52:50</t>
  </si>
  <si>
    <t>POST-11415</t>
  </si>
  <si>
    <t>2026-03-22 18:12:37</t>
  </si>
  <si>
    <t>POST-11416</t>
  </si>
  <si>
    <t>2026-03-19 19:32:38</t>
  </si>
  <si>
    <t>POST-11417</t>
  </si>
  <si>
    <t>2026-06-01 20:43:06</t>
  </si>
  <si>
    <t>POST-11418</t>
  </si>
  <si>
    <t>2026-06-17 11:32:49</t>
  </si>
  <si>
    <t>POST-11419</t>
  </si>
  <si>
    <t>2026-06-01 01:09:24</t>
  </si>
  <si>
    <t>POST-11420</t>
  </si>
  <si>
    <t>2026-03-25 22:32:39</t>
  </si>
  <si>
    <t>POST-11421</t>
  </si>
  <si>
    <t>2026-03-24 18:21:40</t>
  </si>
  <si>
    <t>POST-11422</t>
  </si>
  <si>
    <t>2026-04-06 00:34:13</t>
  </si>
  <si>
    <t>POST-11423</t>
  </si>
  <si>
    <t>2026-04-14 01:28:07</t>
  </si>
  <si>
    <t>POST-11424</t>
  </si>
  <si>
    <t>2026-07-26 04:17:22</t>
  </si>
  <si>
    <t>POST-11425</t>
  </si>
  <si>
    <t>2026-07-28 08:04:27</t>
  </si>
  <si>
    <t>POST-11426</t>
  </si>
  <si>
    <t>2026-07-01 05:09:42</t>
  </si>
  <si>
    <t>POST-11427</t>
  </si>
  <si>
    <t>2026-07-30 15:14:11</t>
  </si>
  <si>
    <t>POST-11428</t>
  </si>
  <si>
    <t>2026-07-23 20:54:30</t>
  </si>
  <si>
    <t>POST-11429</t>
  </si>
  <si>
    <t>2026-04-19 10:28:00</t>
  </si>
  <si>
    <t>POST-11430</t>
  </si>
  <si>
    <t>2026-03-13 05:30:24</t>
  </si>
  <si>
    <t>POST-11431</t>
  </si>
  <si>
    <t>2026-03-03 14:49:59</t>
  </si>
  <si>
    <t>POST-11432</t>
  </si>
  <si>
    <t>2026-07-11 20:26:26</t>
  </si>
  <si>
    <t>POST-11433</t>
  </si>
  <si>
    <t>2026-02-26 16:39:37</t>
  </si>
  <si>
    <t>POST-11434</t>
  </si>
  <si>
    <t>2026-03-25 12:40:19</t>
  </si>
  <si>
    <t>POST-11435</t>
  </si>
  <si>
    <t>2026-08-11 20:52:03</t>
  </si>
  <si>
    <t>POST-11436</t>
  </si>
  <si>
    <t>2026-05-30 13:40:11</t>
  </si>
  <si>
    <t>POST-11437</t>
  </si>
  <si>
    <t>2026-03-27 18:04:46</t>
  </si>
  <si>
    <t>POST-11438</t>
  </si>
  <si>
    <t>2026-04-03 16:24:46</t>
  </si>
  <si>
    <t>POST-11439</t>
  </si>
  <si>
    <t>2026-01-17 12:55:44</t>
  </si>
  <si>
    <t>POST-11440</t>
  </si>
  <si>
    <t>2026-06-29 01:30:15</t>
  </si>
  <si>
    <t>POST-11441</t>
  </si>
  <si>
    <t>2026-05-21 22:06:02</t>
  </si>
  <si>
    <t>POST-11442</t>
  </si>
  <si>
    <t>2026-05-30 05:12:15</t>
  </si>
  <si>
    <t>POST-11443</t>
  </si>
  <si>
    <t>2026-03-28 06:01:43</t>
  </si>
  <si>
    <t>POST-11444</t>
  </si>
  <si>
    <t>2026-01-05 11:55:25</t>
  </si>
  <si>
    <t>POST-11445</t>
  </si>
  <si>
    <t>2026-04-07 12:41:01</t>
  </si>
  <si>
    <t>POST-11446</t>
  </si>
  <si>
    <t>2026-01-30 14:10:15</t>
  </si>
  <si>
    <t>POST-11447</t>
  </si>
  <si>
    <t>2026-03-10 02:32:27</t>
  </si>
  <si>
    <t>POST-11448</t>
  </si>
  <si>
    <t>2026-06-14 04:23:11</t>
  </si>
  <si>
    <t>POST-11449</t>
  </si>
  <si>
    <t>2026-05-05 20:10:23</t>
  </si>
  <si>
    <t>POST-11450</t>
  </si>
  <si>
    <t>2026-03-11 20:27:46</t>
  </si>
  <si>
    <t>POST-11451</t>
  </si>
  <si>
    <t>2026-08-14 06:48:24</t>
  </si>
  <si>
    <t>POST-11452</t>
  </si>
  <si>
    <t>2026-03-24 16:13:42</t>
  </si>
  <si>
    <t>POST-11453</t>
  </si>
  <si>
    <t>2026-06-08 03:48:56</t>
  </si>
  <si>
    <t>POST-11454</t>
  </si>
  <si>
    <t>2026-01-06 23:51:13</t>
  </si>
  <si>
    <t>POST-11455</t>
  </si>
  <si>
    <t>2026-01-06 01:57:08</t>
  </si>
  <si>
    <t>POST-11456</t>
  </si>
  <si>
    <t>2026-03-13 12:47:37</t>
  </si>
  <si>
    <t>POST-11457</t>
  </si>
  <si>
    <t>2026-01-03 14:25:52</t>
  </si>
  <si>
    <t>POST-11458</t>
  </si>
  <si>
    <t>2026-06-22 08:26:43</t>
  </si>
  <si>
    <t>POST-11459</t>
  </si>
  <si>
    <t>2026-06-04 16:46:37</t>
  </si>
  <si>
    <t>POST-11460</t>
  </si>
  <si>
    <t>2026-03-14 09:52:36</t>
  </si>
  <si>
    <t>POST-11461</t>
  </si>
  <si>
    <t>2026-03-15 02:41:45</t>
  </si>
  <si>
    <t>POST-11462</t>
  </si>
  <si>
    <t>2026-01-10 07:04:56</t>
  </si>
  <si>
    <t>POST-11463</t>
  </si>
  <si>
    <t>2026-01-16 14:20:12</t>
  </si>
  <si>
    <t>POST-11464</t>
  </si>
  <si>
    <t>2026-01-23 23:07:13</t>
  </si>
  <si>
    <t>POST-11465</t>
  </si>
  <si>
    <t>2026-02-04 01:29:54</t>
  </si>
  <si>
    <t>POST-11466</t>
  </si>
  <si>
    <t>2026-03-04 01:50:05</t>
  </si>
  <si>
    <t>POST-11467</t>
  </si>
  <si>
    <t>2026-01-22 18:13:21</t>
  </si>
  <si>
    <t>POST-11468</t>
  </si>
  <si>
    <t>2026-01-20 08:08:40</t>
  </si>
  <si>
    <t>POST-11469</t>
  </si>
  <si>
    <t>2026-05-27 03:14:03</t>
  </si>
  <si>
    <t>POST-11470</t>
  </si>
  <si>
    <t>2026-01-23 22:09:24</t>
  </si>
  <si>
    <t>POST-11471</t>
  </si>
  <si>
    <t>2026-02-26 08:52:24</t>
  </si>
  <si>
    <t>POST-11472</t>
  </si>
  <si>
    <t>2026-06-22 16:51:48</t>
  </si>
  <si>
    <t>POST-11473</t>
  </si>
  <si>
    <t>2026-02-15 01:09:18</t>
  </si>
  <si>
    <t>POST-11474</t>
  </si>
  <si>
    <t>2026-04-27 03:51:07</t>
  </si>
  <si>
    <t>POST-11475</t>
  </si>
  <si>
    <t>2026-02-03 08:50:59</t>
  </si>
  <si>
    <t>POST-11476</t>
  </si>
  <si>
    <t>2026-06-09 17:58:55</t>
  </si>
  <si>
    <t>POST-11477</t>
  </si>
  <si>
    <t>2026-03-16 07:56:40</t>
  </si>
  <si>
    <t>POST-11478</t>
  </si>
  <si>
    <t>2026-06-22 15:29:35</t>
  </si>
  <si>
    <t>POST-11479</t>
  </si>
  <si>
    <t>2026-03-23 18:35:20</t>
  </si>
  <si>
    <t>POST-11480</t>
  </si>
  <si>
    <t>2026-01-14 06:19:22</t>
  </si>
  <si>
    <t>POST-11481</t>
  </si>
  <si>
    <t>2026-03-23 12:28:26</t>
  </si>
  <si>
    <t>POST-11482</t>
  </si>
  <si>
    <t>2026-06-06 20:18:17</t>
  </si>
  <si>
    <t>POST-11483</t>
  </si>
  <si>
    <t>2026-01-09 16:05:29</t>
  </si>
  <si>
    <t>POST-11484</t>
  </si>
  <si>
    <t>2026-08-02 23:36:51</t>
  </si>
  <si>
    <t>POST-11485</t>
  </si>
  <si>
    <t>2026-02-26 10:20:40</t>
  </si>
  <si>
    <t>POST-11486</t>
  </si>
  <si>
    <t>2026-01-26 23:18:10</t>
  </si>
  <si>
    <t>POST-11487</t>
  </si>
  <si>
    <t>2026-08-08 08:25:14</t>
  </si>
  <si>
    <t>POST-11488</t>
  </si>
  <si>
    <t>2026-05-30 09:06:36</t>
  </si>
  <si>
    <t>POST-11489</t>
  </si>
  <si>
    <t>2026-02-07 13:53:21</t>
  </si>
  <si>
    <t>POST-11490</t>
  </si>
  <si>
    <t>2026-07-19 19:46:51</t>
  </si>
  <si>
    <t>POST-11491</t>
  </si>
  <si>
    <t>2026-03-04 22:00:50</t>
  </si>
  <si>
    <t>POST-11492</t>
  </si>
  <si>
    <t>2026-02-16 05:30:41</t>
  </si>
  <si>
    <t>POST-11493</t>
  </si>
  <si>
    <t>2026-02-09 12:15:04</t>
  </si>
  <si>
    <t>POST-11494</t>
  </si>
  <si>
    <t>2026-01-19 12:24:52</t>
  </si>
  <si>
    <t>POST-11495</t>
  </si>
  <si>
    <t>2026-04-27 18:49:58</t>
  </si>
  <si>
    <t>POST-11496</t>
  </si>
  <si>
    <t>2026-05-04 01:45:16</t>
  </si>
  <si>
    <t>POST-11497</t>
  </si>
  <si>
    <t>2026-06-20 08:52:24</t>
  </si>
  <si>
    <t>POST-11498</t>
  </si>
  <si>
    <t>2026-03-30 15:51:58</t>
  </si>
  <si>
    <t>POST-11499</t>
  </si>
  <si>
    <t>2026-05-28 17:45:23</t>
  </si>
  <si>
    <t>POST-11500</t>
  </si>
  <si>
    <t>2026-06-22 09:55:26</t>
  </si>
  <si>
    <t>POST-11501</t>
  </si>
  <si>
    <t>2026-02-04 02:07:19</t>
  </si>
  <si>
    <t>POST-11502</t>
  </si>
  <si>
    <t>2026-03-30 23:46:36</t>
  </si>
  <si>
    <t>POST-11503</t>
  </si>
  <si>
    <t>2026-02-06 15:12:28</t>
  </si>
  <si>
    <t>POST-11504</t>
  </si>
  <si>
    <t>2026-07-21 00:27:12</t>
  </si>
  <si>
    <t>POST-11505</t>
  </si>
  <si>
    <t>2026-08-12 01:13:13</t>
  </si>
  <si>
    <t>POST-11506</t>
  </si>
  <si>
    <t>2026-06-14 05:16:38</t>
  </si>
  <si>
    <t>POST-11507</t>
  </si>
  <si>
    <t>2026-01-25 02:59:13</t>
  </si>
  <si>
    <t>POST-11508</t>
  </si>
  <si>
    <t>2026-01-13 14:33:46</t>
  </si>
  <si>
    <t>POST-11509</t>
  </si>
  <si>
    <t>2026-06-25 14:53:21</t>
  </si>
  <si>
    <t>POST-11510</t>
  </si>
  <si>
    <t>2026-03-23 20:18:28</t>
  </si>
  <si>
    <t>POST-11511</t>
  </si>
  <si>
    <t>2026-06-30 14:30:44</t>
  </si>
  <si>
    <t>POST-11512</t>
  </si>
  <si>
    <t>2026-07-09 06:33:12</t>
  </si>
  <si>
    <t>POST-11513</t>
  </si>
  <si>
    <t>2026-04-19 18:28:45</t>
  </si>
  <si>
    <t>POST-11514</t>
  </si>
  <si>
    <t>2026-07-19 06:30:21</t>
  </si>
  <si>
    <t>POST-11515</t>
  </si>
  <si>
    <t>2026-05-12 18:13:10</t>
  </si>
  <si>
    <t>POST-11516</t>
  </si>
  <si>
    <t>2026-05-13 19:19:27</t>
  </si>
  <si>
    <t>POST-11517</t>
  </si>
  <si>
    <t>2026-07-03 13:30:50</t>
  </si>
  <si>
    <t>POST-11518</t>
  </si>
  <si>
    <t>2026-01-16 08:28:58</t>
  </si>
  <si>
    <t>POST-11519</t>
  </si>
  <si>
    <t>2026-07-31 06:42:28</t>
  </si>
  <si>
    <t>POST-11520</t>
  </si>
  <si>
    <t>2026-03-17 09:38:39</t>
  </si>
  <si>
    <t>POST-11521</t>
  </si>
  <si>
    <t>2026-07-02 19:12:49</t>
  </si>
  <si>
    <t>POST-11522</t>
  </si>
  <si>
    <t>2026-03-04 21:03:48</t>
  </si>
  <si>
    <t>POST-11523</t>
  </si>
  <si>
    <t>2026-02-04 20:22:35</t>
  </si>
  <si>
    <t>POST-11524</t>
  </si>
  <si>
    <t>2026-01-24 03:11:06</t>
  </si>
  <si>
    <t>POST-11525</t>
  </si>
  <si>
    <t>2026-07-27 12:01:56</t>
  </si>
  <si>
    <t>POST-11526</t>
  </si>
  <si>
    <t>2026-05-09 05:08:18</t>
  </si>
  <si>
    <t>POST-11527</t>
  </si>
  <si>
    <t>2026-02-23 12:31:56</t>
  </si>
  <si>
    <t>POST-11528</t>
  </si>
  <si>
    <t>2026-08-02 14:51:00</t>
  </si>
  <si>
    <t>POST-11529</t>
  </si>
  <si>
    <t>2026-01-12 13:33:41</t>
  </si>
  <si>
    <t>POST-11530</t>
  </si>
  <si>
    <t>2026-04-24 21:27:05</t>
  </si>
  <si>
    <t>POST-11531</t>
  </si>
  <si>
    <t>2026-07-15 02:19:49</t>
  </si>
  <si>
    <t>POST-11532</t>
  </si>
  <si>
    <t>2026-01-04 03:27:31</t>
  </si>
  <si>
    <t>POST-11533</t>
  </si>
  <si>
    <t>2026-01-09 07:06:25</t>
  </si>
  <si>
    <t>POST-11534</t>
  </si>
  <si>
    <t>2026-06-21 05:22:01</t>
  </si>
  <si>
    <t>POST-11535</t>
  </si>
  <si>
    <t>2026-04-26 04:25:05</t>
  </si>
  <si>
    <t>POST-11536</t>
  </si>
  <si>
    <t>2026-01-28 12:20:21</t>
  </si>
  <si>
    <t>POST-11537</t>
  </si>
  <si>
    <t>2026-03-23 08:59:04</t>
  </si>
  <si>
    <t>POST-11538</t>
  </si>
  <si>
    <t>2026-07-25 10:34:34</t>
  </si>
  <si>
    <t>POST-11539</t>
  </si>
  <si>
    <t>2026-05-14 22:35:53</t>
  </si>
  <si>
    <t>POST-11540</t>
  </si>
  <si>
    <t>2026-06-15 00:25:53</t>
  </si>
  <si>
    <t>POST-11541</t>
  </si>
  <si>
    <t>2026-02-01 04:35:01</t>
  </si>
  <si>
    <t>POST-11542</t>
  </si>
  <si>
    <t>2026-06-30 02:28:23</t>
  </si>
  <si>
    <t>POST-11543</t>
  </si>
  <si>
    <t>2026-04-16 05:49:58</t>
  </si>
  <si>
    <t>POST-11544</t>
  </si>
  <si>
    <t>2026-04-21 01:34:42</t>
  </si>
  <si>
    <t>POST-11545</t>
  </si>
  <si>
    <t>2026-06-11 13:54:26</t>
  </si>
  <si>
    <t>POST-11546</t>
  </si>
  <si>
    <t>2026-03-16 15:10:49</t>
  </si>
  <si>
    <t>POST-11547</t>
  </si>
  <si>
    <t>2026-07-05 17:20:51</t>
  </si>
  <si>
    <t>POST-11548</t>
  </si>
  <si>
    <t>2026-02-21 02:02:44</t>
  </si>
  <si>
    <t>POST-11549</t>
  </si>
  <si>
    <t>2026-01-17 21:08:21</t>
  </si>
  <si>
    <t>POST-11550</t>
  </si>
  <si>
    <t>2026-02-28 10:08:58</t>
  </si>
  <si>
    <t>POST-11551</t>
  </si>
  <si>
    <t>2026-05-28 08:17:55</t>
  </si>
  <si>
    <t>POST-11552</t>
  </si>
  <si>
    <t>2026-02-28 00:12:35</t>
  </si>
  <si>
    <t>POST-11553</t>
  </si>
  <si>
    <t>2026-03-19 19:53:22</t>
  </si>
  <si>
    <t>POST-11554</t>
  </si>
  <si>
    <t>2026-08-04 12:54:05</t>
  </si>
  <si>
    <t>POST-11555</t>
  </si>
  <si>
    <t>2026-07-21 04:28:25</t>
  </si>
  <si>
    <t>POST-11556</t>
  </si>
  <si>
    <t>2026-01-16 17:21:02</t>
  </si>
  <si>
    <t>POST-11557</t>
  </si>
  <si>
    <t>2026-07-20 15:52:49</t>
  </si>
  <si>
    <t>POST-11558</t>
  </si>
  <si>
    <t>2026-08-09 05:09:35</t>
  </si>
  <si>
    <t>POST-11559</t>
  </si>
  <si>
    <t>2026-03-16 04:16:12</t>
  </si>
  <si>
    <t>POST-11560</t>
  </si>
  <si>
    <t>2026-05-04 23:07:43</t>
  </si>
  <si>
    <t>POST-11561</t>
  </si>
  <si>
    <t>2026-08-08 13:32:07</t>
  </si>
  <si>
    <t>POST-11562</t>
  </si>
  <si>
    <t>2026-03-24 22:13:43</t>
  </si>
  <si>
    <t>POST-11563</t>
  </si>
  <si>
    <t>2026-01-21 19:55:12</t>
  </si>
  <si>
    <t>POST-11564</t>
  </si>
  <si>
    <t>2026-02-25 07:19:40</t>
  </si>
  <si>
    <t>POST-11565</t>
  </si>
  <si>
    <t>2026-06-26 06:29:43</t>
  </si>
  <si>
    <t>POST-11566</t>
  </si>
  <si>
    <t>2026-01-19 09:55:48</t>
  </si>
  <si>
    <t>POST-11567</t>
  </si>
  <si>
    <t>2026-07-18 01:47:12</t>
  </si>
  <si>
    <t>POST-11568</t>
  </si>
  <si>
    <t>2026-03-05 07:24:38</t>
  </si>
  <si>
    <t>POST-11569</t>
  </si>
  <si>
    <t>2026-01-03 22:07:27</t>
  </si>
  <si>
    <t>POST-11570</t>
  </si>
  <si>
    <t>2026-07-20 02:48:05</t>
  </si>
  <si>
    <t>POST-11571</t>
  </si>
  <si>
    <t>2026-05-08 10:15:28</t>
  </si>
  <si>
    <t>POST-11572</t>
  </si>
  <si>
    <t>2026-02-26 08:23:23</t>
  </si>
  <si>
    <t>POST-11573</t>
  </si>
  <si>
    <t>2026-07-14 17:42:24</t>
  </si>
  <si>
    <t>POST-11574</t>
  </si>
  <si>
    <t>2026-02-15 04:42:06</t>
  </si>
  <si>
    <t>POST-11575</t>
  </si>
  <si>
    <t>2026-05-19 02:24:37</t>
  </si>
  <si>
    <t>POST-11576</t>
  </si>
  <si>
    <t>2026-06-26 10:48:22</t>
  </si>
  <si>
    <t>POST-11577</t>
  </si>
  <si>
    <t>2026-01-12 16:03:24</t>
  </si>
  <si>
    <t>POST-11578</t>
  </si>
  <si>
    <t>2026-04-14 04:03:54</t>
  </si>
  <si>
    <t>POST-11579</t>
  </si>
  <si>
    <t>2026-01-15 18:10:59</t>
  </si>
  <si>
    <t>POST-11580</t>
  </si>
  <si>
    <t>2026-08-17 08:27:04</t>
  </si>
  <si>
    <t>POST-11581</t>
  </si>
  <si>
    <t>2026-02-16 07:55:48</t>
  </si>
  <si>
    <t>POST-11582</t>
  </si>
  <si>
    <t>2026-08-17 02:03:25</t>
  </si>
  <si>
    <t>POST-11583</t>
  </si>
  <si>
    <t>2026-02-27 06:12:26</t>
  </si>
  <si>
    <t>POST-11584</t>
  </si>
  <si>
    <t>2026-04-03 07:18:23</t>
  </si>
  <si>
    <t>POST-11585</t>
  </si>
  <si>
    <t>2026-07-07 14:38:40</t>
  </si>
  <si>
    <t>POST-11586</t>
  </si>
  <si>
    <t>2026-08-01 16:53:31</t>
  </si>
  <si>
    <t>POST-11587</t>
  </si>
  <si>
    <t>2026-07-18 01:16:20</t>
  </si>
  <si>
    <t>POST-11588</t>
  </si>
  <si>
    <t>2026-06-17 02:27:44</t>
  </si>
  <si>
    <t>POST-11589</t>
  </si>
  <si>
    <t>2026-08-17 14:21:41</t>
  </si>
  <si>
    <t>POST-11590</t>
  </si>
  <si>
    <t>2026-03-17 08:45:58</t>
  </si>
  <si>
    <t>POST-11591</t>
  </si>
  <si>
    <t>2026-03-04 13:46:15</t>
  </si>
  <si>
    <t>POST-11592</t>
  </si>
  <si>
    <t>2026-01-08 13:44:17</t>
  </si>
  <si>
    <t>POST-11593</t>
  </si>
  <si>
    <t>2026-07-26 02:18:06</t>
  </si>
  <si>
    <t>POST-11594</t>
  </si>
  <si>
    <t>2026-06-09 09:32:58</t>
  </si>
  <si>
    <t>POST-11595</t>
  </si>
  <si>
    <t>2026-04-09 06:24:27</t>
  </si>
  <si>
    <t>POST-11596</t>
  </si>
  <si>
    <t>2026-02-20 03:43:01</t>
  </si>
  <si>
    <t>POST-11597</t>
  </si>
  <si>
    <t>2026-03-19 05:33:34</t>
  </si>
  <si>
    <t>POST-11598</t>
  </si>
  <si>
    <t>2026-07-27 17:11:18</t>
  </si>
  <si>
    <t>POST-11599</t>
  </si>
  <si>
    <t>2026-08-08 01:40:57</t>
  </si>
  <si>
    <t>POST-11600</t>
  </si>
  <si>
    <t>2026-06-03 11:53:55</t>
  </si>
  <si>
    <t>POST-11601</t>
  </si>
  <si>
    <t>2026-04-27 14:59:17</t>
  </si>
  <si>
    <t>POST-11602</t>
  </si>
  <si>
    <t>2026-08-08 04:01:55</t>
  </si>
  <si>
    <t>POST-11603</t>
  </si>
  <si>
    <t>2026-03-28 20:30:53</t>
  </si>
  <si>
    <t>POST-11604</t>
  </si>
  <si>
    <t>2026-07-06 05:11:13</t>
  </si>
  <si>
    <t>POST-11605</t>
  </si>
  <si>
    <t>2026-04-16 06:36:50</t>
  </si>
  <si>
    <t>POST-11606</t>
  </si>
  <si>
    <t>2026-07-25 22:07:19</t>
  </si>
  <si>
    <t>POST-11607</t>
  </si>
  <si>
    <t>2026-06-11 21:48:48</t>
  </si>
  <si>
    <t>POST-11608</t>
  </si>
  <si>
    <t>2026-07-17 10:54:48</t>
  </si>
  <si>
    <t>POST-11609</t>
  </si>
  <si>
    <t>2026-07-01 23:29:22</t>
  </si>
  <si>
    <t>POST-11610</t>
  </si>
  <si>
    <t>2026-04-15 00:49:38</t>
  </si>
  <si>
    <t>POST-11611</t>
  </si>
  <si>
    <t>2026-02-26 11:56:28</t>
  </si>
  <si>
    <t>POST-11612</t>
  </si>
  <si>
    <t>2026-05-23 03:31:52</t>
  </si>
  <si>
    <t>POST-11613</t>
  </si>
  <si>
    <t>2026-04-28 16:56:52</t>
  </si>
  <si>
    <t>POST-11614</t>
  </si>
  <si>
    <t>2026-03-31 14:19:05</t>
  </si>
  <si>
    <t>POST-11615</t>
  </si>
  <si>
    <t>2026-04-12 19:46:32</t>
  </si>
  <si>
    <t>POST-11616</t>
  </si>
  <si>
    <t>2026-04-16 21:02:40</t>
  </si>
  <si>
    <t>POST-11617</t>
  </si>
  <si>
    <t>2026-01-22 03:44:48</t>
  </si>
  <si>
    <t>POST-11618</t>
  </si>
  <si>
    <t>2026-03-12 20:27:04</t>
  </si>
  <si>
    <t>POST-11619</t>
  </si>
  <si>
    <t>2026-06-16 20:35:56</t>
  </si>
  <si>
    <t>POST-11620</t>
  </si>
  <si>
    <t>2026-01-02 07:11:36</t>
  </si>
  <si>
    <t>POST-11621</t>
  </si>
  <si>
    <t>2026-01-24 01:24:24</t>
  </si>
  <si>
    <t>POST-11622</t>
  </si>
  <si>
    <t>2026-07-31 12:00:12</t>
  </si>
  <si>
    <t>POST-11623</t>
  </si>
  <si>
    <t>2026-07-12 05:44:48</t>
  </si>
  <si>
    <t>POST-11624</t>
  </si>
  <si>
    <t>2026-08-19 21:49:20</t>
  </si>
  <si>
    <t>POST-11625</t>
  </si>
  <si>
    <t>2026-01-16 02:33:19</t>
  </si>
  <si>
    <t>POST-11626</t>
  </si>
  <si>
    <t>2026-03-22 01:48:36</t>
  </si>
  <si>
    <t>POST-11627</t>
  </si>
  <si>
    <t>2026-02-10 11:44:38</t>
  </si>
  <si>
    <t>POST-11628</t>
  </si>
  <si>
    <t>2026-01-23 17:46:25</t>
  </si>
  <si>
    <t>POST-11629</t>
  </si>
  <si>
    <t>2026-04-24 01:05:42</t>
  </si>
  <si>
    <t>POST-11630</t>
  </si>
  <si>
    <t>2026-08-15 17:07:50</t>
  </si>
  <si>
    <t>POST-11631</t>
  </si>
  <si>
    <t>2026-01-06 21:06:58</t>
  </si>
  <si>
    <t>POST-11632</t>
  </si>
  <si>
    <t>2026-04-18 00:59:08</t>
  </si>
  <si>
    <t>POST-11633</t>
  </si>
  <si>
    <t>2026-05-09 02:51:59</t>
  </si>
  <si>
    <t>POST-11634</t>
  </si>
  <si>
    <t>2026-06-30 14:10:09</t>
  </si>
  <si>
    <t>POST-11635</t>
  </si>
  <si>
    <t>2026-02-18 06:51:02</t>
  </si>
  <si>
    <t>POST-11636</t>
  </si>
  <si>
    <t>2026-01-04 21:50:22</t>
  </si>
  <si>
    <t>POST-11637</t>
  </si>
  <si>
    <t>2026-04-22 20:44:16</t>
  </si>
  <si>
    <t>POST-11638</t>
  </si>
  <si>
    <t>2026-04-20 06:58:39</t>
  </si>
  <si>
    <t>POST-11639</t>
  </si>
  <si>
    <t>2026-08-11 14:35:24</t>
  </si>
  <si>
    <t>POST-11640</t>
  </si>
  <si>
    <t>2026-08-09 00:37:51</t>
  </si>
  <si>
    <t>POST-11641</t>
  </si>
  <si>
    <t>2026-02-03 01:15:37</t>
  </si>
  <si>
    <t>POST-11642</t>
  </si>
  <si>
    <t>2026-07-15 00:25:52</t>
  </si>
  <si>
    <t>POST-11643</t>
  </si>
  <si>
    <t>2026-05-18 08:48:48</t>
  </si>
  <si>
    <t>POST-11644</t>
  </si>
  <si>
    <t>2026-05-08 00:01:39</t>
  </si>
  <si>
    <t>POST-11645</t>
  </si>
  <si>
    <t>2026-05-03 18:57:22</t>
  </si>
  <si>
    <t>POST-11646</t>
  </si>
  <si>
    <t>2026-06-25 13:27:28</t>
  </si>
  <si>
    <t>POST-11647</t>
  </si>
  <si>
    <t>2026-04-22 17:56:07</t>
  </si>
  <si>
    <t>POST-11648</t>
  </si>
  <si>
    <t>2026-01-29 20:50:12</t>
  </si>
  <si>
    <t>POST-11649</t>
  </si>
  <si>
    <t>2026-06-03 13:30:24</t>
  </si>
  <si>
    <t>POST-11650</t>
  </si>
  <si>
    <t>2026-05-22 08:04:53</t>
  </si>
  <si>
    <t>POST-11651</t>
  </si>
  <si>
    <t>2026-03-05 02:09:57</t>
  </si>
  <si>
    <t>POST-11652</t>
  </si>
  <si>
    <t>2026-06-28 17:39:36</t>
  </si>
  <si>
    <t>POST-11653</t>
  </si>
  <si>
    <t>2026-08-14 19:20:46</t>
  </si>
  <si>
    <t>POST-11654</t>
  </si>
  <si>
    <t>2026-05-04 04:32:17</t>
  </si>
  <si>
    <t>POST-11655</t>
  </si>
  <si>
    <t>2026-04-27 23:23:23</t>
  </si>
  <si>
    <t>POST-11656</t>
  </si>
  <si>
    <t>2026-07-14 15:33:49</t>
  </si>
  <si>
    <t>POST-11657</t>
  </si>
  <si>
    <t>2026-07-01 14:40:53</t>
  </si>
  <si>
    <t>POST-11658</t>
  </si>
  <si>
    <t>2026-01-14 23:25:44</t>
  </si>
  <si>
    <t>POST-11659</t>
  </si>
  <si>
    <t>2026-07-16 17:39:16</t>
  </si>
  <si>
    <t>POST-11660</t>
  </si>
  <si>
    <t>2026-07-08 04:31:19</t>
  </si>
  <si>
    <t>POST-11661</t>
  </si>
  <si>
    <t>2026-06-23 07:37:50</t>
  </si>
  <si>
    <t>POST-11662</t>
  </si>
  <si>
    <t>2026-06-13 11:49:12</t>
  </si>
  <si>
    <t>POST-11663</t>
  </si>
  <si>
    <t>2026-04-25 04:45:06</t>
  </si>
  <si>
    <t>POST-11664</t>
  </si>
  <si>
    <t>2026-02-25 23:18:23</t>
  </si>
  <si>
    <t>POST-11665</t>
  </si>
  <si>
    <t>2026-01-10 20:29:36</t>
  </si>
  <si>
    <t>POST-11666</t>
  </si>
  <si>
    <t>2026-07-19 15:42:35</t>
  </si>
  <si>
    <t>POST-11667</t>
  </si>
  <si>
    <t>2026-01-12 23:03:29</t>
  </si>
  <si>
    <t>POST-11668</t>
  </si>
  <si>
    <t>2026-08-08 17:10:31</t>
  </si>
  <si>
    <t>POST-11669</t>
  </si>
  <si>
    <t>2026-05-14 08:12:45</t>
  </si>
  <si>
    <t>POST-11670</t>
  </si>
  <si>
    <t>2026-06-21 21:15:57</t>
  </si>
  <si>
    <t>POST-11671</t>
  </si>
  <si>
    <t>2026-07-25 13:04:16</t>
  </si>
  <si>
    <t>POST-11672</t>
  </si>
  <si>
    <t>2026-07-14 18:28:16</t>
  </si>
  <si>
    <t>POST-11673</t>
  </si>
  <si>
    <t>2026-06-28 18:05:13</t>
  </si>
  <si>
    <t>POST-11674</t>
  </si>
  <si>
    <t>2026-05-12 17:49:06</t>
  </si>
  <si>
    <t>POST-11675</t>
  </si>
  <si>
    <t>2026-01-25 11:11:28</t>
  </si>
  <si>
    <t>POST-11676</t>
  </si>
  <si>
    <t>2026-05-04 21:06:34</t>
  </si>
  <si>
    <t>POST-11677</t>
  </si>
  <si>
    <t>2026-05-21 00:54:33</t>
  </si>
  <si>
    <t>POST-11678</t>
  </si>
  <si>
    <t>2026-03-08 03:27:29</t>
  </si>
  <si>
    <t>POST-11679</t>
  </si>
  <si>
    <t>2026-05-26 07:45:48</t>
  </si>
  <si>
    <t>POST-11680</t>
  </si>
  <si>
    <t>2026-05-27 11:12:25</t>
  </si>
  <si>
    <t>POST-11681</t>
  </si>
  <si>
    <t>2026-07-19 18:10:25</t>
  </si>
  <si>
    <t>POST-11682</t>
  </si>
  <si>
    <t>2026-03-01 14:49:23</t>
  </si>
  <si>
    <t>POST-11683</t>
  </si>
  <si>
    <t>2026-03-06 20:36:13</t>
  </si>
  <si>
    <t>POST-11684</t>
  </si>
  <si>
    <t>2026-05-31 06:30:36</t>
  </si>
  <si>
    <t>POST-11685</t>
  </si>
  <si>
    <t>2026-04-26 09:57:36</t>
  </si>
  <si>
    <t>POST-11686</t>
  </si>
  <si>
    <t>2026-05-24 16:07:48</t>
  </si>
  <si>
    <t>POST-11687</t>
  </si>
  <si>
    <t>2026-07-25 06:29:43</t>
  </si>
  <si>
    <t>POST-11688</t>
  </si>
  <si>
    <t>2026-08-18 16:55:21</t>
  </si>
  <si>
    <t>POST-11689</t>
  </si>
  <si>
    <t>2026-08-08 18:54:18</t>
  </si>
  <si>
    <t>POST-11690</t>
  </si>
  <si>
    <t>2026-05-28 23:25:19</t>
  </si>
  <si>
    <t>POST-11691</t>
  </si>
  <si>
    <t>2026-06-24 08:48:13</t>
  </si>
  <si>
    <t>POST-11692</t>
  </si>
  <si>
    <t>2026-06-17 06:55:26</t>
  </si>
  <si>
    <t>POST-11693</t>
  </si>
  <si>
    <t>2026-02-23 02:36:57</t>
  </si>
  <si>
    <t>POST-11694</t>
  </si>
  <si>
    <t>2026-04-02 11:08:35</t>
  </si>
  <si>
    <t>POST-11695</t>
  </si>
  <si>
    <t>2026-02-26 03:37:59</t>
  </si>
  <si>
    <t>POST-11696</t>
  </si>
  <si>
    <t>2026-04-14 03:22:41</t>
  </si>
  <si>
    <t>POST-11697</t>
  </si>
  <si>
    <t>2026-08-09 16:16:33</t>
  </si>
  <si>
    <t>POST-11698</t>
  </si>
  <si>
    <t>2026-03-31 17:57:09</t>
  </si>
  <si>
    <t>POST-11699</t>
  </si>
  <si>
    <t>2026-04-26 01:25:01</t>
  </si>
  <si>
    <t>POST-11700</t>
  </si>
  <si>
    <t>2026-02-24 02:49:36</t>
  </si>
  <si>
    <t>POST-11701</t>
  </si>
  <si>
    <t>2026-05-28 11:30:58</t>
  </si>
  <si>
    <t>POST-11702</t>
  </si>
  <si>
    <t>2026-05-15 23:19:21</t>
  </si>
  <si>
    <t>POST-11703</t>
  </si>
  <si>
    <t>2026-05-09 03:08:42</t>
  </si>
  <si>
    <t>POST-11704</t>
  </si>
  <si>
    <t>2026-07-31 09:14:55</t>
  </si>
  <si>
    <t>POST-11705</t>
  </si>
  <si>
    <t>2026-05-23 14:25:34</t>
  </si>
  <si>
    <t>POST-11706</t>
  </si>
  <si>
    <t>2026-06-12 22:00:06</t>
  </si>
  <si>
    <t>POST-11707</t>
  </si>
  <si>
    <t>2026-05-22 07:46:22</t>
  </si>
  <si>
    <t>POST-11708</t>
  </si>
  <si>
    <t>2026-05-19 04:58:23</t>
  </si>
  <si>
    <t>POST-11709</t>
  </si>
  <si>
    <t>2026-08-08 11:50:19</t>
  </si>
  <si>
    <t>POST-11710</t>
  </si>
  <si>
    <t>2026-07-22 23:46:28</t>
  </si>
  <si>
    <t>POST-11711</t>
  </si>
  <si>
    <t>2026-02-13 03:55:24</t>
  </si>
  <si>
    <t>POST-11712</t>
  </si>
  <si>
    <t>2026-02-27 16:59:34</t>
  </si>
  <si>
    <t>POST-11713</t>
  </si>
  <si>
    <t>2026-05-03 21:08:18</t>
  </si>
  <si>
    <t>POST-11714</t>
  </si>
  <si>
    <t>2026-06-11 09:58:06</t>
  </si>
  <si>
    <t>POST-11715</t>
  </si>
  <si>
    <t>2026-07-21 08:56:00</t>
  </si>
  <si>
    <t>POST-11716</t>
  </si>
  <si>
    <t>2026-08-03 04:48:20</t>
  </si>
  <si>
    <t>POST-11717</t>
  </si>
  <si>
    <t>2026-07-09 17:29:46</t>
  </si>
  <si>
    <t>POST-11718</t>
  </si>
  <si>
    <t>2026-08-05 04:19:19</t>
  </si>
  <si>
    <t>POST-11719</t>
  </si>
  <si>
    <t>2026-06-03 12:46:45</t>
  </si>
  <si>
    <t>POST-11720</t>
  </si>
  <si>
    <t>2026-06-22 02:55:11</t>
  </si>
  <si>
    <t>POST-11721</t>
  </si>
  <si>
    <t>2026-03-29 15:40:57</t>
  </si>
  <si>
    <t>POST-11722</t>
  </si>
  <si>
    <t>2026-02-10 09:15:14</t>
  </si>
  <si>
    <t>POST-11723</t>
  </si>
  <si>
    <t>2026-01-15 02:17:40</t>
  </si>
  <si>
    <t>POST-11724</t>
  </si>
  <si>
    <t>2026-03-02 00:51:52</t>
  </si>
  <si>
    <t>POST-11725</t>
  </si>
  <si>
    <t>2026-03-07 10:39:45</t>
  </si>
  <si>
    <t>POST-11726</t>
  </si>
  <si>
    <t>2026-03-13 21:15:01</t>
  </si>
  <si>
    <t>POST-11727</t>
  </si>
  <si>
    <t>2026-07-19 08:29:27</t>
  </si>
  <si>
    <t>POST-11728</t>
  </si>
  <si>
    <t>2026-06-25 14:44:27</t>
  </si>
  <si>
    <t>POST-11729</t>
  </si>
  <si>
    <t>2026-05-10 01:06:34</t>
  </si>
  <si>
    <t>POST-11730</t>
  </si>
  <si>
    <t>2026-04-01 10:33:52</t>
  </si>
  <si>
    <t>POST-11731</t>
  </si>
  <si>
    <t>2026-05-03 12:45:31</t>
  </si>
  <si>
    <t>POST-11732</t>
  </si>
  <si>
    <t>2026-07-02 08:34:14</t>
  </si>
  <si>
    <t>POST-11733</t>
  </si>
  <si>
    <t>2026-03-08 20:30:16</t>
  </si>
  <si>
    <t>POST-11734</t>
  </si>
  <si>
    <t>2026-01-12 19:42:38</t>
  </si>
  <si>
    <t>POST-11735</t>
  </si>
  <si>
    <t>2026-08-02 19:27:21</t>
  </si>
  <si>
    <t>POST-11736</t>
  </si>
  <si>
    <t>2026-03-15 01:30:43</t>
  </si>
  <si>
    <t>POST-11737</t>
  </si>
  <si>
    <t>2026-05-11 07:46:02</t>
  </si>
  <si>
    <t>POST-11738</t>
  </si>
  <si>
    <t>2026-07-23 17:15:33</t>
  </si>
  <si>
    <t>POST-11739</t>
  </si>
  <si>
    <t>2026-05-27 02:41:26</t>
  </si>
  <si>
    <t>POST-11740</t>
  </si>
  <si>
    <t>2026-04-14 09:00:10</t>
  </si>
  <si>
    <t>POST-11741</t>
  </si>
  <si>
    <t>2026-05-14 02:47:02</t>
  </si>
  <si>
    <t>POST-11742</t>
  </si>
  <si>
    <t>2026-02-02 23:33:35</t>
  </si>
  <si>
    <t>POST-11743</t>
  </si>
  <si>
    <t>2026-08-08 17:19:19</t>
  </si>
  <si>
    <t>POST-11744</t>
  </si>
  <si>
    <t>2026-03-18 19:02:14</t>
  </si>
  <si>
    <t>POST-11745</t>
  </si>
  <si>
    <t>2026-04-09 10:01:16</t>
  </si>
  <si>
    <t>POST-11746</t>
  </si>
  <si>
    <t>2026-07-05 23:26:35</t>
  </si>
  <si>
    <t>POST-11747</t>
  </si>
  <si>
    <t>2026-03-29 10:44:45</t>
  </si>
  <si>
    <t>POST-11748</t>
  </si>
  <si>
    <t>2026-04-09 22:06:18</t>
  </si>
  <si>
    <t>POST-11749</t>
  </si>
  <si>
    <t>2026-03-26 05:30:38</t>
  </si>
  <si>
    <t>POST-11750</t>
  </si>
  <si>
    <t>2026-03-06 03:06:45</t>
  </si>
  <si>
    <t>POST-11751</t>
  </si>
  <si>
    <t>2026-01-18 06:41:35</t>
  </si>
  <si>
    <t>POST-11752</t>
  </si>
  <si>
    <t>2026-04-12 09:24:59</t>
  </si>
  <si>
    <t>POST-11753</t>
  </si>
  <si>
    <t>2026-03-07 00:04:29</t>
  </si>
  <si>
    <t>POST-11754</t>
  </si>
  <si>
    <t>2026-03-23 02:58:19</t>
  </si>
  <si>
    <t>POST-11755</t>
  </si>
  <si>
    <t>2026-01-24 16:18:18</t>
  </si>
  <si>
    <t>POST-11756</t>
  </si>
  <si>
    <t>2026-03-01 02:06:30</t>
  </si>
  <si>
    <t>POST-11757</t>
  </si>
  <si>
    <t>2026-07-04 20:45:07</t>
  </si>
  <si>
    <t>POST-11758</t>
  </si>
  <si>
    <t>2026-02-21 07:51:35</t>
  </si>
  <si>
    <t>POST-11759</t>
  </si>
  <si>
    <t>2026-03-13 02:12:50</t>
  </si>
  <si>
    <t>POST-11760</t>
  </si>
  <si>
    <t>2026-07-03 11:24:08</t>
  </si>
  <si>
    <t>POST-11761</t>
  </si>
  <si>
    <t>2026-03-18 05:40:41</t>
  </si>
  <si>
    <t>POST-11762</t>
  </si>
  <si>
    <t>2026-02-08 19:20:08</t>
  </si>
  <si>
    <t>POST-11763</t>
  </si>
  <si>
    <t>2026-01-22 18:27:04</t>
  </si>
  <si>
    <t>POST-11764</t>
  </si>
  <si>
    <t>2026-05-24 00:08:41</t>
  </si>
  <si>
    <t>POST-11765</t>
  </si>
  <si>
    <t>2026-01-19 09:16:42</t>
  </si>
  <si>
    <t>POST-11766</t>
  </si>
  <si>
    <t>2026-02-05 12:04:49</t>
  </si>
  <si>
    <t>POST-11767</t>
  </si>
  <si>
    <t>2026-07-03 15:53:01</t>
  </si>
  <si>
    <t>POST-11768</t>
  </si>
  <si>
    <t>2026-03-12 08:53:15</t>
  </si>
  <si>
    <t>POST-11769</t>
  </si>
  <si>
    <t>2026-01-27 13:24:56</t>
  </si>
  <si>
    <t>POST-11770</t>
  </si>
  <si>
    <t>2026-03-20 05:33:17</t>
  </si>
  <si>
    <t>POST-11771</t>
  </si>
  <si>
    <t>2026-03-25 01:31:30</t>
  </si>
  <si>
    <t>POST-11772</t>
  </si>
  <si>
    <t>2026-02-13 19:36:06</t>
  </si>
  <si>
    <t>POST-11773</t>
  </si>
  <si>
    <t>2026-03-18 10:34:50</t>
  </si>
  <si>
    <t>POST-11774</t>
  </si>
  <si>
    <t>2026-05-07 02:20:48</t>
  </si>
  <si>
    <t>POST-11775</t>
  </si>
  <si>
    <t>2026-05-16 21:09:22</t>
  </si>
  <si>
    <t>POST-11776</t>
  </si>
  <si>
    <t>2026-03-05 09:47:32</t>
  </si>
  <si>
    <t>POST-11777</t>
  </si>
  <si>
    <t>2026-02-21 10:10:40</t>
  </si>
  <si>
    <t>POST-11778</t>
  </si>
  <si>
    <t>2026-02-06 01:30:16</t>
  </si>
  <si>
    <t>POST-11779</t>
  </si>
  <si>
    <t>2026-01-05 08:23:56</t>
  </si>
  <si>
    <t>POST-11780</t>
  </si>
  <si>
    <t>2026-04-26 12:08:15</t>
  </si>
  <si>
    <t>POST-11781</t>
  </si>
  <si>
    <t>2026-05-28 11:27:49</t>
  </si>
  <si>
    <t>POST-11782</t>
  </si>
  <si>
    <t>2026-06-23 17:00:15</t>
  </si>
  <si>
    <t>POST-11783</t>
  </si>
  <si>
    <t>2026-07-08 18:35:01</t>
  </si>
  <si>
    <t>POST-11784</t>
  </si>
  <si>
    <t>2026-01-06 04:39:51</t>
  </si>
  <si>
    <t>POST-11785</t>
  </si>
  <si>
    <t>2026-07-24 01:59:03</t>
  </si>
  <si>
    <t>POST-11786</t>
  </si>
  <si>
    <t>2026-03-30 07:55:43</t>
  </si>
  <si>
    <t>POST-11787</t>
  </si>
  <si>
    <t>2026-05-23 01:11:25</t>
  </si>
  <si>
    <t>POST-11788</t>
  </si>
  <si>
    <t>2026-06-01 23:07:53</t>
  </si>
  <si>
    <t>POST-11789</t>
  </si>
  <si>
    <t>2026-02-16 09:20:47</t>
  </si>
  <si>
    <t>POST-11790</t>
  </si>
  <si>
    <t>2026-03-26 22:26:09</t>
  </si>
  <si>
    <t>POST-11791</t>
  </si>
  <si>
    <t>2026-04-01 05:59:10</t>
  </si>
  <si>
    <t>POST-11792</t>
  </si>
  <si>
    <t>2026-06-13 02:56:33</t>
  </si>
  <si>
    <t>POST-11793</t>
  </si>
  <si>
    <t>2026-05-29 03:08:29</t>
  </si>
  <si>
    <t>POST-11794</t>
  </si>
  <si>
    <t>2026-04-05 07:41:35</t>
  </si>
  <si>
    <t>POST-11795</t>
  </si>
  <si>
    <t>2026-01-04 04:00:30</t>
  </si>
  <si>
    <t>POST-11796</t>
  </si>
  <si>
    <t>2026-08-11 17:17:07</t>
  </si>
  <si>
    <t>POST-11797</t>
  </si>
  <si>
    <t>2026-04-11 08:59:51</t>
  </si>
  <si>
    <t>POST-11798</t>
  </si>
  <si>
    <t>2026-07-21 02:27:23</t>
  </si>
  <si>
    <t>POST-11799</t>
  </si>
  <si>
    <t>2026-03-21 05:02:31</t>
  </si>
  <si>
    <t>POST-11800</t>
  </si>
  <si>
    <t>2026-05-12 01:13:24</t>
  </si>
  <si>
    <t>POST-11801</t>
  </si>
  <si>
    <t>2026-06-24 09:46:11</t>
  </si>
  <si>
    <t>POST-11802</t>
  </si>
  <si>
    <t>2026-02-18 12:08:15</t>
  </si>
  <si>
    <t>POST-11803</t>
  </si>
  <si>
    <t>2026-02-08 09:02:26</t>
  </si>
  <si>
    <t>POST-11804</t>
  </si>
  <si>
    <t>2026-06-20 03:05:40</t>
  </si>
  <si>
    <t>POST-11805</t>
  </si>
  <si>
    <t>2026-01-07 19:24:18</t>
  </si>
  <si>
    <t>POST-11806</t>
  </si>
  <si>
    <t>2026-03-27 21:00:31</t>
  </si>
  <si>
    <t>POST-11807</t>
  </si>
  <si>
    <t>2026-01-09 00:11:44</t>
  </si>
  <si>
    <t>POST-11808</t>
  </si>
  <si>
    <t>2026-04-24 19:21:43</t>
  </si>
  <si>
    <t>POST-11809</t>
  </si>
  <si>
    <t>2026-02-23 16:19:39</t>
  </si>
  <si>
    <t>POST-11810</t>
  </si>
  <si>
    <t>2026-08-03 10:47:38</t>
  </si>
  <si>
    <t>POST-11811</t>
  </si>
  <si>
    <t>2026-05-11 15:41:29</t>
  </si>
  <si>
    <t>POST-11812</t>
  </si>
  <si>
    <t>2026-01-16 20:12:09</t>
  </si>
  <si>
    <t>POST-11813</t>
  </si>
  <si>
    <t>2026-08-14 16:31:26</t>
  </si>
  <si>
    <t>POST-11814</t>
  </si>
  <si>
    <t>2026-05-21 22:44:16</t>
  </si>
  <si>
    <t>POST-11815</t>
  </si>
  <si>
    <t>2026-06-08 00:32:38</t>
  </si>
  <si>
    <t>POST-11816</t>
  </si>
  <si>
    <t>2026-04-07 16:07:28</t>
  </si>
  <si>
    <t>POST-11817</t>
  </si>
  <si>
    <t>2026-06-14 20:24:19</t>
  </si>
  <si>
    <t>POST-11818</t>
  </si>
  <si>
    <t>2026-06-23 05:17:05</t>
  </si>
  <si>
    <t>POST-11819</t>
  </si>
  <si>
    <t>2026-04-13 23:55:57</t>
  </si>
  <si>
    <t>POST-11820</t>
  </si>
  <si>
    <t>2026-06-02 20:28:44</t>
  </si>
  <si>
    <t>POST-11821</t>
  </si>
  <si>
    <t>2026-07-08 19:01:46</t>
  </si>
  <si>
    <t>POST-11822</t>
  </si>
  <si>
    <t>2026-06-22 13:39:57</t>
  </si>
  <si>
    <t>POST-11823</t>
  </si>
  <si>
    <t>2026-04-27 07:19:16</t>
  </si>
  <si>
    <t>POST-11824</t>
  </si>
  <si>
    <t>2026-04-23 17:02:50</t>
  </si>
  <si>
    <t>POST-11825</t>
  </si>
  <si>
    <t>2026-04-25 20:34:07</t>
  </si>
  <si>
    <t>POST-11826</t>
  </si>
  <si>
    <t>2026-05-11 10:17:17</t>
  </si>
  <si>
    <t>POST-11827</t>
  </si>
  <si>
    <t>2026-05-26 03:36:35</t>
  </si>
  <si>
    <t>POST-11828</t>
  </si>
  <si>
    <t>2026-07-25 06:55:04</t>
  </si>
  <si>
    <t>POST-11829</t>
  </si>
  <si>
    <t>2026-02-01 00:42:13</t>
  </si>
  <si>
    <t>POST-11830</t>
  </si>
  <si>
    <t>2026-05-08 05:59:08</t>
  </si>
  <si>
    <t>POST-11831</t>
  </si>
  <si>
    <t>2026-08-07 17:30:43</t>
  </si>
  <si>
    <t>POST-11832</t>
  </si>
  <si>
    <t>2026-07-23 13:05:16</t>
  </si>
  <si>
    <t>POST-11833</t>
  </si>
  <si>
    <t>2026-06-09 00:33:41</t>
  </si>
  <si>
    <t>POST-11834</t>
  </si>
  <si>
    <t>2026-06-06 12:46:59</t>
  </si>
  <si>
    <t>POST-11835</t>
  </si>
  <si>
    <t>2026-03-06 00:38:01</t>
  </si>
  <si>
    <t>POST-11836</t>
  </si>
  <si>
    <t>2026-04-13 12:45:08</t>
  </si>
  <si>
    <t>POST-11837</t>
  </si>
  <si>
    <t>2026-03-18 15:15:03</t>
  </si>
  <si>
    <t>POST-11838</t>
  </si>
  <si>
    <t>2026-01-17 11:08:40</t>
  </si>
  <si>
    <t>POST-11839</t>
  </si>
  <si>
    <t>2026-08-10 00:21:32</t>
  </si>
  <si>
    <t>POST-11840</t>
  </si>
  <si>
    <t>2026-02-14 05:33:45</t>
  </si>
  <si>
    <t>POST-11841</t>
  </si>
  <si>
    <t>2026-02-11 06:53:34</t>
  </si>
  <si>
    <t>POST-11842</t>
  </si>
  <si>
    <t>2026-08-10 13:13:47</t>
  </si>
  <si>
    <t>POST-11843</t>
  </si>
  <si>
    <t>2026-07-19 18:11:30</t>
  </si>
  <si>
    <t>POST-11844</t>
  </si>
  <si>
    <t>2026-04-15 13:42:34</t>
  </si>
  <si>
    <t>POST-11845</t>
  </si>
  <si>
    <t>2026-08-03 22:31:41</t>
  </si>
  <si>
    <t>POST-11846</t>
  </si>
  <si>
    <t>2026-05-21 19:52:59</t>
  </si>
  <si>
    <t>POST-11847</t>
  </si>
  <si>
    <t>2026-05-29 22:57:58</t>
  </si>
  <si>
    <t>POST-11848</t>
  </si>
  <si>
    <t>2026-06-15 22:14:33</t>
  </si>
  <si>
    <t>POST-11849</t>
  </si>
  <si>
    <t>2026-06-09 10:44:10</t>
  </si>
  <si>
    <t>POST-11850</t>
  </si>
  <si>
    <t>2026-08-05 02:43:53</t>
  </si>
  <si>
    <t>POST-11851</t>
  </si>
  <si>
    <t>2026-05-11 08:44:07</t>
  </si>
  <si>
    <t>POST-11852</t>
  </si>
  <si>
    <t>2026-06-22 08:07:23</t>
  </si>
  <si>
    <t>POST-11853</t>
  </si>
  <si>
    <t>2026-04-05 03:27:42</t>
  </si>
  <si>
    <t>POST-11854</t>
  </si>
  <si>
    <t>2026-06-16 15:44:40</t>
  </si>
  <si>
    <t>POST-11855</t>
  </si>
  <si>
    <t>2026-06-19 19:09:51</t>
  </si>
  <si>
    <t>POST-11856</t>
  </si>
  <si>
    <t>2026-07-01 17:20:09</t>
  </si>
  <si>
    <t>POST-11857</t>
  </si>
  <si>
    <t>2026-04-04 05:54:15</t>
  </si>
  <si>
    <t>POST-11858</t>
  </si>
  <si>
    <t>2026-02-16 06:05:52</t>
  </si>
  <si>
    <t>POST-11859</t>
  </si>
  <si>
    <t>2026-02-05 04:15:57</t>
  </si>
  <si>
    <t>POST-11860</t>
  </si>
  <si>
    <t>2026-05-10 06:23:30</t>
  </si>
  <si>
    <t>POST-11861</t>
  </si>
  <si>
    <t>2026-02-13 03:05:56</t>
  </si>
  <si>
    <t>POST-11862</t>
  </si>
  <si>
    <t>2026-05-29 20:43:26</t>
  </si>
  <si>
    <t>POST-11863</t>
  </si>
  <si>
    <t>2026-07-30 06:13:06</t>
  </si>
  <si>
    <t>POST-11864</t>
  </si>
  <si>
    <t>2026-02-26 06:35:57</t>
  </si>
  <si>
    <t>POST-11865</t>
  </si>
  <si>
    <t>2026-03-05 16:51:16</t>
  </si>
  <si>
    <t>POST-11866</t>
  </si>
  <si>
    <t>2026-07-02 04:29:09</t>
  </si>
  <si>
    <t>POST-11867</t>
  </si>
  <si>
    <t>2026-01-15 18:49:56</t>
  </si>
  <si>
    <t>POST-11868</t>
  </si>
  <si>
    <t>2026-04-13 05:38:15</t>
  </si>
  <si>
    <t>POST-11869</t>
  </si>
  <si>
    <t>2026-05-24 21:12:15</t>
  </si>
  <si>
    <t>POST-11870</t>
  </si>
  <si>
    <t>2026-02-13 15:29:21</t>
  </si>
  <si>
    <t>POST-11871</t>
  </si>
  <si>
    <t>2026-08-11 11:13:39</t>
  </si>
  <si>
    <t>POST-11872</t>
  </si>
  <si>
    <t>2026-08-14 02:53:40</t>
  </si>
  <si>
    <t>POST-11873</t>
  </si>
  <si>
    <t>2026-07-02 16:06:25</t>
  </si>
  <si>
    <t>POST-11874</t>
  </si>
  <si>
    <t>2026-05-12 11:07:47</t>
  </si>
  <si>
    <t>POST-11875</t>
  </si>
  <si>
    <t>2026-01-08 14:56:24</t>
  </si>
  <si>
    <t>POST-11876</t>
  </si>
  <si>
    <t>2026-03-05 20:32:48</t>
  </si>
  <si>
    <t>POST-11877</t>
  </si>
  <si>
    <t>2026-06-22 21:50:27</t>
  </si>
  <si>
    <t>POST-11878</t>
  </si>
  <si>
    <t>2026-03-11 05:08:44</t>
  </si>
  <si>
    <t>POST-11879</t>
  </si>
  <si>
    <t>2026-05-30 14:16:01</t>
  </si>
  <si>
    <t>POST-11880</t>
  </si>
  <si>
    <t>2026-03-13 00:40:16</t>
  </si>
  <si>
    <t>POST-11881</t>
  </si>
  <si>
    <t>2026-02-01 17:51:11</t>
  </si>
  <si>
    <t>POST-11882</t>
  </si>
  <si>
    <t>2026-04-01 21:08:30</t>
  </si>
  <si>
    <t>POST-11883</t>
  </si>
  <si>
    <t>2026-05-30 05:50:18</t>
  </si>
  <si>
    <t>POST-11884</t>
  </si>
  <si>
    <t>2026-06-26 05:54:02</t>
  </si>
  <si>
    <t>POST-11885</t>
  </si>
  <si>
    <t>2026-01-11 16:55:49</t>
  </si>
  <si>
    <t>POST-11886</t>
  </si>
  <si>
    <t>2026-07-22 01:12:40</t>
  </si>
  <si>
    <t>POST-11887</t>
  </si>
  <si>
    <t>2026-06-13 22:45:30</t>
  </si>
  <si>
    <t>POST-11888</t>
  </si>
  <si>
    <t>2026-07-04 08:31:46</t>
  </si>
  <si>
    <t>POST-11889</t>
  </si>
  <si>
    <t>2026-07-15 02:29:23</t>
  </si>
  <si>
    <t>POST-11890</t>
  </si>
  <si>
    <t>2026-07-05 05:30:18</t>
  </si>
  <si>
    <t>POST-11891</t>
  </si>
  <si>
    <t>2026-07-18 01:53:01</t>
  </si>
  <si>
    <t>POST-11892</t>
  </si>
  <si>
    <t>2026-02-23 01:13:53</t>
  </si>
  <si>
    <t>POST-11893</t>
  </si>
  <si>
    <t>2026-05-01 08:53:48</t>
  </si>
  <si>
    <t>POST-11894</t>
  </si>
  <si>
    <t>2026-05-29 15:10:02</t>
  </si>
  <si>
    <t>POST-11895</t>
  </si>
  <si>
    <t>2026-04-15 19:03:54</t>
  </si>
  <si>
    <t>POST-11896</t>
  </si>
  <si>
    <t>2026-05-31 16:31:30</t>
  </si>
  <si>
    <t>POST-11897</t>
  </si>
  <si>
    <t>2026-07-10 20:42:57</t>
  </si>
  <si>
    <t>POST-11898</t>
  </si>
  <si>
    <t>2026-02-28 18:05:27</t>
  </si>
  <si>
    <t>POST-11899</t>
  </si>
  <si>
    <t>2026-01-07 09:46:51</t>
  </si>
  <si>
    <t>POST-11900</t>
  </si>
  <si>
    <t>2026-02-11 00:14:29</t>
  </si>
  <si>
    <t>POST-11901</t>
  </si>
  <si>
    <t>2026-05-21 06:37:19</t>
  </si>
  <si>
    <t>POST-11902</t>
  </si>
  <si>
    <t>2026-05-17 16:23:25</t>
  </si>
  <si>
    <t>POST-11903</t>
  </si>
  <si>
    <t>2026-01-30 23:26:36</t>
  </si>
  <si>
    <t>POST-11904</t>
  </si>
  <si>
    <t>2026-04-30 03:42:10</t>
  </si>
  <si>
    <t>POST-11905</t>
  </si>
  <si>
    <t>2026-07-05 12:33:35</t>
  </si>
  <si>
    <t>POST-11906</t>
  </si>
  <si>
    <t>2026-02-12 11:38:32</t>
  </si>
  <si>
    <t>POST-11907</t>
  </si>
  <si>
    <t>2026-04-15 04:42:49</t>
  </si>
  <si>
    <t>POST-11908</t>
  </si>
  <si>
    <t>2026-07-06 03:05:56</t>
  </si>
  <si>
    <t>POST-11909</t>
  </si>
  <si>
    <t>2026-05-28 05:26:14</t>
  </si>
  <si>
    <t>POST-11910</t>
  </si>
  <si>
    <t>2026-04-05 14:04:30</t>
  </si>
  <si>
    <t>POST-11911</t>
  </si>
  <si>
    <t>2026-07-10 13:22:47</t>
  </si>
  <si>
    <t>POST-11912</t>
  </si>
  <si>
    <t>2026-05-29 11:02:38</t>
  </si>
  <si>
    <t>POST-11913</t>
  </si>
  <si>
    <t>2026-05-24 02:40:44</t>
  </si>
  <si>
    <t>POST-11914</t>
  </si>
  <si>
    <t>2026-04-17 17:58:49</t>
  </si>
  <si>
    <t>POST-11915</t>
  </si>
  <si>
    <t>2026-03-02 01:28:49</t>
  </si>
  <si>
    <t>POST-11916</t>
  </si>
  <si>
    <t>2026-08-17 17:47:28</t>
  </si>
  <si>
    <t>POST-11917</t>
  </si>
  <si>
    <t>2026-03-24 09:09:15</t>
  </si>
  <si>
    <t>POST-11918</t>
  </si>
  <si>
    <t>2026-02-15 11:11:52</t>
  </si>
  <si>
    <t>POST-11919</t>
  </si>
  <si>
    <t>2026-05-31 09:13:30</t>
  </si>
  <si>
    <t>POST-11920</t>
  </si>
  <si>
    <t>2026-07-13 15:46:36</t>
  </si>
  <si>
    <t>POST-11921</t>
  </si>
  <si>
    <t>2026-02-26 14:13:23</t>
  </si>
  <si>
    <t>POST-11922</t>
  </si>
  <si>
    <t>2026-05-13 08:06:56</t>
  </si>
  <si>
    <t>POST-11923</t>
  </si>
  <si>
    <t>2026-05-27 02:07:12</t>
  </si>
  <si>
    <t>POST-11924</t>
  </si>
  <si>
    <t>2026-07-24 05:31:04</t>
  </si>
  <si>
    <t>POST-11925</t>
  </si>
  <si>
    <t>2026-08-05 19:01:31</t>
  </si>
  <si>
    <t>POST-11926</t>
  </si>
  <si>
    <t>2026-08-09 16:02:42</t>
  </si>
  <si>
    <t>POST-11927</t>
  </si>
  <si>
    <t>2026-02-16 21:50:47</t>
  </si>
  <si>
    <t>POST-11928</t>
  </si>
  <si>
    <t>2026-08-02 04:04:34</t>
  </si>
  <si>
    <t>POST-11929</t>
  </si>
  <si>
    <t>2026-07-16 23:37:46</t>
  </si>
  <si>
    <t>POST-11930</t>
  </si>
  <si>
    <t>2026-01-07 02:45:24</t>
  </si>
  <si>
    <t>POST-11931</t>
  </si>
  <si>
    <t>2026-07-18 11:44:56</t>
  </si>
  <si>
    <t>POST-11932</t>
  </si>
  <si>
    <t>2026-05-22 15:17:27</t>
  </si>
  <si>
    <t>POST-11933</t>
  </si>
  <si>
    <t>2026-06-27 22:16:21</t>
  </si>
  <si>
    <t>POST-11934</t>
  </si>
  <si>
    <t>2026-06-09 05:01:18</t>
  </si>
  <si>
    <t>POST-11935</t>
  </si>
  <si>
    <t>2026-07-26 19:12:02</t>
  </si>
  <si>
    <t>POST-11936</t>
  </si>
  <si>
    <t>2026-07-21 05:24:08</t>
  </si>
  <si>
    <t>POST-11937</t>
  </si>
  <si>
    <t>2026-04-14 01:38:58</t>
  </si>
  <si>
    <t>POST-11938</t>
  </si>
  <si>
    <t>2026-02-03 14:05:45</t>
  </si>
  <si>
    <t>POST-11939</t>
  </si>
  <si>
    <t>2026-06-03 20:56:04</t>
  </si>
  <si>
    <t>POST-11940</t>
  </si>
  <si>
    <t>2026-03-11 19:58:26</t>
  </si>
  <si>
    <t>POST-11941</t>
  </si>
  <si>
    <t>2026-03-09 07:14:46</t>
  </si>
  <si>
    <t>POST-11942</t>
  </si>
  <si>
    <t>2026-04-30 23:37:48</t>
  </si>
  <si>
    <t>POST-11943</t>
  </si>
  <si>
    <t>2026-08-20 07:33:05</t>
  </si>
  <si>
    <t>POST-11944</t>
  </si>
  <si>
    <t>2026-04-22 14:43:21</t>
  </si>
  <si>
    <t>POST-11945</t>
  </si>
  <si>
    <t>2026-05-08 04:09:20</t>
  </si>
  <si>
    <t>POST-11946</t>
  </si>
  <si>
    <t>2026-03-05 16:21:23</t>
  </si>
  <si>
    <t>POST-11947</t>
  </si>
  <si>
    <t>2026-05-07 17:20:45</t>
  </si>
  <si>
    <t>POST-11948</t>
  </si>
  <si>
    <t>2026-01-27 19:49:48</t>
  </si>
  <si>
    <t>POST-11949</t>
  </si>
  <si>
    <t>2026-07-26 20:05:17</t>
  </si>
  <si>
    <t>POST-11950</t>
  </si>
  <si>
    <t>2026-01-25 11:43:54</t>
  </si>
  <si>
    <t>POST-11951</t>
  </si>
  <si>
    <t>2026-03-19 15:18:19</t>
  </si>
  <si>
    <t>POST-11952</t>
  </si>
  <si>
    <t>2026-05-12 20:03:45</t>
  </si>
  <si>
    <t>POST-11953</t>
  </si>
  <si>
    <t>2026-02-24 11:10:10</t>
  </si>
  <si>
    <t>POST-11954</t>
  </si>
  <si>
    <t>2026-05-15 14:51:25</t>
  </si>
  <si>
    <t>POST-11955</t>
  </si>
  <si>
    <t>2026-06-22 22:24:45</t>
  </si>
  <si>
    <t>POST-11956</t>
  </si>
  <si>
    <t>2026-05-18 13:30:35</t>
  </si>
  <si>
    <t>POST-11957</t>
  </si>
  <si>
    <t>2026-02-13 05:48:02</t>
  </si>
  <si>
    <t>POST-11958</t>
  </si>
  <si>
    <t>2026-05-30 01:05:07</t>
  </si>
  <si>
    <t>POST-11959</t>
  </si>
  <si>
    <t>2026-03-21 01:45:46</t>
  </si>
  <si>
    <t>POST-11960</t>
  </si>
  <si>
    <t>2026-02-12 10:39:15</t>
  </si>
  <si>
    <t>POST-11961</t>
  </si>
  <si>
    <t>2026-04-05 02:13:23</t>
  </si>
  <si>
    <t>POST-11962</t>
  </si>
  <si>
    <t>2026-07-24 17:11:27</t>
  </si>
  <si>
    <t>POST-11963</t>
  </si>
  <si>
    <t>2026-03-27 17:33:00</t>
  </si>
  <si>
    <t>POST-11964</t>
  </si>
  <si>
    <t>2026-04-11 11:51:59</t>
  </si>
  <si>
    <t>POST-11965</t>
  </si>
  <si>
    <t>2026-04-08 22:39:36</t>
  </si>
  <si>
    <t>POST-11966</t>
  </si>
  <si>
    <t>2026-06-22 13:03:23</t>
  </si>
  <si>
    <t>POST-11967</t>
  </si>
  <si>
    <t>2026-06-08 14:10:49</t>
  </si>
  <si>
    <t>POST-11968</t>
  </si>
  <si>
    <t>2026-01-03 02:27:32</t>
  </si>
  <si>
    <t>POST-11969</t>
  </si>
  <si>
    <t>2026-05-09 20:30:55</t>
  </si>
  <si>
    <t>POST-11970</t>
  </si>
  <si>
    <t>2026-08-15 19:38:25</t>
  </si>
  <si>
    <t>POST-11971</t>
  </si>
  <si>
    <t>2026-03-03 16:54:28</t>
  </si>
  <si>
    <t>POST-11972</t>
  </si>
  <si>
    <t>2026-05-16 03:25:20</t>
  </si>
  <si>
    <t>POST-11973</t>
  </si>
  <si>
    <t>2026-02-21 07:34:23</t>
  </si>
  <si>
    <t>POST-11974</t>
  </si>
  <si>
    <t>2026-02-26 22:13:03</t>
  </si>
  <si>
    <t>POST-11975</t>
  </si>
  <si>
    <t>2026-05-13 15:55:34</t>
  </si>
  <si>
    <t>POST-11976</t>
  </si>
  <si>
    <t>2026-03-05 14:54:54</t>
  </si>
  <si>
    <t>POST-11977</t>
  </si>
  <si>
    <t>2026-06-10 23:27:02</t>
  </si>
  <si>
    <t>POST-11978</t>
  </si>
  <si>
    <t>2026-08-02 08:27:05</t>
  </si>
  <si>
    <t>POST-11979</t>
  </si>
  <si>
    <t>2026-07-17 04:43:11</t>
  </si>
  <si>
    <t>POST-11980</t>
  </si>
  <si>
    <t>2026-02-11 03:11:15</t>
  </si>
  <si>
    <t>POST-11981</t>
  </si>
  <si>
    <t>2026-03-05 23:26:59</t>
  </si>
  <si>
    <t>POST-11982</t>
  </si>
  <si>
    <t>2026-07-29 21:17:02</t>
  </si>
  <si>
    <t>POST-11983</t>
  </si>
  <si>
    <t>2026-03-31 22:13:27</t>
  </si>
  <si>
    <t>POST-11984</t>
  </si>
  <si>
    <t>2026-05-10 15:50:42</t>
  </si>
  <si>
    <t>POST-11985</t>
  </si>
  <si>
    <t>2026-08-19 18:47:37</t>
  </si>
  <si>
    <t>POST-11986</t>
  </si>
  <si>
    <t>2026-04-03 13:13:53</t>
  </si>
  <si>
    <t>POST-11987</t>
  </si>
  <si>
    <t>2026-03-04 08:28:38</t>
  </si>
  <si>
    <t>POST-11988</t>
  </si>
  <si>
    <t>2026-05-23 18:00:01</t>
  </si>
  <si>
    <t>POST-11989</t>
  </si>
  <si>
    <t>2026-02-02 06:02:36</t>
  </si>
  <si>
    <t>POST-11990</t>
  </si>
  <si>
    <t>2026-02-08 16:53:45</t>
  </si>
  <si>
    <t>POST-11991</t>
  </si>
  <si>
    <t>2026-05-31 19:55:06</t>
  </si>
  <si>
    <t>POST-11992</t>
  </si>
  <si>
    <t>2026-05-12 11:36:27</t>
  </si>
  <si>
    <t>POST-11993</t>
  </si>
  <si>
    <t>2026-08-16 06:54:20</t>
  </si>
  <si>
    <t>POST-11994</t>
  </si>
  <si>
    <t>2026-04-02 03:44:51</t>
  </si>
  <si>
    <t>POST-11995</t>
  </si>
  <si>
    <t>2026-03-11 19:36:55</t>
  </si>
  <si>
    <t>POST-11996</t>
  </si>
  <si>
    <t>2026-03-14 18:57:23</t>
  </si>
  <si>
    <t>POST-11997</t>
  </si>
  <si>
    <t>2026-04-19 05:54:31</t>
  </si>
  <si>
    <t>POST-11998</t>
  </si>
  <si>
    <t>2026-07-18 12:31:09</t>
  </si>
  <si>
    <t>POST-11999</t>
  </si>
  <si>
    <t>2026-03-14 19:21:35</t>
  </si>
  <si>
    <t>POST-12000</t>
  </si>
  <si>
    <t>2026-04-07 05:30:44</t>
  </si>
  <si>
    <t>POST-12001</t>
  </si>
  <si>
    <t>2026-03-17 14:05:30</t>
  </si>
  <si>
    <t>POST-12002</t>
  </si>
  <si>
    <t>2026-06-24 15:55:04</t>
  </si>
  <si>
    <t>POST-12003</t>
  </si>
  <si>
    <t>2026-02-14 09:10:25</t>
  </si>
  <si>
    <t>POST-12004</t>
  </si>
  <si>
    <t>2026-08-16 15:34:35</t>
  </si>
  <si>
    <t>POST-12005</t>
  </si>
  <si>
    <t>2026-03-06 07:56:17</t>
  </si>
  <si>
    <t>POST-12006</t>
  </si>
  <si>
    <t>2026-08-06 08:16:29</t>
  </si>
  <si>
    <t>POST-12007</t>
  </si>
  <si>
    <t>2026-07-31 17:17:39</t>
  </si>
  <si>
    <t>POST-12008</t>
  </si>
  <si>
    <t>2026-03-25 18:51:27</t>
  </si>
  <si>
    <t>POST-12009</t>
  </si>
  <si>
    <t>2026-03-11 02:24:24</t>
  </si>
  <si>
    <t>POST-12010</t>
  </si>
  <si>
    <t>2026-03-10 20:35:31</t>
  </si>
  <si>
    <t>POST-12011</t>
  </si>
  <si>
    <t>2026-07-01 00:20:31</t>
  </si>
  <si>
    <t>POST-12012</t>
  </si>
  <si>
    <t>2026-07-22 19:52:51</t>
  </si>
  <si>
    <t>POST-12013</t>
  </si>
  <si>
    <t>2026-03-09 14:26:58</t>
  </si>
  <si>
    <t>POST-12014</t>
  </si>
  <si>
    <t>2026-05-11 21:28:16</t>
  </si>
  <si>
    <t>POST-12015</t>
  </si>
  <si>
    <t>2026-06-10 11:15:14</t>
  </si>
  <si>
    <t>POST-12016</t>
  </si>
  <si>
    <t>2026-02-22 13:54:31</t>
  </si>
  <si>
    <t>POST-12017</t>
  </si>
  <si>
    <t>2026-01-10 19:09:08</t>
  </si>
  <si>
    <t>POST-12018</t>
  </si>
  <si>
    <t>2026-02-03 23:01:45</t>
  </si>
  <si>
    <t>POST-12019</t>
  </si>
  <si>
    <t>2026-07-08 07:46:23</t>
  </si>
  <si>
    <t>POST-12020</t>
  </si>
  <si>
    <t>2026-04-25 15:53:09</t>
  </si>
  <si>
    <t>POST-12021</t>
  </si>
  <si>
    <t>2026-04-16 19:21:32</t>
  </si>
  <si>
    <t>POST-12022</t>
  </si>
  <si>
    <t>2026-04-28 07:20:07</t>
  </si>
  <si>
    <t>POST-12023</t>
  </si>
  <si>
    <t>2026-04-28 06:38:12</t>
  </si>
  <si>
    <t>POST-12024</t>
  </si>
  <si>
    <t>2026-08-11 21:21:30</t>
  </si>
  <si>
    <t>POST-12025</t>
  </si>
  <si>
    <t>2026-06-25 18:47:07</t>
  </si>
  <si>
    <t>POST-12026</t>
  </si>
  <si>
    <t>2026-02-26 14:18:25</t>
  </si>
  <si>
    <t>POST-12027</t>
  </si>
  <si>
    <t>2026-08-19 17:07:25</t>
  </si>
  <si>
    <t>POST-12028</t>
  </si>
  <si>
    <t>2026-08-13 03:10:35</t>
  </si>
  <si>
    <t>POST-12029</t>
  </si>
  <si>
    <t>2026-07-09 15:44:49</t>
  </si>
  <si>
    <t>POST-12030</t>
  </si>
  <si>
    <t>2026-06-16 10:31:37</t>
  </si>
  <si>
    <t>POST-12031</t>
  </si>
  <si>
    <t>2026-07-31 12:47:21</t>
  </si>
  <si>
    <t>POST-12032</t>
  </si>
  <si>
    <t>2026-03-24 21:09:41</t>
  </si>
  <si>
    <t>POST-12033</t>
  </si>
  <si>
    <t>2026-01-07 07:07:01</t>
  </si>
  <si>
    <t>POST-12034</t>
  </si>
  <si>
    <t>2026-04-15 05:10:33</t>
  </si>
  <si>
    <t>POST-12035</t>
  </si>
  <si>
    <t>2026-01-28 02:21:27</t>
  </si>
  <si>
    <t>POST-12036</t>
  </si>
  <si>
    <t>2026-02-12 12:02:22</t>
  </si>
  <si>
    <t>POST-12037</t>
  </si>
  <si>
    <t>2026-01-13 23:22:06</t>
  </si>
  <si>
    <t>POST-12038</t>
  </si>
  <si>
    <t>2026-03-14 23:28:38</t>
  </si>
  <si>
    <t>POST-12039</t>
  </si>
  <si>
    <t>2026-01-22 03:12:03</t>
  </si>
  <si>
    <t>POST-12040</t>
  </si>
  <si>
    <t>2026-06-10 10:15:48</t>
  </si>
  <si>
    <t>POST-12041</t>
  </si>
  <si>
    <t>2026-04-20 06:10:03</t>
  </si>
  <si>
    <t>POST-12042</t>
  </si>
  <si>
    <t>2026-04-05 11:28:14</t>
  </si>
  <si>
    <t>POST-12043</t>
  </si>
  <si>
    <t>2026-07-27 22:23:53</t>
  </si>
  <si>
    <t>POST-12044</t>
  </si>
  <si>
    <t>2026-03-23 14:22:15</t>
  </si>
  <si>
    <t>POST-12045</t>
  </si>
  <si>
    <t>2026-04-09 02:44:54</t>
  </si>
  <si>
    <t>POST-12046</t>
  </si>
  <si>
    <t>2026-05-18 18:20:01</t>
  </si>
  <si>
    <t>POST-12047</t>
  </si>
  <si>
    <t>2026-07-12 02:30:16</t>
  </si>
  <si>
    <t>POST-12048</t>
  </si>
  <si>
    <t>2026-06-10 04:07:13</t>
  </si>
  <si>
    <t>POST-12049</t>
  </si>
  <si>
    <t>2026-03-18 22:23:25</t>
  </si>
  <si>
    <t>POST-12050</t>
  </si>
  <si>
    <t>2026-07-01 16:50:24</t>
  </si>
  <si>
    <t>POST-12051</t>
  </si>
  <si>
    <t>2026-07-26 03:59:21</t>
  </si>
  <si>
    <t>POST-12052</t>
  </si>
  <si>
    <t>2026-01-28 20:12:21</t>
  </si>
  <si>
    <t>POST-12053</t>
  </si>
  <si>
    <t>2026-03-07 05:53:05</t>
  </si>
  <si>
    <t>POST-12054</t>
  </si>
  <si>
    <t>2026-04-22 06:48:56</t>
  </si>
  <si>
    <t>POST-12055</t>
  </si>
  <si>
    <t>2026-01-23 02:55:07</t>
  </si>
  <si>
    <t>POST-12056</t>
  </si>
  <si>
    <t>2026-05-29 11:18:54</t>
  </si>
  <si>
    <t>POST-12057</t>
  </si>
  <si>
    <t>2026-06-29 17:27:39</t>
  </si>
  <si>
    <t>POST-12058</t>
  </si>
  <si>
    <t>2026-08-17 05:20:38</t>
  </si>
  <si>
    <t>POST-12059</t>
  </si>
  <si>
    <t>2026-03-22 12:13:06</t>
  </si>
  <si>
    <t>POST-12060</t>
  </si>
  <si>
    <t>2026-04-11 23:53:05</t>
  </si>
  <si>
    <t>POST-12061</t>
  </si>
  <si>
    <t>2026-03-21 12:39:58</t>
  </si>
  <si>
    <t>POST-12062</t>
  </si>
  <si>
    <t>2026-02-04 10:02:28</t>
  </si>
  <si>
    <t>POST-12063</t>
  </si>
  <si>
    <t>2026-08-09 23:58:09</t>
  </si>
  <si>
    <t>POST-12064</t>
  </si>
  <si>
    <t>2026-04-23 07:48:45</t>
  </si>
  <si>
    <t>POST-12065</t>
  </si>
  <si>
    <t>2026-06-10 13:49:53</t>
  </si>
  <si>
    <t>POST-12066</t>
  </si>
  <si>
    <t>2026-05-15 03:38:23</t>
  </si>
  <si>
    <t>POST-12067</t>
  </si>
  <si>
    <t>2026-07-28 23:54:41</t>
  </si>
  <si>
    <t>POST-12068</t>
  </si>
  <si>
    <t>2026-04-27 20:32:26</t>
  </si>
  <si>
    <t>POST-12069</t>
  </si>
  <si>
    <t>2026-02-11 19:37:21</t>
  </si>
  <si>
    <t>POST-12070</t>
  </si>
  <si>
    <t>2026-01-26 08:38:26</t>
  </si>
  <si>
    <t>POST-12071</t>
  </si>
  <si>
    <t>2026-05-06 15:31:56</t>
  </si>
  <si>
    <t>POST-12072</t>
  </si>
  <si>
    <t>2026-02-14 14:40:52</t>
  </si>
  <si>
    <t>POST-12073</t>
  </si>
  <si>
    <t>2026-08-08 07:20:56</t>
  </si>
  <si>
    <t>POST-12074</t>
  </si>
  <si>
    <t>2026-03-03 11:57:01</t>
  </si>
  <si>
    <t>POST-12075</t>
  </si>
  <si>
    <t>2026-05-17 11:32:51</t>
  </si>
  <si>
    <t>POST-12076</t>
  </si>
  <si>
    <t>2026-01-23 22:02:08</t>
  </si>
  <si>
    <t>POST-12077</t>
  </si>
  <si>
    <t>2026-08-07 08:13:42</t>
  </si>
  <si>
    <t>POST-12078</t>
  </si>
  <si>
    <t>2026-03-17 20:00:04</t>
  </si>
  <si>
    <t>POST-12079</t>
  </si>
  <si>
    <t>2026-06-23 15:38:22</t>
  </si>
  <si>
    <t>POST-12080</t>
  </si>
  <si>
    <t>2026-08-06 22:31:27</t>
  </si>
  <si>
    <t>POST-12081</t>
  </si>
  <si>
    <t>2026-06-12 13:02:17</t>
  </si>
  <si>
    <t>POST-12082</t>
  </si>
  <si>
    <t>2026-08-02 07:14:17</t>
  </si>
  <si>
    <t>POST-12083</t>
  </si>
  <si>
    <t>2026-03-24 00:21:39</t>
  </si>
  <si>
    <t>POST-12084</t>
  </si>
  <si>
    <t>2026-05-25 18:16:01</t>
  </si>
  <si>
    <t>POST-12085</t>
  </si>
  <si>
    <t>2026-01-16 05:57:22</t>
  </si>
  <si>
    <t>POST-12086</t>
  </si>
  <si>
    <t>2026-05-01 06:32:55</t>
  </si>
  <si>
    <t>POST-12087</t>
  </si>
  <si>
    <t>2026-03-12 08:49:48</t>
  </si>
  <si>
    <t>POST-12088</t>
  </si>
  <si>
    <t>2026-06-27 17:35:27</t>
  </si>
  <si>
    <t>POST-12089</t>
  </si>
  <si>
    <t>2026-04-17 23:05:07</t>
  </si>
  <si>
    <t>POST-12090</t>
  </si>
  <si>
    <t>2026-02-04 17:53:24</t>
  </si>
  <si>
    <t>POST-12091</t>
  </si>
  <si>
    <t>2026-04-29 22:39:38</t>
  </si>
  <si>
    <t>POST-12092</t>
  </si>
  <si>
    <t>2026-04-20 17:15:08</t>
  </si>
  <si>
    <t>POST-12093</t>
  </si>
  <si>
    <t>2026-03-03 22:17:12</t>
  </si>
  <si>
    <t>POST-12094</t>
  </si>
  <si>
    <t>2026-07-30 18:16:06</t>
  </si>
  <si>
    <t>POST-12095</t>
  </si>
  <si>
    <t>2026-01-21 05:19:16</t>
  </si>
  <si>
    <t>POST-12096</t>
  </si>
  <si>
    <t>2026-06-22 03:36:45</t>
  </si>
  <si>
    <t>POST-12097</t>
  </si>
  <si>
    <t>2026-02-09 20:33:08</t>
  </si>
  <si>
    <t>POST-12098</t>
  </si>
  <si>
    <t>2026-06-01 15:52:22</t>
  </si>
  <si>
    <t>POST-12099</t>
  </si>
  <si>
    <t>2026-07-04 05:32:05</t>
  </si>
  <si>
    <t>POST-12100</t>
  </si>
  <si>
    <t>2026-03-13 02:24:16</t>
  </si>
  <si>
    <t>POST-12101</t>
  </si>
  <si>
    <t>2026-07-10 05:29:23</t>
  </si>
  <si>
    <t>POST-12102</t>
  </si>
  <si>
    <t>2026-08-15 16:01:29</t>
  </si>
  <si>
    <t>POST-12103</t>
  </si>
  <si>
    <t>2026-07-10 16:29:01</t>
  </si>
  <si>
    <t>POST-12104</t>
  </si>
  <si>
    <t>2026-01-17 04:52:14</t>
  </si>
  <si>
    <t>POST-12105</t>
  </si>
  <si>
    <t>2026-01-24 23:37:58</t>
  </si>
  <si>
    <t>POST-12106</t>
  </si>
  <si>
    <t>2026-04-26 07:12:46</t>
  </si>
  <si>
    <t>POST-12107</t>
  </si>
  <si>
    <t>2026-02-25 03:13:25</t>
  </si>
  <si>
    <t>POST-12108</t>
  </si>
  <si>
    <t>2026-01-21 13:35:24</t>
  </si>
  <si>
    <t>POST-12109</t>
  </si>
  <si>
    <t>2026-03-29 02:22:10</t>
  </si>
  <si>
    <t>POST-12110</t>
  </si>
  <si>
    <t>2026-04-27 14:46:50</t>
  </si>
  <si>
    <t>POST-12111</t>
  </si>
  <si>
    <t>2026-01-18 16:12:57</t>
  </si>
  <si>
    <t>POST-12112</t>
  </si>
  <si>
    <t>2026-01-03 01:36:35</t>
  </si>
  <si>
    <t>POST-12113</t>
  </si>
  <si>
    <t>2026-02-04 03:30:12</t>
  </si>
  <si>
    <t>POST-12114</t>
  </si>
  <si>
    <t>2026-05-15 12:26:34</t>
  </si>
  <si>
    <t>POST-12115</t>
  </si>
  <si>
    <t>2026-03-30 13:15:38</t>
  </si>
  <si>
    <t>POST-12116</t>
  </si>
  <si>
    <t>2026-04-26 03:01:12</t>
  </si>
  <si>
    <t>POST-12117</t>
  </si>
  <si>
    <t>2026-01-07 09:28:32</t>
  </si>
  <si>
    <t>POST-12118</t>
  </si>
  <si>
    <t>2026-03-27 09:18:39</t>
  </si>
  <si>
    <t>POST-12119</t>
  </si>
  <si>
    <t>2026-01-11 17:50:58</t>
  </si>
  <si>
    <t>POST-12120</t>
  </si>
  <si>
    <t>2026-05-27 17:06:27</t>
  </si>
  <si>
    <t>POST-12121</t>
  </si>
  <si>
    <t>2026-05-17 18:28:17</t>
  </si>
  <si>
    <t>POST-12122</t>
  </si>
  <si>
    <t>2026-04-27 01:39:57</t>
  </si>
  <si>
    <t>POST-12123</t>
  </si>
  <si>
    <t>2026-08-17 16:15:59</t>
  </si>
  <si>
    <t>POST-12124</t>
  </si>
  <si>
    <t>2026-02-15 21:57:44</t>
  </si>
  <si>
    <t>POST-12125</t>
  </si>
  <si>
    <t>2026-02-17 10:09:54</t>
  </si>
  <si>
    <t>POST-12126</t>
  </si>
  <si>
    <t>2026-01-03 02:34:50</t>
  </si>
  <si>
    <t>POST-12127</t>
  </si>
  <si>
    <t>2026-06-17 14:08:37</t>
  </si>
  <si>
    <t>POST-12128</t>
  </si>
  <si>
    <t>2026-04-20 09:01:31</t>
  </si>
  <si>
    <t>POST-12129</t>
  </si>
  <si>
    <t>2026-03-14 14:24:35</t>
  </si>
  <si>
    <t>POST-12130</t>
  </si>
  <si>
    <t>2026-07-09 18:16:23</t>
  </si>
  <si>
    <t>POST-12131</t>
  </si>
  <si>
    <t>2026-07-06 07:38:32</t>
  </si>
  <si>
    <t>POST-12132</t>
  </si>
  <si>
    <t>2026-08-04 13:07:20</t>
  </si>
  <si>
    <t>POST-12133</t>
  </si>
  <si>
    <t>2026-04-27 23:04:23</t>
  </si>
  <si>
    <t>POST-12134</t>
  </si>
  <si>
    <t>2026-03-21 19:28:41</t>
  </si>
  <si>
    <t>POST-12135</t>
  </si>
  <si>
    <t>2026-01-04 00:42:47</t>
  </si>
  <si>
    <t>POST-12136</t>
  </si>
  <si>
    <t>2026-05-09 23:09:29</t>
  </si>
  <si>
    <t>POST-12137</t>
  </si>
  <si>
    <t>2026-06-23 15:41:33</t>
  </si>
  <si>
    <t>POST-12138</t>
  </si>
  <si>
    <t>2026-01-24 01:44:12</t>
  </si>
  <si>
    <t>POST-12139</t>
  </si>
  <si>
    <t>2026-04-06 12:44:18</t>
  </si>
  <si>
    <t>POST-12140</t>
  </si>
  <si>
    <t>2026-05-28 01:12:41</t>
  </si>
  <si>
    <t>POST-12141</t>
  </si>
  <si>
    <t>2026-05-20 06:51:36</t>
  </si>
  <si>
    <t>POST-12142</t>
  </si>
  <si>
    <t>2026-07-19 07:27:08</t>
  </si>
  <si>
    <t>POST-12143</t>
  </si>
  <si>
    <t>2026-08-03 11:31:37</t>
  </si>
  <si>
    <t>POST-12144</t>
  </si>
  <si>
    <t>2026-01-16 05:50:39</t>
  </si>
  <si>
    <t>POST-12145</t>
  </si>
  <si>
    <t>2026-04-02 07:50:24</t>
  </si>
  <si>
    <t>POST-12146</t>
  </si>
  <si>
    <t>2026-05-14 12:18:12</t>
  </si>
  <si>
    <t>POST-12147</t>
  </si>
  <si>
    <t>2026-01-18 05:17:57</t>
  </si>
  <si>
    <t>POST-12148</t>
  </si>
  <si>
    <t>2026-02-18 00:03:54</t>
  </si>
  <si>
    <t>POST-12149</t>
  </si>
  <si>
    <t>2026-02-14 15:43:21</t>
  </si>
  <si>
    <t>POST-12150</t>
  </si>
  <si>
    <t>2026-03-22 01:59:06</t>
  </si>
  <si>
    <t>POST-12151</t>
  </si>
  <si>
    <t>2026-01-14 12:04:22</t>
  </si>
  <si>
    <t>POST-12152</t>
  </si>
  <si>
    <t>2026-03-15 22:30:12</t>
  </si>
  <si>
    <t>POST-12153</t>
  </si>
  <si>
    <t>2026-07-21 19:20:29</t>
  </si>
  <si>
    <t>POST-12154</t>
  </si>
  <si>
    <t>2026-01-23 09:00:45</t>
  </si>
  <si>
    <t>POST-12155</t>
  </si>
  <si>
    <t>2026-02-11 06:48:59</t>
  </si>
  <si>
    <t>POST-12156</t>
  </si>
  <si>
    <t>2026-04-26 01:20:42</t>
  </si>
  <si>
    <t>POST-12157</t>
  </si>
  <si>
    <t>2026-05-13 07:55:27</t>
  </si>
  <si>
    <t>POST-12158</t>
  </si>
  <si>
    <t>2026-06-13 14:14:11</t>
  </si>
  <si>
    <t>POST-12159</t>
  </si>
  <si>
    <t>2026-03-22 23:13:20</t>
  </si>
  <si>
    <t>POST-12160</t>
  </si>
  <si>
    <t>2026-01-04 09:50:59</t>
  </si>
  <si>
    <t>POST-12161</t>
  </si>
  <si>
    <t>2026-01-25 07:16:21</t>
  </si>
  <si>
    <t>POST-12162</t>
  </si>
  <si>
    <t>2026-01-15 13:39:54</t>
  </si>
  <si>
    <t>POST-12163</t>
  </si>
  <si>
    <t>2026-06-21 14:38:09</t>
  </si>
  <si>
    <t>POST-12164</t>
  </si>
  <si>
    <t>2026-06-16 05:37:51</t>
  </si>
  <si>
    <t>POST-12165</t>
  </si>
  <si>
    <t>2026-05-10 12:19:19</t>
  </si>
  <si>
    <t>POST-12166</t>
  </si>
  <si>
    <t>2026-02-11 05:47:22</t>
  </si>
  <si>
    <t>POST-12167</t>
  </si>
  <si>
    <t>2026-07-19 12:20:28</t>
  </si>
  <si>
    <t>POST-12168</t>
  </si>
  <si>
    <t>2026-07-20 05:43:15</t>
  </si>
  <si>
    <t>POST-12169</t>
  </si>
  <si>
    <t>2026-07-29 01:24:48</t>
  </si>
  <si>
    <t>POST-12170</t>
  </si>
  <si>
    <t>2026-01-23 00:27:39</t>
  </si>
  <si>
    <t>POST-12171</t>
  </si>
  <si>
    <t>2026-05-30 07:12:17</t>
  </si>
  <si>
    <t>POST-12172</t>
  </si>
  <si>
    <t>2026-07-19 05:56:10</t>
  </si>
  <si>
    <t>POST-12173</t>
  </si>
  <si>
    <t>2026-07-28 20:40:48</t>
  </si>
  <si>
    <t>POST-12174</t>
  </si>
  <si>
    <t>2026-06-09 19:38:01</t>
  </si>
  <si>
    <t>POST-12175</t>
  </si>
  <si>
    <t>2026-01-21 22:24:55</t>
  </si>
  <si>
    <t>POST-12176</t>
  </si>
  <si>
    <t>2026-03-19 21:39:07</t>
  </si>
  <si>
    <t>POST-12177</t>
  </si>
  <si>
    <t>2026-07-08 07:33:00</t>
  </si>
  <si>
    <t>POST-12178</t>
  </si>
  <si>
    <t>2026-03-10 06:04:34</t>
  </si>
  <si>
    <t>POST-12179</t>
  </si>
  <si>
    <t>2026-07-05 17:10:33</t>
  </si>
  <si>
    <t>POST-12180</t>
  </si>
  <si>
    <t>2026-04-17 07:08:38</t>
  </si>
  <si>
    <t>POST-12181</t>
  </si>
  <si>
    <t>2026-05-05 05:51:59</t>
  </si>
  <si>
    <t>POST-12182</t>
  </si>
  <si>
    <t>2026-03-23 08:33:16</t>
  </si>
  <si>
    <t>POST-12183</t>
  </si>
  <si>
    <t>2026-06-18 07:14:01</t>
  </si>
  <si>
    <t>POST-12184</t>
  </si>
  <si>
    <t>2026-04-24 15:59:46</t>
  </si>
  <si>
    <t>POST-12185</t>
  </si>
  <si>
    <t>2026-02-20 20:34:01</t>
  </si>
  <si>
    <t>POST-12186</t>
  </si>
  <si>
    <t>2026-07-04 10:29:03</t>
  </si>
  <si>
    <t>POST-12187</t>
  </si>
  <si>
    <t>2026-04-26 07:42:38</t>
  </si>
  <si>
    <t>POST-12188</t>
  </si>
  <si>
    <t>2026-07-30 18:44:26</t>
  </si>
  <si>
    <t>POST-12189</t>
  </si>
  <si>
    <t>2026-04-26 21:19:21</t>
  </si>
  <si>
    <t>POST-12190</t>
  </si>
  <si>
    <t>2026-06-18 12:20:55</t>
  </si>
  <si>
    <t>POST-12191</t>
  </si>
  <si>
    <t>2026-02-14 03:38:56</t>
  </si>
  <si>
    <t>POST-12192</t>
  </si>
  <si>
    <t>2026-02-21 06:38:51</t>
  </si>
  <si>
    <t>POST-12193</t>
  </si>
  <si>
    <t>2026-03-04 03:04:35</t>
  </si>
  <si>
    <t>POST-12194</t>
  </si>
  <si>
    <t>2026-06-11 13:03:54</t>
  </si>
  <si>
    <t>POST-12195</t>
  </si>
  <si>
    <t>2026-08-12 21:13:25</t>
  </si>
  <si>
    <t>POST-12196</t>
  </si>
  <si>
    <t>2026-03-20 14:17:55</t>
  </si>
  <si>
    <t>POST-12197</t>
  </si>
  <si>
    <t>2026-05-18 06:19:11</t>
  </si>
  <si>
    <t>POST-12198</t>
  </si>
  <si>
    <t>2026-04-10 17:11:37</t>
  </si>
  <si>
    <t>POST-12199</t>
  </si>
  <si>
    <t>2026-04-03 15:54:00</t>
  </si>
  <si>
    <t>POST-12200</t>
  </si>
  <si>
    <t>2026-03-28 22:52:56</t>
  </si>
  <si>
    <t>POST-12201</t>
  </si>
  <si>
    <t>2026-06-24 20:10:19</t>
  </si>
  <si>
    <t>POST-12202</t>
  </si>
  <si>
    <t>2026-07-11 22:58:19</t>
  </si>
  <si>
    <t>POST-12203</t>
  </si>
  <si>
    <t>2026-05-29 08:06:06</t>
  </si>
  <si>
    <t>POST-12204</t>
  </si>
  <si>
    <t>2026-05-19 21:50:55</t>
  </si>
  <si>
    <t>POST-12205</t>
  </si>
  <si>
    <t>2026-06-08 20:48:24</t>
  </si>
  <si>
    <t>POST-12206</t>
  </si>
  <si>
    <t>2026-02-27 23:10:15</t>
  </si>
  <si>
    <t>POST-12207</t>
  </si>
  <si>
    <t>2026-05-02 06:27:13</t>
  </si>
  <si>
    <t>POST-12208</t>
  </si>
  <si>
    <t>2026-05-01 17:46:40</t>
  </si>
  <si>
    <t>POST-12209</t>
  </si>
  <si>
    <t>2026-04-23 07:01:55</t>
  </si>
  <si>
    <t>POST-12210</t>
  </si>
  <si>
    <t>2026-05-05 18:54:05</t>
  </si>
  <si>
    <t>POST-12211</t>
  </si>
  <si>
    <t>2026-03-13 19:37:18</t>
  </si>
  <si>
    <t>POST-12212</t>
  </si>
  <si>
    <t>2026-04-26 07:57:26</t>
  </si>
  <si>
    <t>POST-12213</t>
  </si>
  <si>
    <t>2026-07-30 07:35:53</t>
  </si>
  <si>
    <t>POST-12214</t>
  </si>
  <si>
    <t>2026-05-26 05:48:54</t>
  </si>
  <si>
    <t>POST-12215</t>
  </si>
  <si>
    <t>2026-03-28 16:02:28</t>
  </si>
  <si>
    <t>POST-12216</t>
  </si>
  <si>
    <t>2026-05-20 18:04:45</t>
  </si>
  <si>
    <t>POST-12217</t>
  </si>
  <si>
    <t>2026-01-06 20:50:15</t>
  </si>
  <si>
    <t>POST-12218</t>
  </si>
  <si>
    <t>2026-06-18 14:44:32</t>
  </si>
  <si>
    <t>POST-12219</t>
  </si>
  <si>
    <t>2026-03-16 17:05:33</t>
  </si>
  <si>
    <t>POST-12220</t>
  </si>
  <si>
    <t>2026-02-11 05:58:04</t>
  </si>
  <si>
    <t>POST-12221</t>
  </si>
  <si>
    <t>2026-03-21 19:22:19</t>
  </si>
  <si>
    <t>POST-12222</t>
  </si>
  <si>
    <t>2026-02-05 20:39:13</t>
  </si>
  <si>
    <t>POST-12223</t>
  </si>
  <si>
    <t>2026-01-18 17:41:33</t>
  </si>
  <si>
    <t>POST-12224</t>
  </si>
  <si>
    <t>2026-02-02 07:52:19</t>
  </si>
  <si>
    <t>POST-12225</t>
  </si>
  <si>
    <t>2026-08-18 02:29:15</t>
  </si>
  <si>
    <t>POST-12226</t>
  </si>
  <si>
    <t>2026-06-08 14:29:29</t>
  </si>
  <si>
    <t>POST-12227</t>
  </si>
  <si>
    <t>2026-04-02 10:24:43</t>
  </si>
  <si>
    <t>POST-12228</t>
  </si>
  <si>
    <t>2026-08-01 02:00:01</t>
  </si>
  <si>
    <t>POST-12229</t>
  </si>
  <si>
    <t>2026-05-01 23:38:43</t>
  </si>
  <si>
    <t>POST-12230</t>
  </si>
  <si>
    <t>2026-07-10 12:58:32</t>
  </si>
  <si>
    <t>POST-12231</t>
  </si>
  <si>
    <t>2026-01-26 15:42:19</t>
  </si>
  <si>
    <t>POST-12232</t>
  </si>
  <si>
    <t>2026-06-20 14:55:08</t>
  </si>
  <si>
    <t>POST-12233</t>
  </si>
  <si>
    <t>2026-04-30 11:44:20</t>
  </si>
  <si>
    <t>POST-12234</t>
  </si>
  <si>
    <t>2026-01-04 18:36:56</t>
  </si>
  <si>
    <t>POST-12235</t>
  </si>
  <si>
    <t>2026-02-08 19:25:38</t>
  </si>
  <si>
    <t>POST-12236</t>
  </si>
  <si>
    <t>2026-05-06 01:19:33</t>
  </si>
  <si>
    <t>POST-12237</t>
  </si>
  <si>
    <t>2026-02-16 13:48:22</t>
  </si>
  <si>
    <t>POST-12238</t>
  </si>
  <si>
    <t>2026-01-29 03:05:36</t>
  </si>
  <si>
    <t>POST-12239</t>
  </si>
  <si>
    <t>2026-02-18 19:26:30</t>
  </si>
  <si>
    <t>POST-12240</t>
  </si>
  <si>
    <t>2026-01-10 14:54:47</t>
  </si>
  <si>
    <t>POST-12241</t>
  </si>
  <si>
    <t>2026-07-05 15:50:21</t>
  </si>
  <si>
    <t>POST-12242</t>
  </si>
  <si>
    <t>2026-04-16 12:42:04</t>
  </si>
  <si>
    <t>POST-12243</t>
  </si>
  <si>
    <t>2026-02-24 04:25:27</t>
  </si>
  <si>
    <t>POST-12244</t>
  </si>
  <si>
    <t>2026-01-03 14:12:43</t>
  </si>
  <si>
    <t>POST-12245</t>
  </si>
  <si>
    <t>2026-02-21 12:45:16</t>
  </si>
  <si>
    <t>POST-12246</t>
  </si>
  <si>
    <t>2026-04-28 01:03:29</t>
  </si>
  <si>
    <t>POST-12247</t>
  </si>
  <si>
    <t>2026-05-11 00:57:10</t>
  </si>
  <si>
    <t>POST-12248</t>
  </si>
  <si>
    <t>2026-02-06 00:57:10</t>
  </si>
  <si>
    <t>POST-12249</t>
  </si>
  <si>
    <t>2026-02-19 05:54:47</t>
  </si>
  <si>
    <t>POST-12250</t>
  </si>
  <si>
    <t>2026-01-10 06:57:37</t>
  </si>
  <si>
    <t>POST-12251</t>
  </si>
  <si>
    <t>2026-06-01 14:24:51</t>
  </si>
  <si>
    <t>POST-12252</t>
  </si>
  <si>
    <t>2026-04-23 12:00:42</t>
  </si>
  <si>
    <t>POST-12253</t>
  </si>
  <si>
    <t>2026-02-11 08:12:41</t>
  </si>
  <si>
    <t>POST-12254</t>
  </si>
  <si>
    <t>2026-08-08 18:31:51</t>
  </si>
  <si>
    <t>POST-12255</t>
  </si>
  <si>
    <t>2026-03-29 16:27:57</t>
  </si>
  <si>
    <t>POST-12256</t>
  </si>
  <si>
    <t>2026-02-05 02:51:11</t>
  </si>
  <si>
    <t>POST-12257</t>
  </si>
  <si>
    <t>2026-08-01 18:38:50</t>
  </si>
  <si>
    <t>POST-12258</t>
  </si>
  <si>
    <t>2026-06-11 17:46:31</t>
  </si>
  <si>
    <t>POST-12259</t>
  </si>
  <si>
    <t>2026-05-15 15:09:06</t>
  </si>
  <si>
    <t>POST-12260</t>
  </si>
  <si>
    <t>2026-02-20 19:38:19</t>
  </si>
  <si>
    <t>POST-12261</t>
  </si>
  <si>
    <t>2026-02-05 15:35:34</t>
  </si>
  <si>
    <t>POST-12262</t>
  </si>
  <si>
    <t>2026-08-01 17:01:41</t>
  </si>
  <si>
    <t>POST-12263</t>
  </si>
  <si>
    <t>2026-05-27 05:13:40</t>
  </si>
  <si>
    <t>POST-12264</t>
  </si>
  <si>
    <t>2026-02-26 15:52:55</t>
  </si>
  <si>
    <t>POST-12265</t>
  </si>
  <si>
    <t>2026-06-05 12:48:02</t>
  </si>
  <si>
    <t>POST-12266</t>
  </si>
  <si>
    <t>2026-05-07 00:30:07</t>
  </si>
  <si>
    <t>POST-12267</t>
  </si>
  <si>
    <t>2026-03-09 06:23:06</t>
  </si>
  <si>
    <t>POST-12268</t>
  </si>
  <si>
    <t>2026-02-06 07:26:41</t>
  </si>
  <si>
    <t>POST-12269</t>
  </si>
  <si>
    <t>2026-05-20 19:04:20</t>
  </si>
  <si>
    <t>POST-12270</t>
  </si>
  <si>
    <t>2026-02-23 10:55:37</t>
  </si>
  <si>
    <t>POST-12271</t>
  </si>
  <si>
    <t>2026-06-26 15:54:13</t>
  </si>
  <si>
    <t>POST-12272</t>
  </si>
  <si>
    <t>2026-06-13 12:25:12</t>
  </si>
  <si>
    <t>POST-12273</t>
  </si>
  <si>
    <t>2026-07-17 13:45:59</t>
  </si>
  <si>
    <t>POST-12274</t>
  </si>
  <si>
    <t>2026-03-13 23:35:48</t>
  </si>
  <si>
    <t>POST-12275</t>
  </si>
  <si>
    <t>2026-02-15 06:14:08</t>
  </si>
  <si>
    <t>POST-12276</t>
  </si>
  <si>
    <t>2026-03-24 01:57:33</t>
  </si>
  <si>
    <t>POST-12277</t>
  </si>
  <si>
    <t>2026-06-06 08:19:28</t>
  </si>
  <si>
    <t>POST-12278</t>
  </si>
  <si>
    <t>2026-05-15 21:11:54</t>
  </si>
  <si>
    <t>POST-12279</t>
  </si>
  <si>
    <t>2026-02-13 19:34:28</t>
  </si>
  <si>
    <t>POST-12280</t>
  </si>
  <si>
    <t>2026-02-11 07:25:57</t>
  </si>
  <si>
    <t>POST-12281</t>
  </si>
  <si>
    <t>2026-04-21 15:16:54</t>
  </si>
  <si>
    <t>POST-12282</t>
  </si>
  <si>
    <t>2026-03-23 17:04:18</t>
  </si>
  <si>
    <t>POST-12283</t>
  </si>
  <si>
    <t>2026-04-20 10:02:24</t>
  </si>
  <si>
    <t>POST-12284</t>
  </si>
  <si>
    <t>2026-06-13 03:06:58</t>
  </si>
  <si>
    <t>POST-12285</t>
  </si>
  <si>
    <t>2026-01-20 21:22:03</t>
  </si>
  <si>
    <t>POST-12286</t>
  </si>
  <si>
    <t>2026-07-13 13:39:33</t>
  </si>
  <si>
    <t>POST-12287</t>
  </si>
  <si>
    <t>2026-06-18 14:49:07</t>
  </si>
  <si>
    <t>POST-12288</t>
  </si>
  <si>
    <t>2026-05-29 13:10:00</t>
  </si>
  <si>
    <t>POST-12289</t>
  </si>
  <si>
    <t>2026-07-28 13:26:38</t>
  </si>
  <si>
    <t>POST-12290</t>
  </si>
  <si>
    <t>2026-01-14 15:52:44</t>
  </si>
  <si>
    <t>POST-12291</t>
  </si>
  <si>
    <t>2026-06-23 15:30:41</t>
  </si>
  <si>
    <t>POST-12292</t>
  </si>
  <si>
    <t>2026-07-30 11:18:35</t>
  </si>
  <si>
    <t>POST-12293</t>
  </si>
  <si>
    <t>2026-08-03 18:07:35</t>
  </si>
  <si>
    <t>POST-12294</t>
  </si>
  <si>
    <t>2026-03-07 06:00:01</t>
  </si>
  <si>
    <t>POST-12295</t>
  </si>
  <si>
    <t>2026-06-03 20:25:24</t>
  </si>
  <si>
    <t>POST-12296</t>
  </si>
  <si>
    <t>2026-05-14 03:13:32</t>
  </si>
  <si>
    <t>POST-12297</t>
  </si>
  <si>
    <t>2026-02-04 06:58:27</t>
  </si>
  <si>
    <t>POST-12298</t>
  </si>
  <si>
    <t>2026-03-04 23:24:56</t>
  </si>
  <si>
    <t>POST-12299</t>
  </si>
  <si>
    <t>2026-01-12 00:41:34</t>
  </si>
  <si>
    <t>POST-12300</t>
  </si>
  <si>
    <t>2026-04-27 18:17:46</t>
  </si>
  <si>
    <t>POST-12301</t>
  </si>
  <si>
    <t>2026-08-09 18:36:30</t>
  </si>
  <si>
    <t>POST-12302</t>
  </si>
  <si>
    <t>2026-05-29 11:59:03</t>
  </si>
  <si>
    <t>POST-12303</t>
  </si>
  <si>
    <t>2026-08-19 05:32:42</t>
  </si>
  <si>
    <t>POST-12304</t>
  </si>
  <si>
    <t>2026-01-31 09:16:34</t>
  </si>
  <si>
    <t>POST-12305</t>
  </si>
  <si>
    <t>2026-05-31 11:10:54</t>
  </si>
  <si>
    <t>POST-12306</t>
  </si>
  <si>
    <t>2026-06-24 01:49:21</t>
  </si>
  <si>
    <t>POST-12307</t>
  </si>
  <si>
    <t>2026-07-30 11:27:48</t>
  </si>
  <si>
    <t>POST-12308</t>
  </si>
  <si>
    <t>2026-02-08 15:49:55</t>
  </si>
  <si>
    <t>POST-12309</t>
  </si>
  <si>
    <t>2026-08-18 18:47:50</t>
  </si>
  <si>
    <t>POST-12310</t>
  </si>
  <si>
    <t>2026-06-02 23:44:12</t>
  </si>
  <si>
    <t>POST-12311</t>
  </si>
  <si>
    <t>2026-06-20 23:58:04</t>
  </si>
  <si>
    <t>POST-12312</t>
  </si>
  <si>
    <t>2026-01-28 23:18:59</t>
  </si>
  <si>
    <t>POST-12313</t>
  </si>
  <si>
    <t>2026-05-03 08:28:07</t>
  </si>
  <si>
    <t>POST-12314</t>
  </si>
  <si>
    <t>2026-01-08 06:18:13</t>
  </si>
  <si>
    <t>POST-12315</t>
  </si>
  <si>
    <t>2026-01-19 20:40:14</t>
  </si>
  <si>
    <t>POST-12316</t>
  </si>
  <si>
    <t>2026-06-17 09:43:13</t>
  </si>
  <si>
    <t>POST-12317</t>
  </si>
  <si>
    <t>2026-06-09 23:14:05</t>
  </si>
  <si>
    <t>POST-12318</t>
  </si>
  <si>
    <t>2026-06-16 11:44:55</t>
  </si>
  <si>
    <t>POST-12319</t>
  </si>
  <si>
    <t>2026-05-13 09:21:28</t>
  </si>
  <si>
    <t>POST-12320</t>
  </si>
  <si>
    <t>2026-03-22 11:01:28</t>
  </si>
  <si>
    <t>POST-12321</t>
  </si>
  <si>
    <t>2026-07-17 14:21:59</t>
  </si>
  <si>
    <t>POST-12322</t>
  </si>
  <si>
    <t>2026-02-17 18:42:22</t>
  </si>
  <si>
    <t>POST-12323</t>
  </si>
  <si>
    <t>2026-02-25 10:53:11</t>
  </si>
  <si>
    <t>POST-12324</t>
  </si>
  <si>
    <t>2026-07-15 10:25:17</t>
  </si>
  <si>
    <t>POST-12325</t>
  </si>
  <si>
    <t>2026-01-12 07:43:32</t>
  </si>
  <si>
    <t>POST-12326</t>
  </si>
  <si>
    <t>2026-03-06 15:28:49</t>
  </si>
  <si>
    <t>POST-12327</t>
  </si>
  <si>
    <t>2026-08-07 08:20:32</t>
  </si>
  <si>
    <t>POST-12328</t>
  </si>
  <si>
    <t>2026-01-10 01:53:47</t>
  </si>
  <si>
    <t>POST-12329</t>
  </si>
  <si>
    <t>2026-03-02 10:06:26</t>
  </si>
  <si>
    <t>POST-12330</t>
  </si>
  <si>
    <t>2026-02-07 00:07:09</t>
  </si>
  <si>
    <t>POST-12331</t>
  </si>
  <si>
    <t>2026-06-03 10:54:11</t>
  </si>
  <si>
    <t>POST-12332</t>
  </si>
  <si>
    <t>2026-04-18 20:22:31</t>
  </si>
  <si>
    <t>POST-12333</t>
  </si>
  <si>
    <t>2026-04-01 09:33:24</t>
  </si>
  <si>
    <t>POST-12334</t>
  </si>
  <si>
    <t>2026-03-07 11:58:11</t>
  </si>
  <si>
    <t>POST-12335</t>
  </si>
  <si>
    <t>2026-08-15 09:33:14</t>
  </si>
  <si>
    <t>POST-12336</t>
  </si>
  <si>
    <t>2026-06-06 14:11:23</t>
  </si>
  <si>
    <t>POST-12337</t>
  </si>
  <si>
    <t>2026-07-10 03:45:48</t>
  </si>
  <si>
    <t>POST-12338</t>
  </si>
  <si>
    <t>2026-04-27 23:05:43</t>
  </si>
  <si>
    <t>POST-12339</t>
  </si>
  <si>
    <t>2026-08-15 04:18:44</t>
  </si>
  <si>
    <t>POST-12340</t>
  </si>
  <si>
    <t>2026-01-13 21:27:40</t>
  </si>
  <si>
    <t>POST-12341</t>
  </si>
  <si>
    <t>2026-07-09 22:54:35</t>
  </si>
  <si>
    <t>POST-12342</t>
  </si>
  <si>
    <t>2026-03-25 14:37:14</t>
  </si>
  <si>
    <t>POST-12343</t>
  </si>
  <si>
    <t>2026-01-29 05:51:33</t>
  </si>
  <si>
    <t>POST-12344</t>
  </si>
  <si>
    <t>2026-07-17 01:31:34</t>
  </si>
  <si>
    <t>POST-12345</t>
  </si>
  <si>
    <t>2026-07-23 03:19:28</t>
  </si>
  <si>
    <t>POST-12346</t>
  </si>
  <si>
    <t>2026-04-19 06:42:45</t>
  </si>
  <si>
    <t>POST-12347</t>
  </si>
  <si>
    <t>2026-07-11 10:55:14</t>
  </si>
  <si>
    <t>POST-12348</t>
  </si>
  <si>
    <t>2026-06-11 18:40:03</t>
  </si>
  <si>
    <t>POST-12349</t>
  </si>
  <si>
    <t>2026-05-26 03:56:31</t>
  </si>
  <si>
    <t>POST-12350</t>
  </si>
  <si>
    <t>2026-02-16 00:52:26</t>
  </si>
  <si>
    <t>POST-12351</t>
  </si>
  <si>
    <t>2026-04-24 11:40:44</t>
  </si>
  <si>
    <t>POST-12352</t>
  </si>
  <si>
    <t>2026-08-14 07:44:37</t>
  </si>
  <si>
    <t>POST-12353</t>
  </si>
  <si>
    <t>2026-06-17 14:55:58</t>
  </si>
  <si>
    <t>POST-12354</t>
  </si>
  <si>
    <t>2026-08-02 18:34:54</t>
  </si>
  <si>
    <t>POST-12355</t>
  </si>
  <si>
    <t>2026-06-10 13:55:32</t>
  </si>
  <si>
    <t>POST-12356</t>
  </si>
  <si>
    <t>2026-08-19 07:05:29</t>
  </si>
  <si>
    <t>POST-12357</t>
  </si>
  <si>
    <t>2026-05-27 19:45:09</t>
  </si>
  <si>
    <t>POST-12358</t>
  </si>
  <si>
    <t>2026-06-26 15:41:38</t>
  </si>
  <si>
    <t>POST-12359</t>
  </si>
  <si>
    <t>2026-03-02 11:49:36</t>
  </si>
  <si>
    <t>POST-12360</t>
  </si>
  <si>
    <t>2026-02-25 08:03:41</t>
  </si>
  <si>
    <t>POST-12361</t>
  </si>
  <si>
    <t>2026-07-28 06:54:41</t>
  </si>
  <si>
    <t>POST-12362</t>
  </si>
  <si>
    <t>2026-03-06 03:26:23</t>
  </si>
  <si>
    <t>POST-12363</t>
  </si>
  <si>
    <t>2026-07-17 09:30:05</t>
  </si>
  <si>
    <t>POST-12364</t>
  </si>
  <si>
    <t>2026-02-26 06:52:06</t>
  </si>
  <si>
    <t>POST-12365</t>
  </si>
  <si>
    <t>2026-02-05 07:38:04</t>
  </si>
  <si>
    <t>POST-12366</t>
  </si>
  <si>
    <t>2026-02-09 15:44:23</t>
  </si>
  <si>
    <t>POST-12367</t>
  </si>
  <si>
    <t>2026-02-27 15:22:09</t>
  </si>
  <si>
    <t>POST-12368</t>
  </si>
  <si>
    <t>2026-08-07 07:31:17</t>
  </si>
  <si>
    <t>POST-12369</t>
  </si>
  <si>
    <t>2026-01-14 00:34:03</t>
  </si>
  <si>
    <t>POST-12370</t>
  </si>
  <si>
    <t>2026-01-02 01:57:41</t>
  </si>
  <si>
    <t>POST-12371</t>
  </si>
  <si>
    <t>2026-02-19 20:50:40</t>
  </si>
  <si>
    <t>POST-12372</t>
  </si>
  <si>
    <t>2026-07-24 06:27:58</t>
  </si>
  <si>
    <t>POST-12373</t>
  </si>
  <si>
    <t>2026-06-03 17:00:20</t>
  </si>
  <si>
    <t>POST-12374</t>
  </si>
  <si>
    <t>2026-04-15 20:01:36</t>
  </si>
  <si>
    <t>POST-12375</t>
  </si>
  <si>
    <t>2026-04-01 00:28:51</t>
  </si>
  <si>
    <t>POST-12376</t>
  </si>
  <si>
    <t>2026-07-06 03:59:24</t>
  </si>
  <si>
    <t>POST-12377</t>
  </si>
  <si>
    <t>2026-04-05 20:57:52</t>
  </si>
  <si>
    <t>POST-12378</t>
  </si>
  <si>
    <t>2026-01-16 18:37:00</t>
  </si>
  <si>
    <t>POST-12379</t>
  </si>
  <si>
    <t>2026-04-15 12:55:42</t>
  </si>
  <si>
    <t>POST-12380</t>
  </si>
  <si>
    <t>2026-06-06 23:20:59</t>
  </si>
  <si>
    <t>POST-12381</t>
  </si>
  <si>
    <t>2026-03-26 04:30:32</t>
  </si>
  <si>
    <t>POST-12382</t>
  </si>
  <si>
    <t>2026-08-05 20:26:01</t>
  </si>
  <si>
    <t>POST-12383</t>
  </si>
  <si>
    <t>2026-01-12 22:45:08</t>
  </si>
  <si>
    <t>POST-12384</t>
  </si>
  <si>
    <t>2026-04-02 12:28:33</t>
  </si>
  <si>
    <t>POST-12385</t>
  </si>
  <si>
    <t>2026-07-18 07:50:28</t>
  </si>
  <si>
    <t>POST-12386</t>
  </si>
  <si>
    <t>2026-07-02 18:48:12</t>
  </si>
  <si>
    <t>POST-12387</t>
  </si>
  <si>
    <t>2026-01-07 19:05:51</t>
  </si>
  <si>
    <t>POST-12388</t>
  </si>
  <si>
    <t>2026-05-14 18:14:28</t>
  </si>
  <si>
    <t>POST-12389</t>
  </si>
  <si>
    <t>2026-08-02 00:23:33</t>
  </si>
  <si>
    <t>POST-12390</t>
  </si>
  <si>
    <t>2026-06-20 21:02:59</t>
  </si>
  <si>
    <t>POST-12391</t>
  </si>
  <si>
    <t>2026-06-14 05:56:28</t>
  </si>
  <si>
    <t>POST-12392</t>
  </si>
  <si>
    <t>2026-03-23 18:33:28</t>
  </si>
  <si>
    <t>POST-12393</t>
  </si>
  <si>
    <t>2026-01-16 22:47:59</t>
  </si>
  <si>
    <t>POST-12394</t>
  </si>
  <si>
    <t>2026-03-02 04:18:01</t>
  </si>
  <si>
    <t>POST-12395</t>
  </si>
  <si>
    <t>2026-04-15 02:39:43</t>
  </si>
  <si>
    <t>POST-12396</t>
  </si>
  <si>
    <t>2026-04-11 14:35:13</t>
  </si>
  <si>
    <t>POST-12397</t>
  </si>
  <si>
    <t>2026-07-17 17:55:41</t>
  </si>
  <si>
    <t>POST-12398</t>
  </si>
  <si>
    <t>2026-06-30 07:35:55</t>
  </si>
  <si>
    <t>POST-12399</t>
  </si>
  <si>
    <t>2026-01-19 23:52:00</t>
  </si>
  <si>
    <t>POST-12400</t>
  </si>
  <si>
    <t>2026-05-21 11:23:03</t>
  </si>
  <si>
    <t>POST-12401</t>
  </si>
  <si>
    <t>2026-05-09 22:25:11</t>
  </si>
  <si>
    <t>POST-12402</t>
  </si>
  <si>
    <t>2026-04-30 15:41:14</t>
  </si>
  <si>
    <t>POST-12403</t>
  </si>
  <si>
    <t>2026-01-10 16:16:49</t>
  </si>
  <si>
    <t>POST-12404</t>
  </si>
  <si>
    <t>2026-03-07 10:42:43</t>
  </si>
  <si>
    <t>POST-12405</t>
  </si>
  <si>
    <t>2026-06-02 20:59:20</t>
  </si>
  <si>
    <t>POST-12406</t>
  </si>
  <si>
    <t>2026-04-23 06:07:12</t>
  </si>
  <si>
    <t>POST-12407</t>
  </si>
  <si>
    <t>2026-08-10 06:23:22</t>
  </si>
  <si>
    <t>POST-12408</t>
  </si>
  <si>
    <t>2026-05-11 16:41:56</t>
  </si>
  <si>
    <t>POST-12409</t>
  </si>
  <si>
    <t>2026-01-28 07:50:15</t>
  </si>
  <si>
    <t>POST-12410</t>
  </si>
  <si>
    <t>2026-07-24 00:55:07</t>
  </si>
  <si>
    <t>POST-12411</t>
  </si>
  <si>
    <t>2026-04-17 23:22:40</t>
  </si>
  <si>
    <t>POST-12412</t>
  </si>
  <si>
    <t>2026-05-09 14:48:11</t>
  </si>
  <si>
    <t>POST-12413</t>
  </si>
  <si>
    <t>2026-05-17 15:12:12</t>
  </si>
  <si>
    <t>POST-12414</t>
  </si>
  <si>
    <t>2026-05-10 00:53:44</t>
  </si>
  <si>
    <t>POST-12415</t>
  </si>
  <si>
    <t>2026-08-09 18:37:51</t>
  </si>
  <si>
    <t>POST-12416</t>
  </si>
  <si>
    <t>2026-02-14 12:19:55</t>
  </si>
  <si>
    <t>POST-12417</t>
  </si>
  <si>
    <t>2026-07-22 15:21:02</t>
  </si>
  <si>
    <t>POST-12418</t>
  </si>
  <si>
    <t>2026-05-15 10:02:36</t>
  </si>
  <si>
    <t>POST-12419</t>
  </si>
  <si>
    <t>2026-07-28 05:59:10</t>
  </si>
  <si>
    <t>POST-12420</t>
  </si>
  <si>
    <t>2026-08-17 12:01:58</t>
  </si>
  <si>
    <t>POST-12421</t>
  </si>
  <si>
    <t>2026-06-10 00:45:34</t>
  </si>
  <si>
    <t>POST-12422</t>
  </si>
  <si>
    <t>2026-06-22 05:11:49</t>
  </si>
  <si>
    <t>POST-12423</t>
  </si>
  <si>
    <t>2026-05-11 01:25:50</t>
  </si>
  <si>
    <t>POST-12424</t>
  </si>
  <si>
    <t>2026-06-04 00:15:30</t>
  </si>
  <si>
    <t>POST-12425</t>
  </si>
  <si>
    <t>2026-06-08 02:03:46</t>
  </si>
  <si>
    <t>POST-12426</t>
  </si>
  <si>
    <t>2026-04-07 05:26:37</t>
  </si>
  <si>
    <t>POST-12427</t>
  </si>
  <si>
    <t>2026-04-22 13:11:51</t>
  </si>
  <si>
    <t>POST-12428</t>
  </si>
  <si>
    <t>2026-05-21 12:12:06</t>
  </si>
  <si>
    <t>POST-12429</t>
  </si>
  <si>
    <t>2026-04-03 08:35:04</t>
  </si>
  <si>
    <t>POST-12430</t>
  </si>
  <si>
    <t>2026-04-21 15:23:11</t>
  </si>
  <si>
    <t>POST-12431</t>
  </si>
  <si>
    <t>2026-03-18 02:10:12</t>
  </si>
  <si>
    <t>POST-12432</t>
  </si>
  <si>
    <t>2026-06-08 23:44:50</t>
  </si>
  <si>
    <t>POST-12433</t>
  </si>
  <si>
    <t>2026-08-09 15:06:30</t>
  </si>
  <si>
    <t>POST-12434</t>
  </si>
  <si>
    <t>2026-01-21 05:59:13</t>
  </si>
  <si>
    <t>POST-12435</t>
  </si>
  <si>
    <t>2026-05-03 07:52:00</t>
  </si>
  <si>
    <t>POST-12436</t>
  </si>
  <si>
    <t>2026-06-22 12:28:13</t>
  </si>
  <si>
    <t>POST-12437</t>
  </si>
  <si>
    <t>2026-03-08 08:01:04</t>
  </si>
  <si>
    <t>POST-12438</t>
  </si>
  <si>
    <t>2026-03-16 10:07:26</t>
  </si>
  <si>
    <t>POST-12439</t>
  </si>
  <si>
    <t>2026-03-13 00:09:08</t>
  </si>
  <si>
    <t>POST-12440</t>
  </si>
  <si>
    <t>2026-01-27 04:44:21</t>
  </si>
  <si>
    <t>POST-12441</t>
  </si>
  <si>
    <t>2026-04-21 16:37:50</t>
  </si>
  <si>
    <t>POST-12442</t>
  </si>
  <si>
    <t>2026-03-17 04:27:47</t>
  </si>
  <si>
    <t>POST-12443</t>
  </si>
  <si>
    <t>2026-05-24 00:14:00</t>
  </si>
  <si>
    <t>POST-12444</t>
  </si>
  <si>
    <t>2026-06-18 03:30:15</t>
  </si>
  <si>
    <t>POST-12445</t>
  </si>
  <si>
    <t>2026-01-13 16:00:50</t>
  </si>
  <si>
    <t>POST-12446</t>
  </si>
  <si>
    <t>2026-05-25 08:20:46</t>
  </si>
  <si>
    <t>POST-12447</t>
  </si>
  <si>
    <t>2026-06-06 03:40:57</t>
  </si>
  <si>
    <t>POST-12448</t>
  </si>
  <si>
    <t>2026-05-06 00:41:57</t>
  </si>
  <si>
    <t>POST-12449</t>
  </si>
  <si>
    <t>2026-06-04 12:56:35</t>
  </si>
  <si>
    <t>POST-12450</t>
  </si>
  <si>
    <t>2026-04-20 11:27:11</t>
  </si>
  <si>
    <t>POST-12451</t>
  </si>
  <si>
    <t>2026-02-16 11:43:57</t>
  </si>
  <si>
    <t>POST-12452</t>
  </si>
  <si>
    <t>2026-03-29 09:55:42</t>
  </si>
  <si>
    <t>POST-12453</t>
  </si>
  <si>
    <t>2026-05-08 03:51:45</t>
  </si>
  <si>
    <t>POST-12454</t>
  </si>
  <si>
    <t>2026-01-19 12:37:09</t>
  </si>
  <si>
    <t>POST-12455</t>
  </si>
  <si>
    <t>2026-08-11 16:25:36</t>
  </si>
  <si>
    <t>POST-12456</t>
  </si>
  <si>
    <t>2026-07-12 18:56:45</t>
  </si>
  <si>
    <t>POST-12457</t>
  </si>
  <si>
    <t>2026-06-08 13:07:14</t>
  </si>
  <si>
    <t>POST-12458</t>
  </si>
  <si>
    <t>2026-08-05 01:19:17</t>
  </si>
  <si>
    <t>POST-12459</t>
  </si>
  <si>
    <t>2026-04-25 09:42:16</t>
  </si>
  <si>
    <t>POST-12460</t>
  </si>
  <si>
    <t>2026-05-11 00:08:54</t>
  </si>
  <si>
    <t>POST-12461</t>
  </si>
  <si>
    <t>2026-07-07 01:17:31</t>
  </si>
  <si>
    <t>POST-12462</t>
  </si>
  <si>
    <t>2026-03-02 14:47:02</t>
  </si>
  <si>
    <t>POST-12463</t>
  </si>
  <si>
    <t>2026-01-19 06:27:44</t>
  </si>
  <si>
    <t>POST-12464</t>
  </si>
  <si>
    <t>2026-04-30 08:49:13</t>
  </si>
  <si>
    <t>POST-12465</t>
  </si>
  <si>
    <t>2026-02-06 11:25:11</t>
  </si>
  <si>
    <t>POST-12466</t>
  </si>
  <si>
    <t>2026-05-29 05:38:01</t>
  </si>
  <si>
    <t>POST-12467</t>
  </si>
  <si>
    <t>2026-06-04 08:54:14</t>
  </si>
  <si>
    <t>POST-12468</t>
  </si>
  <si>
    <t>2026-06-30 22:47:44</t>
  </si>
  <si>
    <t>POST-12469</t>
  </si>
  <si>
    <t>2026-04-18 23:51:17</t>
  </si>
  <si>
    <t>POST-12470</t>
  </si>
  <si>
    <t>2026-08-11 04:05:19</t>
  </si>
  <si>
    <t>POST-12471</t>
  </si>
  <si>
    <t>2026-01-04 09:56:18</t>
  </si>
  <si>
    <t>POST-12472</t>
  </si>
  <si>
    <t>2026-01-05 17:57:35</t>
  </si>
  <si>
    <t>POST-12473</t>
  </si>
  <si>
    <t>2026-05-10 11:10:42</t>
  </si>
  <si>
    <t>POST-12474</t>
  </si>
  <si>
    <t>2026-08-03 10:49:31</t>
  </si>
  <si>
    <t>POST-12475</t>
  </si>
  <si>
    <t>2026-01-12 06:57:14</t>
  </si>
  <si>
    <t>POST-12476</t>
  </si>
  <si>
    <t>2026-07-15 04:32:38</t>
  </si>
  <si>
    <t>POST-12477</t>
  </si>
  <si>
    <t>2026-03-12 07:43:43</t>
  </si>
  <si>
    <t>POST-12478</t>
  </si>
  <si>
    <t>2026-05-28 17:01:56</t>
  </si>
  <si>
    <t>POST-12479</t>
  </si>
  <si>
    <t>2026-08-05 00:31:35</t>
  </si>
  <si>
    <t>POST-12480</t>
  </si>
  <si>
    <t>2026-08-08 12:22:07</t>
  </si>
  <si>
    <t>POST-12481</t>
  </si>
  <si>
    <t>2026-06-28 03:05:37</t>
  </si>
  <si>
    <t>POST-12482</t>
  </si>
  <si>
    <t>2026-01-05 00:50:22</t>
  </si>
  <si>
    <t>POST-12483</t>
  </si>
  <si>
    <t>2026-01-13 05:19:54</t>
  </si>
  <si>
    <t>POST-12484</t>
  </si>
  <si>
    <t>2026-01-22 19:23:18</t>
  </si>
  <si>
    <t>POST-12485</t>
  </si>
  <si>
    <t>2026-03-11 07:35:17</t>
  </si>
  <si>
    <t>POST-12486</t>
  </si>
  <si>
    <t>2026-03-27 08:36:57</t>
  </si>
  <si>
    <t>POST-12487</t>
  </si>
  <si>
    <t>2026-05-23 23:03:45</t>
  </si>
  <si>
    <t>POST-12488</t>
  </si>
  <si>
    <t>2026-07-19 22:27:43</t>
  </si>
  <si>
    <t>POST-12489</t>
  </si>
  <si>
    <t>2026-01-27 21:22:14</t>
  </si>
  <si>
    <t>POST-12490</t>
  </si>
  <si>
    <t>2026-08-08 05:30:51</t>
  </si>
  <si>
    <t>POST-12491</t>
  </si>
  <si>
    <t>2026-01-12 08:33:04</t>
  </si>
  <si>
    <t>POST-12492</t>
  </si>
  <si>
    <t>2026-06-09 17:06:35</t>
  </si>
  <si>
    <t>POST-12493</t>
  </si>
  <si>
    <t>2026-01-18 11:34:09</t>
  </si>
  <si>
    <t>POST-12494</t>
  </si>
  <si>
    <t>2026-01-16 19:38:24</t>
  </si>
  <si>
    <t>POST-12495</t>
  </si>
  <si>
    <t>2026-08-15 13:33:32</t>
  </si>
  <si>
    <t>POST-12496</t>
  </si>
  <si>
    <t>2026-07-22 12:43:50</t>
  </si>
  <si>
    <t>POST-12497</t>
  </si>
  <si>
    <t>2026-06-23 06:32:15</t>
  </si>
  <si>
    <t>POST-12498</t>
  </si>
  <si>
    <t>2026-05-15 21:28:10</t>
  </si>
  <si>
    <t>POST-12499</t>
  </si>
  <si>
    <t>2026-06-08 20:20:11</t>
  </si>
  <si>
    <t>POST-12500</t>
  </si>
  <si>
    <t>2026-02-05 03:49:51</t>
  </si>
  <si>
    <t>POST-12501</t>
  </si>
  <si>
    <t>2026-05-30 14:23:13</t>
  </si>
  <si>
    <t>POST-12502</t>
  </si>
  <si>
    <t>2026-07-03 10:42:44</t>
  </si>
  <si>
    <t>POST-12503</t>
  </si>
  <si>
    <t>2026-08-06 22:13:29</t>
  </si>
  <si>
    <t>POST-12504</t>
  </si>
  <si>
    <t>2026-06-07 13:58:55</t>
  </si>
  <si>
    <t>POST-12505</t>
  </si>
  <si>
    <t>2026-03-11 15:21:34</t>
  </si>
  <si>
    <t>POST-12506</t>
  </si>
  <si>
    <t>2026-07-01 11:36:20</t>
  </si>
  <si>
    <t>POST-12507</t>
  </si>
  <si>
    <t>2026-04-17 09:54:20</t>
  </si>
  <si>
    <t>POST-12508</t>
  </si>
  <si>
    <t>2026-06-28 00:26:48</t>
  </si>
  <si>
    <t>POST-12509</t>
  </si>
  <si>
    <t>2026-05-23 08:04:36</t>
  </si>
  <si>
    <t>POST-12510</t>
  </si>
  <si>
    <t>2026-03-18 16:47:08</t>
  </si>
  <si>
    <t>POST-12511</t>
  </si>
  <si>
    <t>2026-06-18 21:49:56</t>
  </si>
  <si>
    <t>POST-12512</t>
  </si>
  <si>
    <t>2026-01-02 22:24:42</t>
  </si>
  <si>
    <t>POST-12513</t>
  </si>
  <si>
    <t>2026-04-30 20:26:47</t>
  </si>
  <si>
    <t>POST-12514</t>
  </si>
  <si>
    <t>2026-01-30 06:47:34</t>
  </si>
  <si>
    <t>POST-12515</t>
  </si>
  <si>
    <t>2026-05-05 12:44:05</t>
  </si>
  <si>
    <t>POST-12516</t>
  </si>
  <si>
    <t>2026-02-16 07:23:39</t>
  </si>
  <si>
    <t>POST-12517</t>
  </si>
  <si>
    <t>2026-06-02 02:51:17</t>
  </si>
  <si>
    <t>POST-12518</t>
  </si>
  <si>
    <t>2026-04-17 11:47:00</t>
  </si>
  <si>
    <t>POST-12519</t>
  </si>
  <si>
    <t>2026-04-28 09:14:57</t>
  </si>
  <si>
    <t>POST-12520</t>
  </si>
  <si>
    <t>2026-03-31 01:55:25</t>
  </si>
  <si>
    <t>POST-12521</t>
  </si>
  <si>
    <t>2026-01-13 01:58:01</t>
  </si>
  <si>
    <t>POST-12522</t>
  </si>
  <si>
    <t>2026-05-18 14:40:56</t>
  </si>
  <si>
    <t>POST-12523</t>
  </si>
  <si>
    <t>2026-03-01 08:48:00</t>
  </si>
  <si>
    <t>POST-12524</t>
  </si>
  <si>
    <t>2026-05-26 05:15:30</t>
  </si>
  <si>
    <t>POST-12525</t>
  </si>
  <si>
    <t>2026-06-18 00:36:01</t>
  </si>
  <si>
    <t>POST-12526</t>
  </si>
  <si>
    <t>2026-03-25 23:21:19</t>
  </si>
  <si>
    <t>POST-12527</t>
  </si>
  <si>
    <t>2026-02-17 08:23:44</t>
  </si>
  <si>
    <t>POST-12528</t>
  </si>
  <si>
    <t>2026-07-18 19:00:46</t>
  </si>
  <si>
    <t>POST-12529</t>
  </si>
  <si>
    <t>2026-07-31 08:31:16</t>
  </si>
  <si>
    <t>POST-12530</t>
  </si>
  <si>
    <t>2026-08-18 02:16:28</t>
  </si>
  <si>
    <t>POST-12531</t>
  </si>
  <si>
    <t>2026-04-23 10:09:19</t>
  </si>
  <si>
    <t>POST-12532</t>
  </si>
  <si>
    <t>2026-02-18 21:19:13</t>
  </si>
  <si>
    <t>POST-12533</t>
  </si>
  <si>
    <t>2026-01-10 01:37:20</t>
  </si>
  <si>
    <t>POST-12534</t>
  </si>
  <si>
    <t>2026-02-02 14:00:17</t>
  </si>
  <si>
    <t>POST-12535</t>
  </si>
  <si>
    <t>2026-05-07 08:16:00</t>
  </si>
  <si>
    <t>POST-12536</t>
  </si>
  <si>
    <t>2026-04-18 21:12:26</t>
  </si>
  <si>
    <t>POST-12537</t>
  </si>
  <si>
    <t>2026-06-06 02:34:10</t>
  </si>
  <si>
    <t>POST-12538</t>
  </si>
  <si>
    <t>2026-08-19 21:53:12</t>
  </si>
  <si>
    <t>POST-12539</t>
  </si>
  <si>
    <t>2026-05-15 10:56:58</t>
  </si>
  <si>
    <t>POST-12540</t>
  </si>
  <si>
    <t>2026-06-02 12:10:40</t>
  </si>
  <si>
    <t>POST-12541</t>
  </si>
  <si>
    <t>2026-08-06 19:56:46</t>
  </si>
  <si>
    <t>POST-12542</t>
  </si>
  <si>
    <t>2026-06-27 22:58:47</t>
  </si>
  <si>
    <t>POST-12543</t>
  </si>
  <si>
    <t>2026-08-16 02:30:40</t>
  </si>
  <si>
    <t>POST-12544</t>
  </si>
  <si>
    <t>2026-01-28 12:26:47</t>
  </si>
  <si>
    <t>POST-12545</t>
  </si>
  <si>
    <t>2026-01-20 17:52:10</t>
  </si>
  <si>
    <t>POST-12546</t>
  </si>
  <si>
    <t>2026-02-28 07:51:02</t>
  </si>
  <si>
    <t>POST-12547</t>
  </si>
  <si>
    <t>2026-03-27 22:28:18</t>
  </si>
  <si>
    <t>POST-12548</t>
  </si>
  <si>
    <t>2026-03-09 18:35:50</t>
  </si>
  <si>
    <t>POST-12549</t>
  </si>
  <si>
    <t>2026-03-22 16:06:14</t>
  </si>
  <si>
    <t>POST-12550</t>
  </si>
  <si>
    <t>2026-04-10 12:09:22</t>
  </si>
  <si>
    <t>POST-12551</t>
  </si>
  <si>
    <t>2026-03-21 14:31:41</t>
  </si>
  <si>
    <t>POST-12552</t>
  </si>
  <si>
    <t>2026-04-11 04:52:02</t>
  </si>
  <si>
    <t>POST-12553</t>
  </si>
  <si>
    <t>2026-03-28 17:59:46</t>
  </si>
  <si>
    <t>POST-12554</t>
  </si>
  <si>
    <t>2026-01-03 04:20:11</t>
  </si>
  <si>
    <t>POST-12555</t>
  </si>
  <si>
    <t>2026-08-15 11:02:47</t>
  </si>
  <si>
    <t>POST-12556</t>
  </si>
  <si>
    <t>2026-04-15 16:11:09</t>
  </si>
  <si>
    <t>POST-12557</t>
  </si>
  <si>
    <t>2026-02-19 17:31:56</t>
  </si>
  <si>
    <t>POST-12558</t>
  </si>
  <si>
    <t>2026-04-03 03:40:57</t>
  </si>
  <si>
    <t>POST-12559</t>
  </si>
  <si>
    <t>2026-02-12 15:03:51</t>
  </si>
  <si>
    <t>POST-12560</t>
  </si>
  <si>
    <t>2026-02-08 02:44:19</t>
  </si>
  <si>
    <t>POST-12561</t>
  </si>
  <si>
    <t>2026-07-04 16:58:39</t>
  </si>
  <si>
    <t>POST-12562</t>
  </si>
  <si>
    <t>2026-04-25 01:18:18</t>
  </si>
  <si>
    <t>POST-12563</t>
  </si>
  <si>
    <t>2026-07-18 09:58:55</t>
  </si>
  <si>
    <t>POST-12564</t>
  </si>
  <si>
    <t>2026-03-31 20:22:07</t>
  </si>
  <si>
    <t>POST-12565</t>
  </si>
  <si>
    <t>2026-03-27 03:41:18</t>
  </si>
  <si>
    <t>POST-12566</t>
  </si>
  <si>
    <t>2026-04-11 17:40:09</t>
  </si>
  <si>
    <t>POST-12567</t>
  </si>
  <si>
    <t>2026-04-24 08:39:23</t>
  </si>
  <si>
    <t>POST-12568</t>
  </si>
  <si>
    <t>2026-01-01 23:38:33</t>
  </si>
  <si>
    <t>POST-12569</t>
  </si>
  <si>
    <t>2026-06-16 14:39:37</t>
  </si>
  <si>
    <t>POST-12570</t>
  </si>
  <si>
    <t>2026-04-03 22:45:56</t>
  </si>
  <si>
    <t>POST-12571</t>
  </si>
  <si>
    <t>2026-03-14 22:54:51</t>
  </si>
  <si>
    <t>POST-12572</t>
  </si>
  <si>
    <t>2026-03-18 23:21:57</t>
  </si>
  <si>
    <t>POST-12573</t>
  </si>
  <si>
    <t>2026-04-19 17:42:39</t>
  </si>
  <si>
    <t>POST-12574</t>
  </si>
  <si>
    <t>2026-06-16 21:12:06</t>
  </si>
  <si>
    <t>POST-12575</t>
  </si>
  <si>
    <t>2026-05-08 17:43:53</t>
  </si>
  <si>
    <t>POST-12576</t>
  </si>
  <si>
    <t>2026-02-05 05:01:28</t>
  </si>
  <si>
    <t>POST-12577</t>
  </si>
  <si>
    <t>2026-03-23 05:36:48</t>
  </si>
  <si>
    <t>POST-12578</t>
  </si>
  <si>
    <t>2026-08-07 15:42:40</t>
  </si>
  <si>
    <t>POST-12579</t>
  </si>
  <si>
    <t>2026-06-18 01:27:28</t>
  </si>
  <si>
    <t>POST-12580</t>
  </si>
  <si>
    <t>2026-07-23 08:05:46</t>
  </si>
  <si>
    <t>POST-12581</t>
  </si>
  <si>
    <t>2026-08-06 04:54:49</t>
  </si>
  <si>
    <t>POST-12582</t>
  </si>
  <si>
    <t>2026-07-23 07:09:15</t>
  </si>
  <si>
    <t>POST-12583</t>
  </si>
  <si>
    <t>2026-08-06 22:14:53</t>
  </si>
  <si>
    <t>POST-12584</t>
  </si>
  <si>
    <t>2026-06-16 20:07:22</t>
  </si>
  <si>
    <t>POST-12585</t>
  </si>
  <si>
    <t>2026-08-05 02:40:54</t>
  </si>
  <si>
    <t>POST-12586</t>
  </si>
  <si>
    <t>2026-04-18 10:55:09</t>
  </si>
  <si>
    <t>POST-12587</t>
  </si>
  <si>
    <t>2026-02-25 22:22:39</t>
  </si>
  <si>
    <t>POST-12588</t>
  </si>
  <si>
    <t>2026-05-27 06:28:04</t>
  </si>
  <si>
    <t>POST-12589</t>
  </si>
  <si>
    <t>2026-01-17 18:24:28</t>
  </si>
  <si>
    <t>POST-12590</t>
  </si>
  <si>
    <t>2026-03-03 22:05:26</t>
  </si>
  <si>
    <t>POST-12591</t>
  </si>
  <si>
    <t>2026-02-27 11:56:41</t>
  </si>
  <si>
    <t>POST-12592</t>
  </si>
  <si>
    <t>2026-03-20 17:38:16</t>
  </si>
  <si>
    <t>POST-12593</t>
  </si>
  <si>
    <t>2026-06-10 05:10:27</t>
  </si>
  <si>
    <t>POST-12594</t>
  </si>
  <si>
    <t>2026-08-19 04:27:55</t>
  </si>
  <si>
    <t>POST-12595</t>
  </si>
  <si>
    <t>2026-07-10 00:47:22</t>
  </si>
  <si>
    <t>POST-12596</t>
  </si>
  <si>
    <t>2026-03-01 09:12:05</t>
  </si>
  <si>
    <t>POST-12597</t>
  </si>
  <si>
    <t>2026-06-15 11:39:17</t>
  </si>
  <si>
    <t>POST-12598</t>
  </si>
  <si>
    <t>2026-08-02 12:09:28</t>
  </si>
  <si>
    <t>POST-12599</t>
  </si>
  <si>
    <t>2026-03-08 01:50:11</t>
  </si>
  <si>
    <t>POST-12600</t>
  </si>
  <si>
    <t>2026-05-20 19:23:51</t>
  </si>
  <si>
    <t>POST-12601</t>
  </si>
  <si>
    <t>2026-02-07 16:15:16</t>
  </si>
  <si>
    <t>POST-12602</t>
  </si>
  <si>
    <t>2026-01-05 08:26:45</t>
  </si>
  <si>
    <t>POST-12603</t>
  </si>
  <si>
    <t>2026-04-05 07:22:33</t>
  </si>
  <si>
    <t>POST-12604</t>
  </si>
  <si>
    <t>2026-05-15 09:23:22</t>
  </si>
  <si>
    <t>POST-12605</t>
  </si>
  <si>
    <t>2026-08-06 12:40:28</t>
  </si>
  <si>
    <t>POST-12606</t>
  </si>
  <si>
    <t>2026-04-24 02:37:34</t>
  </si>
  <si>
    <t>POST-12607</t>
  </si>
  <si>
    <t>2026-07-18 15:42:55</t>
  </si>
  <si>
    <t>POST-12608</t>
  </si>
  <si>
    <t>2026-04-09 12:10:09</t>
  </si>
  <si>
    <t>POST-12609</t>
  </si>
  <si>
    <t>2026-04-25 10:35:43</t>
  </si>
  <si>
    <t>POST-12610</t>
  </si>
  <si>
    <t>2026-06-07 12:04:24</t>
  </si>
  <si>
    <t>POST-12611</t>
  </si>
  <si>
    <t>2026-04-03 20:38:21</t>
  </si>
  <si>
    <t>POST-12612</t>
  </si>
  <si>
    <t>2026-06-24 01:56:32</t>
  </si>
  <si>
    <t>POST-12613</t>
  </si>
  <si>
    <t>2026-04-17 00:01:32</t>
  </si>
  <si>
    <t>POST-12614</t>
  </si>
  <si>
    <t>2026-05-07 23:54:26</t>
  </si>
  <si>
    <t>POST-12615</t>
  </si>
  <si>
    <t>2026-05-26 23:21:49</t>
  </si>
  <si>
    <t>POST-12616</t>
  </si>
  <si>
    <t>2026-07-03 06:57:14</t>
  </si>
  <si>
    <t>POST-12617</t>
  </si>
  <si>
    <t>2026-07-12 08:19:11</t>
  </si>
  <si>
    <t>POST-12618</t>
  </si>
  <si>
    <t>2026-02-03 22:10:56</t>
  </si>
  <si>
    <t>POST-12619</t>
  </si>
  <si>
    <t>2026-04-13 04:10:09</t>
  </si>
  <si>
    <t>POST-12620</t>
  </si>
  <si>
    <t>2026-01-20 16:24:39</t>
  </si>
  <si>
    <t>POST-12621</t>
  </si>
  <si>
    <t>2026-05-22 08:27:47</t>
  </si>
  <si>
    <t>POST-12622</t>
  </si>
  <si>
    <t>2026-01-31 23:15:02</t>
  </si>
  <si>
    <t>POST-12623</t>
  </si>
  <si>
    <t>2026-03-17 08:30:19</t>
  </si>
  <si>
    <t>POST-12624</t>
  </si>
  <si>
    <t>2026-06-04 11:37:20</t>
  </si>
  <si>
    <t>POST-12625</t>
  </si>
  <si>
    <t>2026-02-01 16:25:23</t>
  </si>
  <si>
    <t>POST-12626</t>
  </si>
  <si>
    <t>2026-01-27 00:06:48</t>
  </si>
  <si>
    <t>POST-12627</t>
  </si>
  <si>
    <t>2026-08-07 23:49:22</t>
  </si>
  <si>
    <t>POST-12628</t>
  </si>
  <si>
    <t>2026-06-19 12:43:40</t>
  </si>
  <si>
    <t>POST-12629</t>
  </si>
  <si>
    <t>2026-02-06 08:16:54</t>
  </si>
  <si>
    <t>POST-12630</t>
  </si>
  <si>
    <t>2026-08-10 07:30:07</t>
  </si>
  <si>
    <t>POST-12631</t>
  </si>
  <si>
    <t>2026-04-21 07:37:22</t>
  </si>
  <si>
    <t>POST-12632</t>
  </si>
  <si>
    <t>2026-05-26 00:10:16</t>
  </si>
  <si>
    <t>POST-12633</t>
  </si>
  <si>
    <t>2026-01-04 13:11:23</t>
  </si>
  <si>
    <t>POST-12634</t>
  </si>
  <si>
    <t>2026-05-06 19:17:43</t>
  </si>
  <si>
    <t>POST-12635</t>
  </si>
  <si>
    <t>2026-04-15 03:40:57</t>
  </si>
  <si>
    <t>POST-12636</t>
  </si>
  <si>
    <t>2026-04-15 23:24:16</t>
  </si>
  <si>
    <t>POST-12637</t>
  </si>
  <si>
    <t>2026-05-28 02:36:09</t>
  </si>
  <si>
    <t>POST-12638</t>
  </si>
  <si>
    <t>2026-02-09 18:43:21</t>
  </si>
  <si>
    <t>POST-12639</t>
  </si>
  <si>
    <t>2026-01-10 19:11:33</t>
  </si>
  <si>
    <t>POST-12640</t>
  </si>
  <si>
    <t>2026-01-28 07:27:40</t>
  </si>
  <si>
    <t>POST-12641</t>
  </si>
  <si>
    <t>2026-04-01 23:18:58</t>
  </si>
  <si>
    <t>POST-12642</t>
  </si>
  <si>
    <t>2026-07-18 06:59:40</t>
  </si>
  <si>
    <t>POST-12643</t>
  </si>
  <si>
    <t>2026-03-09 15:31:48</t>
  </si>
  <si>
    <t>POST-12644</t>
  </si>
  <si>
    <t>2026-02-18 08:57:28</t>
  </si>
  <si>
    <t>POST-12645</t>
  </si>
  <si>
    <t>2026-07-05 04:05:37</t>
  </si>
  <si>
    <t>POST-12646</t>
  </si>
  <si>
    <t>2026-01-21 00:16:12</t>
  </si>
  <si>
    <t>POST-12647</t>
  </si>
  <si>
    <t>2026-02-13 08:28:13</t>
  </si>
  <si>
    <t>POST-12648</t>
  </si>
  <si>
    <t>2026-02-19 10:41:06</t>
  </si>
  <si>
    <t>POST-12649</t>
  </si>
  <si>
    <t>2026-01-12 11:19:35</t>
  </si>
  <si>
    <t>POST-12650</t>
  </si>
  <si>
    <t>2026-01-11 05:08:18</t>
  </si>
  <si>
    <t>POST-12651</t>
  </si>
  <si>
    <t>2026-04-22 14:05:16</t>
  </si>
  <si>
    <t>POST-12652</t>
  </si>
  <si>
    <t>2026-02-28 08:49:57</t>
  </si>
  <si>
    <t>POST-12653</t>
  </si>
  <si>
    <t>2026-01-25 14:56:14</t>
  </si>
  <si>
    <t>POST-12654</t>
  </si>
  <si>
    <t>2026-05-17 15:02:59</t>
  </si>
  <si>
    <t>POST-12655</t>
  </si>
  <si>
    <t>2026-05-07 17:38:00</t>
  </si>
  <si>
    <t>POST-12656</t>
  </si>
  <si>
    <t>2026-04-25 03:40:14</t>
  </si>
  <si>
    <t>POST-12657</t>
  </si>
  <si>
    <t>2026-01-25 16:27:36</t>
  </si>
  <si>
    <t>POST-12658</t>
  </si>
  <si>
    <t>2026-04-17 11:55:43</t>
  </si>
  <si>
    <t>POST-12659</t>
  </si>
  <si>
    <t>2026-01-20 12:35:56</t>
  </si>
  <si>
    <t>POST-12660</t>
  </si>
  <si>
    <t>2026-02-17 14:52:28</t>
  </si>
  <si>
    <t>POST-12661</t>
  </si>
  <si>
    <t>2026-08-14 04:43:21</t>
  </si>
  <si>
    <t>POST-12662</t>
  </si>
  <si>
    <t>2026-06-22 15:30:47</t>
  </si>
  <si>
    <t>POST-12663</t>
  </si>
  <si>
    <t>2026-03-01 21:04:34</t>
  </si>
  <si>
    <t>POST-12664</t>
  </si>
  <si>
    <t>2026-02-16 19:53:54</t>
  </si>
  <si>
    <t>POST-12665</t>
  </si>
  <si>
    <t>2026-07-05 08:14:28</t>
  </si>
  <si>
    <t>POST-12666</t>
  </si>
  <si>
    <t>2026-07-31 01:00:32</t>
  </si>
  <si>
    <t>POST-12667</t>
  </si>
  <si>
    <t>2026-02-23 03:50:13</t>
  </si>
  <si>
    <t>POST-12668</t>
  </si>
  <si>
    <t>2026-03-23 23:19:33</t>
  </si>
  <si>
    <t>POST-12669</t>
  </si>
  <si>
    <t>2026-03-22 23:13:33</t>
  </si>
  <si>
    <t>POST-12670</t>
  </si>
  <si>
    <t>2026-01-21 22:24:25</t>
  </si>
  <si>
    <t>POST-12671</t>
  </si>
  <si>
    <t>2026-06-08 22:21:29</t>
  </si>
  <si>
    <t>POST-12672</t>
  </si>
  <si>
    <t>2026-03-22 03:45:37</t>
  </si>
  <si>
    <t>POST-12673</t>
  </si>
  <si>
    <t>2026-06-13 08:12:26</t>
  </si>
  <si>
    <t>POST-12674</t>
  </si>
  <si>
    <t>2026-07-11 03:13:56</t>
  </si>
  <si>
    <t>POST-12675</t>
  </si>
  <si>
    <t>2026-06-02 08:58:02</t>
  </si>
  <si>
    <t>POST-12676</t>
  </si>
  <si>
    <t>2026-02-20 22:44:04</t>
  </si>
  <si>
    <t>POST-12677</t>
  </si>
  <si>
    <t>2026-07-04 12:17:55</t>
  </si>
  <si>
    <t>POST-12678</t>
  </si>
  <si>
    <t>2026-03-10 05:01:59</t>
  </si>
  <si>
    <t>POST-12679</t>
  </si>
  <si>
    <t>2026-05-05 16:49:34</t>
  </si>
  <si>
    <t>POST-12680</t>
  </si>
  <si>
    <t>2026-03-25 02:02:47</t>
  </si>
  <si>
    <t>POST-12681</t>
  </si>
  <si>
    <t>2026-05-24 21:04:03</t>
  </si>
  <si>
    <t>POST-12682</t>
  </si>
  <si>
    <t>2026-01-02 15:28:34</t>
  </si>
  <si>
    <t>POST-12683</t>
  </si>
  <si>
    <t>2026-08-18 07:30:22</t>
  </si>
  <si>
    <t>POST-12684</t>
  </si>
  <si>
    <t>2026-07-18 05:51:25</t>
  </si>
  <si>
    <t>POST-12685</t>
  </si>
  <si>
    <t>2026-05-24 20:13:50</t>
  </si>
  <si>
    <t>POST-12686</t>
  </si>
  <si>
    <t>2026-07-27 16:36:31</t>
  </si>
  <si>
    <t>POST-12687</t>
  </si>
  <si>
    <t>2026-04-08 13:03:57</t>
  </si>
  <si>
    <t>POST-12688</t>
  </si>
  <si>
    <t>2026-04-01 15:54:24</t>
  </si>
  <si>
    <t>POST-12689</t>
  </si>
  <si>
    <t>2026-02-04 17:00:17</t>
  </si>
  <si>
    <t>POST-12690</t>
  </si>
  <si>
    <t>2026-07-07 02:47:54</t>
  </si>
  <si>
    <t>POST-12691</t>
  </si>
  <si>
    <t>2026-04-18 06:42:11</t>
  </si>
  <si>
    <t>POST-12692</t>
  </si>
  <si>
    <t>2026-06-13 21:23:52</t>
  </si>
  <si>
    <t>POST-12693</t>
  </si>
  <si>
    <t>2026-04-16 22:43:11</t>
  </si>
  <si>
    <t>POST-12694</t>
  </si>
  <si>
    <t>2026-07-31 18:13:21</t>
  </si>
  <si>
    <t>POST-12695</t>
  </si>
  <si>
    <t>2026-08-02 15:50:32</t>
  </si>
  <si>
    <t>POST-12696</t>
  </si>
  <si>
    <t>2026-08-15 12:42:16</t>
  </si>
  <si>
    <t>POST-12697</t>
  </si>
  <si>
    <t>2026-07-04 19:49:37</t>
  </si>
  <si>
    <t>POST-12698</t>
  </si>
  <si>
    <t>2026-08-17 12:35:01</t>
  </si>
  <si>
    <t>POST-12699</t>
  </si>
  <si>
    <t>2026-08-14 18:43:12</t>
  </si>
  <si>
    <t>POST-12700</t>
  </si>
  <si>
    <t>2026-04-05 06:23:45</t>
  </si>
  <si>
    <t>POST-12701</t>
  </si>
  <si>
    <t>2026-05-29 17:13:04</t>
  </si>
  <si>
    <t>POST-12702</t>
  </si>
  <si>
    <t>2026-08-06 02:21:30</t>
  </si>
  <si>
    <t>POST-12703</t>
  </si>
  <si>
    <t>2026-04-15 04:44:46</t>
  </si>
  <si>
    <t>POST-12704</t>
  </si>
  <si>
    <t>2026-05-10 22:22:33</t>
  </si>
  <si>
    <t>POST-12705</t>
  </si>
  <si>
    <t>2026-02-24 02:01:40</t>
  </si>
  <si>
    <t>POST-12706</t>
  </si>
  <si>
    <t>2026-03-03 04:06:36</t>
  </si>
  <si>
    <t>POST-12707</t>
  </si>
  <si>
    <t>2026-07-27 04:16:59</t>
  </si>
  <si>
    <t>POST-12708</t>
  </si>
  <si>
    <t>2026-06-30 06:01:34</t>
  </si>
  <si>
    <t>POST-12709</t>
  </si>
  <si>
    <t>2026-08-03 23:18:04</t>
  </si>
  <si>
    <t>POST-12710</t>
  </si>
  <si>
    <t>2026-08-06 17:24:53</t>
  </si>
  <si>
    <t>POST-12711</t>
  </si>
  <si>
    <t>2026-03-07 11:34:07</t>
  </si>
  <si>
    <t>POST-12712</t>
  </si>
  <si>
    <t>2026-07-08 19:49:25</t>
  </si>
  <si>
    <t>POST-12713</t>
  </si>
  <si>
    <t>2026-08-12 07:20:40</t>
  </si>
  <si>
    <t>POST-12714</t>
  </si>
  <si>
    <t>2026-03-15 01:45:54</t>
  </si>
  <si>
    <t>POST-12715</t>
  </si>
  <si>
    <t>2026-07-21 22:54:02</t>
  </si>
  <si>
    <t>POST-12716</t>
  </si>
  <si>
    <t>2026-02-24 00:08:21</t>
  </si>
  <si>
    <t>POST-12717</t>
  </si>
  <si>
    <t>2026-08-10 08:34:49</t>
  </si>
  <si>
    <t>POST-12718</t>
  </si>
  <si>
    <t>2026-01-16 20:20:43</t>
  </si>
  <si>
    <t>POST-12719</t>
  </si>
  <si>
    <t>2026-08-19 21:14:58</t>
  </si>
  <si>
    <t>POST-12720</t>
  </si>
  <si>
    <t>2026-04-21 16:26:47</t>
  </si>
  <si>
    <t>POST-12721</t>
  </si>
  <si>
    <t>2026-04-24 20:34:37</t>
  </si>
  <si>
    <t>POST-12722</t>
  </si>
  <si>
    <t>2026-06-18 23:47:53</t>
  </si>
  <si>
    <t>POST-12723</t>
  </si>
  <si>
    <t>2026-04-09 07:42:40</t>
  </si>
  <si>
    <t>POST-12724</t>
  </si>
  <si>
    <t>2026-03-31 05:43:40</t>
  </si>
  <si>
    <t>POST-12725</t>
  </si>
  <si>
    <t>2026-01-23 18:46:44</t>
  </si>
  <si>
    <t>POST-12726</t>
  </si>
  <si>
    <t>2026-04-15 15:20:27</t>
  </si>
  <si>
    <t>POST-12727</t>
  </si>
  <si>
    <t>2026-04-29 20:09:06</t>
  </si>
  <si>
    <t>POST-12728</t>
  </si>
  <si>
    <t>2026-01-08 03:46:40</t>
  </si>
  <si>
    <t>POST-12729</t>
  </si>
  <si>
    <t>2026-02-27 11:55:59</t>
  </si>
  <si>
    <t>POST-12730</t>
  </si>
  <si>
    <t>2026-08-11 07:16:16</t>
  </si>
  <si>
    <t>POST-12731</t>
  </si>
  <si>
    <t>2026-01-19 22:06:15</t>
  </si>
  <si>
    <t>POST-12732</t>
  </si>
  <si>
    <t>2026-07-02 00:02:31</t>
  </si>
  <si>
    <t>POST-12733</t>
  </si>
  <si>
    <t>2026-03-16 01:11:40</t>
  </si>
  <si>
    <t>POST-12734</t>
  </si>
  <si>
    <t>2026-04-20 06:53:22</t>
  </si>
  <si>
    <t>POST-12735</t>
  </si>
  <si>
    <t>2026-08-16 10:40:10</t>
  </si>
  <si>
    <t>POST-12736</t>
  </si>
  <si>
    <t>2026-05-07 06:06:58</t>
  </si>
  <si>
    <t>POST-12737</t>
  </si>
  <si>
    <t>2026-05-15 08:42:12</t>
  </si>
  <si>
    <t>POST-12738</t>
  </si>
  <si>
    <t>2026-05-25 15:29:26</t>
  </si>
  <si>
    <t>POST-12739</t>
  </si>
  <si>
    <t>2026-01-05 01:00:23</t>
  </si>
  <si>
    <t>POST-12740</t>
  </si>
  <si>
    <t>2026-04-13 00:47:30</t>
  </si>
  <si>
    <t>POST-12741</t>
  </si>
  <si>
    <t>2026-04-08 04:25:10</t>
  </si>
  <si>
    <t>POST-12742</t>
  </si>
  <si>
    <t>2026-06-19 13:53:52</t>
  </si>
  <si>
    <t>POST-12743</t>
  </si>
  <si>
    <t>2026-06-14 01:31:41</t>
  </si>
  <si>
    <t>POST-12744</t>
  </si>
  <si>
    <t>2026-02-09 00:41:14</t>
  </si>
  <si>
    <t>POST-12745</t>
  </si>
  <si>
    <t>2026-06-12 12:37:26</t>
  </si>
  <si>
    <t>POST-12746</t>
  </si>
  <si>
    <t>2026-07-20 00:39:43</t>
  </si>
  <si>
    <t>POST-12747</t>
  </si>
  <si>
    <t>2026-03-12 02:16:02</t>
  </si>
  <si>
    <t>POST-12748</t>
  </si>
  <si>
    <t>2026-05-24 04:42:01</t>
  </si>
  <si>
    <t>POST-12749</t>
  </si>
  <si>
    <t>2026-03-26 19:52:57</t>
  </si>
  <si>
    <t>POST-12750</t>
  </si>
  <si>
    <t>2026-08-08 12:17:45</t>
  </si>
  <si>
    <t>POST-12751</t>
  </si>
  <si>
    <t>2026-06-27 16:49:27</t>
  </si>
  <si>
    <t>POST-12752</t>
  </si>
  <si>
    <t>2026-02-24 18:28:08</t>
  </si>
  <si>
    <t>POST-12753</t>
  </si>
  <si>
    <t>2026-05-10 08:52:16</t>
  </si>
  <si>
    <t>POST-12754</t>
  </si>
  <si>
    <t>2026-07-12 13:59:32</t>
  </si>
  <si>
    <t>POST-12755</t>
  </si>
  <si>
    <t>2026-07-15 20:17:32</t>
  </si>
  <si>
    <t>POST-12756</t>
  </si>
  <si>
    <t>2026-03-05 15:18:28</t>
  </si>
  <si>
    <t>POST-12757</t>
  </si>
  <si>
    <t>2026-06-21 07:24:13</t>
  </si>
  <si>
    <t>POST-12758</t>
  </si>
  <si>
    <t>2026-06-07 19:20:36</t>
  </si>
  <si>
    <t>POST-12759</t>
  </si>
  <si>
    <t>2026-07-04 10:05:33</t>
  </si>
  <si>
    <t>POST-12760</t>
  </si>
  <si>
    <t>2026-02-09 22:06:16</t>
  </si>
  <si>
    <t>POST-12761</t>
  </si>
  <si>
    <t>2026-04-12 04:47:05</t>
  </si>
  <si>
    <t>POST-12762</t>
  </si>
  <si>
    <t>2026-06-27 22:53:36</t>
  </si>
  <si>
    <t>POST-12763</t>
  </si>
  <si>
    <t>2026-03-19 18:39:23</t>
  </si>
  <si>
    <t>POST-12764</t>
  </si>
  <si>
    <t>2026-01-29 00:44:44</t>
  </si>
  <si>
    <t>POST-12765</t>
  </si>
  <si>
    <t>2026-07-11 13:18:22</t>
  </si>
  <si>
    <t>POST-12766</t>
  </si>
  <si>
    <t>2026-02-21 12:31:44</t>
  </si>
  <si>
    <t>POST-12767</t>
  </si>
  <si>
    <t>2026-08-01 17:17:13</t>
  </si>
  <si>
    <t>POST-12768</t>
  </si>
  <si>
    <t>2026-06-02 01:42:31</t>
  </si>
  <si>
    <t>POST-12769</t>
  </si>
  <si>
    <t>2026-02-21 05:24:59</t>
  </si>
  <si>
    <t>POST-12770</t>
  </si>
  <si>
    <t>2026-06-17 23:09:56</t>
  </si>
  <si>
    <t>POST-12771</t>
  </si>
  <si>
    <t>2026-06-18 00:58:38</t>
  </si>
  <si>
    <t>POST-12772</t>
  </si>
  <si>
    <t>2026-04-02 20:15:32</t>
  </si>
  <si>
    <t>POST-12773</t>
  </si>
  <si>
    <t>2026-07-03 19:31:45</t>
  </si>
  <si>
    <t>POST-12774</t>
  </si>
  <si>
    <t>2026-01-07 11:29:51</t>
  </si>
  <si>
    <t>POST-12775</t>
  </si>
  <si>
    <t>2026-08-12 02:31:55</t>
  </si>
  <si>
    <t>POST-12776</t>
  </si>
  <si>
    <t>2026-08-03 11:47:54</t>
  </si>
  <si>
    <t>POST-12777</t>
  </si>
  <si>
    <t>2026-02-04 12:13:10</t>
  </si>
  <si>
    <t>POST-12778</t>
  </si>
  <si>
    <t>2026-01-06 12:14:44</t>
  </si>
  <si>
    <t>POST-12779</t>
  </si>
  <si>
    <t>2026-05-26 11:45:59</t>
  </si>
  <si>
    <t>POST-12780</t>
  </si>
  <si>
    <t>2026-05-05 20:18:03</t>
  </si>
  <si>
    <t>POST-12781</t>
  </si>
  <si>
    <t>2026-08-18 15:24:03</t>
  </si>
  <si>
    <t>POST-12782</t>
  </si>
  <si>
    <t>2026-03-25 03:42:34</t>
  </si>
  <si>
    <t>POST-12783</t>
  </si>
  <si>
    <t>2026-02-17 13:33:54</t>
  </si>
  <si>
    <t>POST-12784</t>
  </si>
  <si>
    <t>2026-08-10 06:18:58</t>
  </si>
  <si>
    <t>POST-12785</t>
  </si>
  <si>
    <t>2026-06-16 02:14:36</t>
  </si>
  <si>
    <t>POST-12786</t>
  </si>
  <si>
    <t>2026-07-30 07:56:59</t>
  </si>
  <si>
    <t>POST-12787</t>
  </si>
  <si>
    <t>2026-07-10 16:21:35</t>
  </si>
  <si>
    <t>POST-12788</t>
  </si>
  <si>
    <t>2026-01-03 01:26:55</t>
  </si>
  <si>
    <t>POST-12789</t>
  </si>
  <si>
    <t>2026-04-05 04:24:55</t>
  </si>
  <si>
    <t>POST-12790</t>
  </si>
  <si>
    <t>2026-04-06 04:42:45</t>
  </si>
  <si>
    <t>POST-12791</t>
  </si>
  <si>
    <t>2026-08-19 04:32:01</t>
  </si>
  <si>
    <t>POST-12792</t>
  </si>
  <si>
    <t>2026-07-03 12:01:27</t>
  </si>
  <si>
    <t>POST-12793</t>
  </si>
  <si>
    <t>2026-02-23 23:04:22</t>
  </si>
  <si>
    <t>POST-12794</t>
  </si>
  <si>
    <t>2026-01-21 07:11:10</t>
  </si>
  <si>
    <t>POST-12795</t>
  </si>
  <si>
    <t>2026-08-11 15:02:29</t>
  </si>
  <si>
    <t>POST-12796</t>
  </si>
  <si>
    <t>2026-03-18 12:06:07</t>
  </si>
  <si>
    <t>POST-12797</t>
  </si>
  <si>
    <t>2026-06-26 10:46:53</t>
  </si>
  <si>
    <t>POST-12798</t>
  </si>
  <si>
    <t>2026-03-13 05:13:04</t>
  </si>
  <si>
    <t>POST-12799</t>
  </si>
  <si>
    <t>2026-01-30 16:07:16</t>
  </si>
  <si>
    <t>POST-12800</t>
  </si>
  <si>
    <t>2026-05-19 20:07:06</t>
  </si>
  <si>
    <t>POST-12801</t>
  </si>
  <si>
    <t>2026-08-08 21:20:00</t>
  </si>
  <si>
    <t>POST-12802</t>
  </si>
  <si>
    <t>2026-06-15 17:20:52</t>
  </si>
  <si>
    <t>POST-12803</t>
  </si>
  <si>
    <t>2026-05-31 07:41:39</t>
  </si>
  <si>
    <t>POST-12804</t>
  </si>
  <si>
    <t>2026-06-09 22:45:07</t>
  </si>
  <si>
    <t>POST-12805</t>
  </si>
  <si>
    <t>2026-03-10 04:12:19</t>
  </si>
  <si>
    <t>POST-12806</t>
  </si>
  <si>
    <t>2026-08-13 10:02:21</t>
  </si>
  <si>
    <t>POST-12807</t>
  </si>
  <si>
    <t>2026-05-10 10:00:31</t>
  </si>
  <si>
    <t>POST-12808</t>
  </si>
  <si>
    <t>2026-04-01 22:36:11</t>
  </si>
  <si>
    <t>POST-12809</t>
  </si>
  <si>
    <t>2026-07-07 11:43:08</t>
  </si>
  <si>
    <t>POST-12810</t>
  </si>
  <si>
    <t>2026-06-19 04:42:30</t>
  </si>
  <si>
    <t>POST-12811</t>
  </si>
  <si>
    <t>2026-06-14 23:27:00</t>
  </si>
  <si>
    <t>POST-12812</t>
  </si>
  <si>
    <t>2026-06-02 00:53:02</t>
  </si>
  <si>
    <t>POST-12813</t>
  </si>
  <si>
    <t>2026-02-17 03:40:48</t>
  </si>
  <si>
    <t>POST-12814</t>
  </si>
  <si>
    <t>2026-03-10 03:00:15</t>
  </si>
  <si>
    <t>POST-12815</t>
  </si>
  <si>
    <t>2026-01-11 16:12:52</t>
  </si>
  <si>
    <t>POST-12816</t>
  </si>
  <si>
    <t>2026-03-06 01:25:02</t>
  </si>
  <si>
    <t>POST-12817</t>
  </si>
  <si>
    <t>2026-08-16 18:15:16</t>
  </si>
  <si>
    <t>POST-12818</t>
  </si>
  <si>
    <t>2026-01-30 08:15:40</t>
  </si>
  <si>
    <t>POST-12819</t>
  </si>
  <si>
    <t>2026-07-23 19:07:56</t>
  </si>
  <si>
    <t>POST-12820</t>
  </si>
  <si>
    <t>2026-04-14 06:04:27</t>
  </si>
  <si>
    <t>POST-12821</t>
  </si>
  <si>
    <t>2026-01-06 07:54:11</t>
  </si>
  <si>
    <t>POST-12822</t>
  </si>
  <si>
    <t>2026-06-10 02:57:13</t>
  </si>
  <si>
    <t>POST-12823</t>
  </si>
  <si>
    <t>2026-03-07 15:46:45</t>
  </si>
  <si>
    <t>POST-12824</t>
  </si>
  <si>
    <t>2026-01-28 00:45:13</t>
  </si>
  <si>
    <t>POST-12825</t>
  </si>
  <si>
    <t>2026-06-18 10:20:04</t>
  </si>
  <si>
    <t>POST-12826</t>
  </si>
  <si>
    <t>2026-05-10 05:10:45</t>
  </si>
  <si>
    <t>POST-12827</t>
  </si>
  <si>
    <t>2026-06-10 18:01:44</t>
  </si>
  <si>
    <t>POST-12828</t>
  </si>
  <si>
    <t>2026-06-06 00:25:02</t>
  </si>
  <si>
    <t>POST-12829</t>
  </si>
  <si>
    <t>2026-08-18 03:51:06</t>
  </si>
  <si>
    <t>POST-12830</t>
  </si>
  <si>
    <t>2026-03-12 18:04:11</t>
  </si>
  <si>
    <t>POST-12831</t>
  </si>
  <si>
    <t>2026-07-01 17:09:56</t>
  </si>
  <si>
    <t>POST-12832</t>
  </si>
  <si>
    <t>2026-04-25 18:21:00</t>
  </si>
  <si>
    <t>POST-12833</t>
  </si>
  <si>
    <t>2026-01-18 16:11:16</t>
  </si>
  <si>
    <t>POST-12834</t>
  </si>
  <si>
    <t>2026-07-24 06:10:44</t>
  </si>
  <si>
    <t>POST-12835</t>
  </si>
  <si>
    <t>2026-04-11 08:05:31</t>
  </si>
  <si>
    <t>POST-12836</t>
  </si>
  <si>
    <t>2026-06-04 04:58:27</t>
  </si>
  <si>
    <t>POST-12837</t>
  </si>
  <si>
    <t>2026-03-30 11:56:12</t>
  </si>
  <si>
    <t>POST-12838</t>
  </si>
  <si>
    <t>2026-06-20 20:30:23</t>
  </si>
  <si>
    <t>POST-12839</t>
  </si>
  <si>
    <t>2026-06-04 22:23:39</t>
  </si>
  <si>
    <t>POST-12840</t>
  </si>
  <si>
    <t>2026-04-03 00:56:45</t>
  </si>
  <si>
    <t>POST-12841</t>
  </si>
  <si>
    <t>2026-03-27 07:09:55</t>
  </si>
  <si>
    <t>POST-12842</t>
  </si>
  <si>
    <t>2026-08-20 06:15:35</t>
  </si>
  <si>
    <t>POST-12843</t>
  </si>
  <si>
    <t>2026-08-17 04:39:45</t>
  </si>
  <si>
    <t>POST-12844</t>
  </si>
  <si>
    <t>2026-05-21 22:12:30</t>
  </si>
  <si>
    <t>POST-12845</t>
  </si>
  <si>
    <t>2026-02-20 10:18:01</t>
  </si>
  <si>
    <t>POST-12846</t>
  </si>
  <si>
    <t>2026-06-15 07:27:30</t>
  </si>
  <si>
    <t>POST-12847</t>
  </si>
  <si>
    <t>2026-04-19 22:02:43</t>
  </si>
  <si>
    <t>POST-12848</t>
  </si>
  <si>
    <t>2026-02-09 03:32:03</t>
  </si>
  <si>
    <t>POST-12849</t>
  </si>
  <si>
    <t>2026-03-30 18:33:11</t>
  </si>
  <si>
    <t>POST-12850</t>
  </si>
  <si>
    <t>2026-02-20 11:13:06</t>
  </si>
  <si>
    <t>POST-12851</t>
  </si>
  <si>
    <t>2026-07-09 07:46:11</t>
  </si>
  <si>
    <t>POST-12852</t>
  </si>
  <si>
    <t>2026-08-07 22:30:02</t>
  </si>
  <si>
    <t>POST-12853</t>
  </si>
  <si>
    <t>2026-04-05 20:51:58</t>
  </si>
  <si>
    <t>POST-12854</t>
  </si>
  <si>
    <t>2026-06-19 20:59:12</t>
  </si>
  <si>
    <t>POST-12855</t>
  </si>
  <si>
    <t>2026-07-13 10:05:39</t>
  </si>
  <si>
    <t>POST-12856</t>
  </si>
  <si>
    <t>2026-05-03 12:55:07</t>
  </si>
  <si>
    <t>POST-12857</t>
  </si>
  <si>
    <t>2026-07-20 05:49:43</t>
  </si>
  <si>
    <t>POST-12858</t>
  </si>
  <si>
    <t>2026-08-07 08:00:55</t>
  </si>
  <si>
    <t>POST-12859</t>
  </si>
  <si>
    <t>2026-02-20 13:06:47</t>
  </si>
  <si>
    <t>POST-12860</t>
  </si>
  <si>
    <t>2026-08-05 03:51:42</t>
  </si>
  <si>
    <t>POST-12861</t>
  </si>
  <si>
    <t>2026-06-12 14:50:25</t>
  </si>
  <si>
    <t>POST-12862</t>
  </si>
  <si>
    <t>2026-02-24 03:19:23</t>
  </si>
  <si>
    <t>POST-12863</t>
  </si>
  <si>
    <t>2026-04-02 15:11:50</t>
  </si>
  <si>
    <t>POST-12864</t>
  </si>
  <si>
    <t>2026-06-02 23:02:16</t>
  </si>
  <si>
    <t>POST-12865</t>
  </si>
  <si>
    <t>2026-04-27 05:50:18</t>
  </si>
  <si>
    <t>POST-12866</t>
  </si>
  <si>
    <t>2026-01-08 03:55:43</t>
  </si>
  <si>
    <t>POST-12867</t>
  </si>
  <si>
    <t>2026-07-23 00:43:42</t>
  </si>
  <si>
    <t>POST-12868</t>
  </si>
  <si>
    <t>2026-02-24 22:30:13</t>
  </si>
  <si>
    <t>POST-12869</t>
  </si>
  <si>
    <t>2026-07-25 14:16:01</t>
  </si>
  <si>
    <t>POST-12870</t>
  </si>
  <si>
    <t>2026-01-01 09:17:32</t>
  </si>
  <si>
    <t>POST-12871</t>
  </si>
  <si>
    <t>2026-03-25 13:20:20</t>
  </si>
  <si>
    <t>POST-12872</t>
  </si>
  <si>
    <t>2026-04-25 09:04:58</t>
  </si>
  <si>
    <t>POST-12873</t>
  </si>
  <si>
    <t>2026-07-13 06:02:38</t>
  </si>
  <si>
    <t>POST-12874</t>
  </si>
  <si>
    <t>2026-01-20 10:10:45</t>
  </si>
  <si>
    <t>POST-12875</t>
  </si>
  <si>
    <t>2026-06-15 14:24:32</t>
  </si>
  <si>
    <t>POST-12876</t>
  </si>
  <si>
    <t>2026-06-23 07:36:49</t>
  </si>
  <si>
    <t>POST-12877</t>
  </si>
  <si>
    <t>2026-05-06 13:05:01</t>
  </si>
  <si>
    <t>POST-12878</t>
  </si>
  <si>
    <t>2026-05-28 00:47:53</t>
  </si>
  <si>
    <t>POST-12879</t>
  </si>
  <si>
    <t>2026-02-20 12:35:19</t>
  </si>
  <si>
    <t>POST-12880</t>
  </si>
  <si>
    <t>2026-07-18 11:41:41</t>
  </si>
  <si>
    <t>POST-12881</t>
  </si>
  <si>
    <t>2026-04-06 15:03:13</t>
  </si>
  <si>
    <t>POST-12882</t>
  </si>
  <si>
    <t>2026-06-24 05:01:54</t>
  </si>
  <si>
    <t>POST-12883</t>
  </si>
  <si>
    <t>2026-05-03 03:37:47</t>
  </si>
  <si>
    <t>POST-12884</t>
  </si>
  <si>
    <t>2026-06-09 03:24:28</t>
  </si>
  <si>
    <t>POST-12885</t>
  </si>
  <si>
    <t>2026-07-19 19:40:11</t>
  </si>
  <si>
    <t>POST-12886</t>
  </si>
  <si>
    <t>2026-02-27 15:41:45</t>
  </si>
  <si>
    <t>POST-12887</t>
  </si>
  <si>
    <t>2026-06-23 17:58:56</t>
  </si>
  <si>
    <t>POST-12888</t>
  </si>
  <si>
    <t>2026-04-27 12:15:37</t>
  </si>
  <si>
    <t>POST-12889</t>
  </si>
  <si>
    <t>2026-07-25 00:34:46</t>
  </si>
  <si>
    <t>POST-12890</t>
  </si>
  <si>
    <t>2026-01-17 10:56:52</t>
  </si>
  <si>
    <t>POST-12891</t>
  </si>
  <si>
    <t>2026-07-31 14:25:24</t>
  </si>
  <si>
    <t>POST-12892</t>
  </si>
  <si>
    <t>2026-04-24 04:14:18</t>
  </si>
  <si>
    <t>POST-12893</t>
  </si>
  <si>
    <t>2026-05-14 00:06:20</t>
  </si>
  <si>
    <t>POST-12894</t>
  </si>
  <si>
    <t>2026-07-05 22:38:50</t>
  </si>
  <si>
    <t>POST-12895</t>
  </si>
  <si>
    <t>2026-04-01 02:11:06</t>
  </si>
  <si>
    <t>POST-12896</t>
  </si>
  <si>
    <t>2026-03-16 04:34:22</t>
  </si>
  <si>
    <t>POST-12897</t>
  </si>
  <si>
    <t>2026-01-14 16:04:00</t>
  </si>
  <si>
    <t>POST-12898</t>
  </si>
  <si>
    <t>2026-06-09 21:28:14</t>
  </si>
  <si>
    <t>POST-12899</t>
  </si>
  <si>
    <t>2026-07-07 08:27:46</t>
  </si>
  <si>
    <t>POST-12900</t>
  </si>
  <si>
    <t>2026-05-29 16:04:06</t>
  </si>
  <si>
    <t>POST-12901</t>
  </si>
  <si>
    <t>2026-02-01 06:53:29</t>
  </si>
  <si>
    <t>POST-12902</t>
  </si>
  <si>
    <t>2026-08-19 13:11:02</t>
  </si>
  <si>
    <t>POST-12903</t>
  </si>
  <si>
    <t>2026-05-26 14:46:25</t>
  </si>
  <si>
    <t>POST-12904</t>
  </si>
  <si>
    <t>2026-01-31 11:04:51</t>
  </si>
  <si>
    <t>POST-12905</t>
  </si>
  <si>
    <t>2026-07-24 00:51:01</t>
  </si>
  <si>
    <t>POST-12906</t>
  </si>
  <si>
    <t>2026-07-06 07:23:20</t>
  </si>
  <si>
    <t>POST-12907</t>
  </si>
  <si>
    <t>2026-07-14 09:19:30</t>
  </si>
  <si>
    <t>POST-12908</t>
  </si>
  <si>
    <t>2026-05-06 22:55:02</t>
  </si>
  <si>
    <t>POST-12909</t>
  </si>
  <si>
    <t>2026-03-12 20:42:17</t>
  </si>
  <si>
    <t>POST-12910</t>
  </si>
  <si>
    <t>2026-06-22 20:31:38</t>
  </si>
  <si>
    <t>POST-12911</t>
  </si>
  <si>
    <t>2026-07-15 12:08:56</t>
  </si>
  <si>
    <t>POST-12912</t>
  </si>
  <si>
    <t>2026-02-11 05:16:55</t>
  </si>
  <si>
    <t>POST-12913</t>
  </si>
  <si>
    <t>2026-02-25 20:54:40</t>
  </si>
  <si>
    <t>POST-12914</t>
  </si>
  <si>
    <t>2026-02-17 12:31:23</t>
  </si>
  <si>
    <t>POST-12915</t>
  </si>
  <si>
    <t>2026-02-25 23:18:28</t>
  </si>
  <si>
    <t>POST-12916</t>
  </si>
  <si>
    <t>2026-07-09 12:39:15</t>
  </si>
  <si>
    <t>POST-12917</t>
  </si>
  <si>
    <t>2026-06-20 21:58:04</t>
  </si>
  <si>
    <t>POST-12918</t>
  </si>
  <si>
    <t>2026-07-19 17:21:53</t>
  </si>
  <si>
    <t>POST-12919</t>
  </si>
  <si>
    <t>2026-03-31 15:09:20</t>
  </si>
  <si>
    <t>POST-12920</t>
  </si>
  <si>
    <t>2026-04-19 08:34:25</t>
  </si>
  <si>
    <t>POST-12921</t>
  </si>
  <si>
    <t>2026-04-14 20:47:19</t>
  </si>
  <si>
    <t>POST-12922</t>
  </si>
  <si>
    <t>2026-04-13 18:59:23</t>
  </si>
  <si>
    <t>POST-12923</t>
  </si>
  <si>
    <t>2026-04-02 03:39:48</t>
  </si>
  <si>
    <t>POST-12924</t>
  </si>
  <si>
    <t>2026-06-25 11:54:18</t>
  </si>
  <si>
    <t>POST-12925</t>
  </si>
  <si>
    <t>2026-07-15 16:45:57</t>
  </si>
  <si>
    <t>POST-12926</t>
  </si>
  <si>
    <t>2026-07-08 05:36:01</t>
  </si>
  <si>
    <t>POST-12927</t>
  </si>
  <si>
    <t>2026-02-13 23:06:01</t>
  </si>
  <si>
    <t>POST-12928</t>
  </si>
  <si>
    <t>2026-06-05 05:40:04</t>
  </si>
  <si>
    <t>POST-12929</t>
  </si>
  <si>
    <t>2026-03-24 17:06:31</t>
  </si>
  <si>
    <t>POST-12930</t>
  </si>
  <si>
    <t>2026-02-15 00:59:19</t>
  </si>
  <si>
    <t>POST-12931</t>
  </si>
  <si>
    <t>2026-06-04 14:06:58</t>
  </si>
  <si>
    <t>POST-12932</t>
  </si>
  <si>
    <t>2026-04-20 08:20:17</t>
  </si>
  <si>
    <t>POST-12933</t>
  </si>
  <si>
    <t>2026-04-06 15:51:04</t>
  </si>
  <si>
    <t>POST-12934</t>
  </si>
  <si>
    <t>2026-02-14 03:12:04</t>
  </si>
  <si>
    <t>POST-12935</t>
  </si>
  <si>
    <t>2026-07-19 11:38:52</t>
  </si>
  <si>
    <t>POST-12936</t>
  </si>
  <si>
    <t>2026-03-11 09:14:38</t>
  </si>
  <si>
    <t>POST-12937</t>
  </si>
  <si>
    <t>2026-06-07 19:25:12</t>
  </si>
  <si>
    <t>POST-12938</t>
  </si>
  <si>
    <t>2026-07-30 17:12:59</t>
  </si>
  <si>
    <t>POST-12939</t>
  </si>
  <si>
    <t>2026-05-28 12:09:21</t>
  </si>
  <si>
    <t>POST-12940</t>
  </si>
  <si>
    <t>2026-03-30 03:48:21</t>
  </si>
  <si>
    <t>POST-12941</t>
  </si>
  <si>
    <t>2026-01-17 03:36:46</t>
  </si>
  <si>
    <t>POST-12942</t>
  </si>
  <si>
    <t>2026-06-30 11:16:10</t>
  </si>
  <si>
    <t>POST-12943</t>
  </si>
  <si>
    <t>2026-01-09 17:01:49</t>
  </si>
  <si>
    <t>POST-12944</t>
  </si>
  <si>
    <t>2026-04-27 05:56:28</t>
  </si>
  <si>
    <t>POST-12945</t>
  </si>
  <si>
    <t>2026-05-05 13:52:51</t>
  </si>
  <si>
    <t>POST-12946</t>
  </si>
  <si>
    <t>2026-01-24 06:13:39</t>
  </si>
  <si>
    <t>POST-12947</t>
  </si>
  <si>
    <t>2026-04-05 18:08:15</t>
  </si>
  <si>
    <t>POST-12948</t>
  </si>
  <si>
    <t>2026-03-01 14:13:52</t>
  </si>
  <si>
    <t>POST-12949</t>
  </si>
  <si>
    <t>2026-01-11 11:27:50</t>
  </si>
  <si>
    <t>POST-12950</t>
  </si>
  <si>
    <t>2026-05-06 05:30:47</t>
  </si>
  <si>
    <t>POST-12951</t>
  </si>
  <si>
    <t>2026-08-07 01:10:05</t>
  </si>
  <si>
    <t>POST-12952</t>
  </si>
  <si>
    <t>2026-01-08 01:51:59</t>
  </si>
  <si>
    <t>POST-12953</t>
  </si>
  <si>
    <t>2026-04-02 21:19:17</t>
  </si>
  <si>
    <t>POST-12954</t>
  </si>
  <si>
    <t>2026-02-10 15:32:44</t>
  </si>
  <si>
    <t>POST-12955</t>
  </si>
  <si>
    <t>2026-07-16 23:08:33</t>
  </si>
  <si>
    <t>POST-12956</t>
  </si>
  <si>
    <t>2026-03-23 14:48:18</t>
  </si>
  <si>
    <t>POST-12957</t>
  </si>
  <si>
    <t>2026-01-07 10:00:43</t>
  </si>
  <si>
    <t>POST-12958</t>
  </si>
  <si>
    <t>2026-08-08 22:00:12</t>
  </si>
  <si>
    <t>POST-12959</t>
  </si>
  <si>
    <t>2026-02-23 13:00:44</t>
  </si>
  <si>
    <t>POST-12960</t>
  </si>
  <si>
    <t>2026-04-25 18:22:56</t>
  </si>
  <si>
    <t>POST-12961</t>
  </si>
  <si>
    <t>2026-03-31 11:29:24</t>
  </si>
  <si>
    <t>POST-12962</t>
  </si>
  <si>
    <t>2026-06-09 19:25:59</t>
  </si>
  <si>
    <t>POST-12963</t>
  </si>
  <si>
    <t>2026-05-08 19:58:13</t>
  </si>
  <si>
    <t>POST-12964</t>
  </si>
  <si>
    <t>2026-05-08 21:26:37</t>
  </si>
  <si>
    <t>POST-12965</t>
  </si>
  <si>
    <t>2026-03-13 18:04:06</t>
  </si>
  <si>
    <t>POST-12966</t>
  </si>
  <si>
    <t>2026-04-02 09:54:46</t>
  </si>
  <si>
    <t>POST-12967</t>
  </si>
  <si>
    <t>2026-01-27 21:09:48</t>
  </si>
  <si>
    <t>POST-12968</t>
  </si>
  <si>
    <t>2026-07-04 17:16:44</t>
  </si>
  <si>
    <t>POST-12969</t>
  </si>
  <si>
    <t>2026-06-02 18:17:23</t>
  </si>
  <si>
    <t>POST-12970</t>
  </si>
  <si>
    <t>2026-01-18 21:37:22</t>
  </si>
  <si>
    <t>POST-12971</t>
  </si>
  <si>
    <t>2026-03-20 02:29:15</t>
  </si>
  <si>
    <t>POST-12972</t>
  </si>
  <si>
    <t>2026-07-12 18:38:48</t>
  </si>
  <si>
    <t>POST-12973</t>
  </si>
  <si>
    <t>2026-07-08 16:10:05</t>
  </si>
  <si>
    <t>POST-12974</t>
  </si>
  <si>
    <t>2026-05-21 22:11:20</t>
  </si>
  <si>
    <t>POST-12975</t>
  </si>
  <si>
    <t>2026-08-07 22:53:50</t>
  </si>
  <si>
    <t>POST-12976</t>
  </si>
  <si>
    <t>2026-08-10 01:13:24</t>
  </si>
  <si>
    <t>POST-12977</t>
  </si>
  <si>
    <t>2026-01-29 19:24:36</t>
  </si>
  <si>
    <t>POST-12978</t>
  </si>
  <si>
    <t>2026-06-09 16:23:37</t>
  </si>
  <si>
    <t>POST-12979</t>
  </si>
  <si>
    <t>2026-05-27 00:44:46</t>
  </si>
  <si>
    <t>POST-12980</t>
  </si>
  <si>
    <t>2026-06-24 10:07:46</t>
  </si>
  <si>
    <t>POST-12981</t>
  </si>
  <si>
    <t>2026-01-26 12:31:32</t>
  </si>
  <si>
    <t>POST-12982</t>
  </si>
  <si>
    <t>2026-01-14 00:09:11</t>
  </si>
  <si>
    <t>POST-12983</t>
  </si>
  <si>
    <t>2026-05-02 11:51:48</t>
  </si>
  <si>
    <t>POST-12984</t>
  </si>
  <si>
    <t>2026-05-20 04:53:14</t>
  </si>
  <si>
    <t>POST-12985</t>
  </si>
  <si>
    <t>2026-06-13 10:31:14</t>
  </si>
  <si>
    <t>POST-12986</t>
  </si>
  <si>
    <t>2026-05-22 19:18:25</t>
  </si>
  <si>
    <t>POST-12987</t>
  </si>
  <si>
    <t>2026-04-21 17:46:40</t>
  </si>
  <si>
    <t>POST-12988</t>
  </si>
  <si>
    <t>2026-05-20 06:56:52</t>
  </si>
  <si>
    <t>POST-12989</t>
  </si>
  <si>
    <t>2026-05-30 16:47:38</t>
  </si>
  <si>
    <t>POST-12990</t>
  </si>
  <si>
    <t>2026-04-03 21:14:36</t>
  </si>
  <si>
    <t>POST-12991</t>
  </si>
  <si>
    <t>2026-02-10 18:08:45</t>
  </si>
  <si>
    <t>POST-12992</t>
  </si>
  <si>
    <t>2026-02-09 10:15:38</t>
  </si>
  <si>
    <t>POST-12993</t>
  </si>
  <si>
    <t>2026-03-06 12:10:16</t>
  </si>
  <si>
    <t>POST-12994</t>
  </si>
  <si>
    <t>2026-02-07 09:28:19</t>
  </si>
  <si>
    <t>POST-12995</t>
  </si>
  <si>
    <t>2026-05-06 22:13:14</t>
  </si>
  <si>
    <t>POST-12996</t>
  </si>
  <si>
    <t>2026-02-10 10:33:38</t>
  </si>
  <si>
    <t>POST-12997</t>
  </si>
  <si>
    <t>2026-06-05 03:17:11</t>
  </si>
  <si>
    <t>POST-12998</t>
  </si>
  <si>
    <t>2026-03-28 14:51:19</t>
  </si>
  <si>
    <t>POST-12999</t>
  </si>
  <si>
    <t>2026-03-12 14:52:40</t>
  </si>
  <si>
    <t>POST-13000</t>
  </si>
  <si>
    <t>2026-05-08 13:19:16</t>
  </si>
  <si>
    <t>Total Impressions</t>
  </si>
  <si>
    <t>Row Labels</t>
  </si>
  <si>
    <t>Grand Total</t>
  </si>
  <si>
    <t>Sum of Engagement Rate (%)</t>
  </si>
  <si>
    <t>Count of Sentiment</t>
  </si>
  <si>
    <r>
      <t>Dataset Scope:</t>
    </r>
    <r>
      <rPr>
        <sz val="11"/>
        <color theme="1" tint="0.14999847407452621"/>
        <rFont val="Arial Unicode MS"/>
        <family val="2"/>
      </rPr>
      <t xml:space="preserve"> Tracks </t>
    </r>
    <r>
      <rPr>
        <b/>
        <sz val="11"/>
        <color theme="1" tint="0.14999847407452621"/>
        <rFont val="Arial Unicode MS"/>
        <family val="2"/>
      </rPr>
      <t>511 total posts</t>
    </r>
    <r>
      <rPr>
        <sz val="11"/>
        <color theme="1" tint="0.14999847407452621"/>
        <rFont val="Arial Unicode MS"/>
        <family val="2"/>
      </rPr>
      <t xml:space="preserve"> across major platforms, generating over </t>
    </r>
    <r>
      <rPr>
        <b/>
        <sz val="11"/>
        <color theme="1" tint="0.14999847407452621"/>
        <rFont val="Arial Unicode MS"/>
        <family val="2"/>
      </rPr>
      <t>105M impressions</t>
    </r>
    <r>
      <rPr>
        <sz val="11"/>
        <color theme="1" tint="0.14999847407452621"/>
        <rFont val="Arial Unicode MS"/>
        <family val="2"/>
      </rPr>
      <t xml:space="preserve"> and </t>
    </r>
    <r>
      <rPr>
        <b/>
        <sz val="11"/>
        <color theme="1" tint="0.14999847407452621"/>
        <rFont val="Arial Unicode MS"/>
        <family val="2"/>
      </rPr>
      <t>84.8M unique reach</t>
    </r>
    <r>
      <rPr>
        <sz val="11"/>
        <color theme="1" tint="0.14999847407452621"/>
        <rFont val="Arial Unicode MS"/>
        <family val="2"/>
      </rPr>
      <t>.</t>
    </r>
  </si>
  <si>
    <r>
      <t>Audience Sentiment:</t>
    </r>
    <r>
      <rPr>
        <sz val="11"/>
        <color theme="1" tint="0.14999847407452621"/>
        <rFont val="Arial Unicode MS"/>
        <family val="2"/>
      </rPr>
      <t xml:space="preserve"> Over </t>
    </r>
    <r>
      <rPr>
        <b/>
        <sz val="11"/>
        <color theme="1" tint="0.14999847407452621"/>
        <rFont val="Arial Unicode MS"/>
        <family val="2"/>
      </rPr>
      <t>59.7%</t>
    </r>
    <r>
      <rPr>
        <sz val="11"/>
        <color theme="1" tint="0.14999847407452621"/>
        <rFont val="Arial Unicode MS"/>
        <family val="2"/>
      </rPr>
      <t xml:space="preserve"> of posts reflect positive user sentiment, providing a baseline for brand health.</t>
    </r>
  </si>
  <si>
    <r>
      <t>Top-Performing Category:</t>
    </r>
    <r>
      <rPr>
        <sz val="11"/>
        <color theme="1" tint="0.14999847407452621"/>
        <rFont val="Arial Unicode MS"/>
        <family val="2"/>
      </rPr>
      <t xml:space="preserve"> </t>
    </r>
    <r>
      <rPr>
        <b/>
        <sz val="11"/>
        <color theme="1" tint="0.14999847407452621"/>
        <rFont val="Arial Unicode MS"/>
        <family val="2"/>
      </rPr>
      <t>Business &amp; Finance</t>
    </r>
    <r>
      <rPr>
        <sz val="11"/>
        <color theme="1" tint="0.14999847407452621"/>
        <rFont val="Arial Unicode MS"/>
        <family val="2"/>
      </rPr>
      <t xml:space="preserve"> leads all content verticals with the highest average engagement rate (</t>
    </r>
    <r>
      <rPr>
        <b/>
        <sz val="11"/>
        <color theme="1" tint="0.14999847407452621"/>
        <rFont val="Arial Unicode MS"/>
        <family val="2"/>
      </rPr>
      <t>7.97%</t>
    </r>
    <r>
      <rPr>
        <sz val="11"/>
        <color theme="1" tint="0.14999847407452621"/>
        <rFont val="Arial Unicode MS"/>
        <family val="2"/>
      </rPr>
      <t>).</t>
    </r>
  </si>
  <si>
    <r>
      <t>Top Post Format:</t>
    </r>
    <r>
      <rPr>
        <sz val="11"/>
        <color theme="1" tint="0.14999847407452621"/>
        <rFont val="Arial Unicode MS"/>
        <family val="2"/>
      </rPr>
      <t xml:space="preserve"> </t>
    </r>
    <r>
      <rPr>
        <b/>
        <sz val="11"/>
        <color theme="1" tint="0.14999847407452621"/>
        <rFont val="Arial Unicode MS"/>
        <family val="2"/>
      </rPr>
      <t>Document / PDF</t>
    </r>
    <r>
      <rPr>
        <sz val="11"/>
        <color theme="1" tint="0.14999847407452621"/>
        <rFont val="Arial Unicode MS"/>
        <family val="2"/>
      </rPr>
      <t xml:space="preserve"> posts deliver the highest relative engagement rate (</t>
    </r>
    <r>
      <rPr>
        <b/>
        <sz val="11"/>
        <color theme="1" tint="0.14999847407452621"/>
        <rFont val="Arial Unicode MS"/>
        <family val="2"/>
      </rPr>
      <t>8.77%</t>
    </r>
    <r>
      <rPr>
        <sz val="11"/>
        <color theme="1" tint="0.14999847407452621"/>
        <rFont val="Arial Unicode MS"/>
        <family val="2"/>
      </rPr>
      <t>) among post formats.</t>
    </r>
  </si>
  <si>
    <r>
      <t>Interactive Navigation:</t>
    </r>
    <r>
      <rPr>
        <sz val="11"/>
        <color theme="1" tint="0.14999847407452621"/>
        <rFont val="Arial Unicode MS"/>
        <family val="2"/>
      </rPr>
      <t xml:space="preserve"> Filter cards allow users to slice performance instantly by platform, format, topic, and sentiment.</t>
    </r>
  </si>
  <si>
    <t>Key Points;</t>
  </si>
  <si>
    <t>Sum of Follower Count</t>
  </si>
  <si>
    <t>Sum of Reach</t>
  </si>
  <si>
    <t>Sum of Shares / Retweets</t>
  </si>
  <si>
    <t>Sum of Likes</t>
  </si>
  <si>
    <t>Sum of Comments</t>
  </si>
  <si>
    <t>Sum of Impressions</t>
  </si>
  <si>
    <t>Total Reach</t>
  </si>
  <si>
    <t>Total Followers</t>
  </si>
  <si>
    <t>Total Shares</t>
  </si>
  <si>
    <t>Engagement Rate(%)</t>
  </si>
  <si>
    <t>Total likes</t>
  </si>
  <si>
    <t>Total Likes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</si>
</sst>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name val="Calibri"/>
    </font>
    <font>
      <sz val="22"/>
      <color theme="8" tint="-0.249977111117893"/>
      <name val="Agency FB"/>
      <family val="2"/>
    </font>
    <font>
      <b/>
      <sz val="11"/>
      <color theme="1" tint="0.14999847407452621"/>
      <name val="Arial Unicode MS"/>
      <family val="2"/>
    </font>
    <font>
      <sz val="11"/>
      <color theme="1" tint="0.14999847407452621"/>
      <name val="Arial Unicode MS"/>
      <family val="2"/>
    </font>
  </fonts>
  <fills count="4">
    <fill>
      <patternFill patternType="none"/>
    </fill>
    <fill>
      <patternFill patternType="gray125"/>
    </fill>
    <fill>
      <patternFill patternType="solid">
        <fgColor rgb="FF1F2937"/>
        <bgColor rgb="FF1F2937"/>
      </patternFill>
    </fill>
    <fill>
      <patternFill patternType="solid">
        <fgColor rgb="FFF9FAFB"/>
        <bgColor rgb="FFF9FAFB"/>
      </patternFill>
    </fill>
  </fills>
  <borders count="3">
    <border>
      <left/>
      <right/>
      <top/>
      <bottom/>
      <diagonal/>
    </border>
    <border>
      <left style="thin">
        <color rgb="FFE5E7EB"/>
      </left>
      <right style="thin">
        <color rgb="FFE5E7EB"/>
      </right>
      <top style="thin">
        <color rgb="FFE5E7EB"/>
      </top>
      <bottom style="thin">
        <color rgb="FFE5E7EB"/>
      </bottom>
      <diagonal/>
    </border>
    <border>
      <left/>
      <right/>
      <top/>
      <bottom style="thin">
        <color indexed="64"/>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10" fontId="2" fillId="3" borderId="1" xfId="0" applyNumberFormat="1" applyFont="1" applyFill="1" applyBorder="1" applyAlignment="1">
      <alignment horizontal="righ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3" fontId="2" fillId="0" borderId="1" xfId="0" applyNumberFormat="1" applyFont="1" applyBorder="1" applyAlignment="1">
      <alignment horizontal="right" vertical="center"/>
    </xf>
    <xf numFmtId="10" fontId="2" fillId="0" borderId="1" xfId="0" applyNumberFormat="1" applyFont="1" applyBorder="1" applyAlignment="1">
      <alignment horizontal="right" vertical="center"/>
    </xf>
    <xf numFmtId="0" fontId="0" fillId="0" borderId="0" xfId="0" pivotButton="1"/>
    <xf numFmtId="0" fontId="0" fillId="0" borderId="0" xfId="0" applyAlignment="1">
      <alignment horizontal="left"/>
    </xf>
    <xf numFmtId="0" fontId="0" fillId="0" borderId="0" xfId="0" applyNumberFormat="1"/>
    <xf numFmtId="0" fontId="0" fillId="0" borderId="2" xfId="0" applyBorder="1"/>
    <xf numFmtId="0" fontId="3" fillId="0" borderId="0" xfId="0" applyFont="1"/>
    <xf numFmtId="0" fontId="4" fillId="0" borderId="0" xfId="0" applyFont="1" applyAlignment="1">
      <alignment vertical="center"/>
    </xf>
    <xf numFmtId="0" fontId="5" fillId="0" borderId="0" xfId="0" applyFont="1"/>
    <xf numFmtId="0" fontId="5"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[social_media_analytics_3000.finally.xlsx]count of sentiment!PivotTable1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Sentiments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0314960629921"/>
          <c:y val="0.25402559055118112"/>
          <c:w val="0.76112270341207344"/>
          <c:h val="0.53774387576552929"/>
        </c:manualLayout>
      </c:layout>
      <c:barChart>
        <c:barDir val="col"/>
        <c:grouping val="clustered"/>
        <c:varyColors val="0"/>
        <c:ser>
          <c:idx val="0"/>
          <c:order val="0"/>
          <c:tx>
            <c:strRef>
              <c:f>'count of sentiment'!$B$3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'count of sentiment'!$A$4:$A$7</c:f>
              <c:strCache>
                <c:ptCount val="3"/>
                <c:pt idx="0">
                  <c:v>Negative</c:v>
                </c:pt>
                <c:pt idx="1">
                  <c:v>Neutral</c:v>
                </c:pt>
                <c:pt idx="2">
                  <c:v>Positive</c:v>
                </c:pt>
              </c:strCache>
            </c:strRef>
          </c:cat>
          <c:val>
            <c:numRef>
              <c:f>'count of sentiment'!$B$4:$B$7</c:f>
              <c:numCache>
                <c:formatCode>General</c:formatCode>
                <c:ptCount val="3"/>
                <c:pt idx="0">
                  <c:v>352</c:v>
                </c:pt>
                <c:pt idx="1">
                  <c:v>911</c:v>
                </c:pt>
                <c:pt idx="2">
                  <c:v>1737</c:v>
                </c:pt>
              </c:numCache>
            </c:numRef>
          </c:val>
          <c:extLst>
            <c:ext xmlns:c16="http://schemas.microsoft.com/office/drawing/2014/chart" uri="{C3380CC4-5D6E-409C-BE32-E72D297353CC}">
              <c16:uniqueId val="{00000000-F72D-48D2-A6A7-05CA9C996DE4}"/>
            </c:ext>
          </c:extLst>
        </c:ser>
        <c:dLbls>
          <c:dLblPos val="inEnd"/>
          <c:showLegendKey val="0"/>
          <c:showVal val="1"/>
          <c:showCatName val="0"/>
          <c:showSerName val="0"/>
          <c:showPercent val="0"/>
          <c:showBubbleSize val="0"/>
        </c:dLbls>
        <c:gapWidth val="315"/>
        <c:overlap val="-40"/>
        <c:axId val="1557828624"/>
        <c:axId val="1557829040"/>
      </c:barChart>
      <c:catAx>
        <c:axId val="15578286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7829040"/>
        <c:crosses val="autoZero"/>
        <c:auto val="1"/>
        <c:lblAlgn val="ctr"/>
        <c:lblOffset val="100"/>
        <c:noMultiLvlLbl val="0"/>
      </c:catAx>
      <c:valAx>
        <c:axId val="1557829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782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[social_media_analytics_3000.finally.xlsx]Sheet7!PivotTable3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Followers</a:t>
            </a:r>
          </a:p>
        </c:rich>
      </c:tx>
      <c:layout>
        <c:manualLayout>
          <c:xMode val="edge"/>
          <c:yMode val="edge"/>
          <c:x val="0.39738188976377953"/>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AD9-4001-A3A7-49D2461FA63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AD9-4001-A3A7-49D2461FA63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AD9-4001-A3A7-49D2461FA63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AD9-4001-A3A7-49D2461FA63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AD9-4001-A3A7-49D2461FA6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Sheet7!$A$4:$A$9</c:f>
              <c:strCache>
                <c:ptCount val="5"/>
                <c:pt idx="0">
                  <c:v>Instagram</c:v>
                </c:pt>
                <c:pt idx="1">
                  <c:v>LinkedIn</c:v>
                </c:pt>
                <c:pt idx="2">
                  <c:v>TikTok</c:v>
                </c:pt>
                <c:pt idx="3">
                  <c:v>X (Twitter)</c:v>
                </c:pt>
                <c:pt idx="4">
                  <c:v>YouTube</c:v>
                </c:pt>
              </c:strCache>
            </c:strRef>
          </c:cat>
          <c:val>
            <c:numRef>
              <c:f>Sheet7!$B$4:$B$9</c:f>
              <c:numCache>
                <c:formatCode>General</c:formatCode>
                <c:ptCount val="5"/>
                <c:pt idx="0">
                  <c:v>249356811</c:v>
                </c:pt>
                <c:pt idx="1">
                  <c:v>251273256</c:v>
                </c:pt>
                <c:pt idx="2">
                  <c:v>259551409</c:v>
                </c:pt>
                <c:pt idx="3">
                  <c:v>249392779</c:v>
                </c:pt>
                <c:pt idx="4">
                  <c:v>259986953</c:v>
                </c:pt>
              </c:numCache>
            </c:numRef>
          </c:val>
          <c:extLst>
            <c:ext xmlns:c16="http://schemas.microsoft.com/office/drawing/2014/chart" uri="{C3380CC4-5D6E-409C-BE32-E72D297353CC}">
              <c16:uniqueId val="{00000000-E4A9-49C1-B992-5700B488387E}"/>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[social_media_analytics_3000.finally.xlsx]Sheet12!PivotTable6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post</a:t>
            </a:r>
            <a:r>
              <a:rPr lang="en-US" baseline="0"/>
              <a:t> reach/likes</a:t>
            </a:r>
          </a:p>
        </c:rich>
      </c:tx>
      <c:layout>
        <c:manualLayout>
          <c:xMode val="edge"/>
          <c:yMode val="edge"/>
          <c:x val="0.26049300087489063"/>
          <c:y val="9.157188684747739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Sheet12!$B$3</c:f>
              <c:strCache>
                <c:ptCount val="1"/>
                <c:pt idx="0">
                  <c:v>Sum of Reach</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Sheet12!$A$4:$A$22</c:f>
              <c:strCache>
                <c:ptCount val="18"/>
                <c:pt idx="0">
                  <c:v>Carousel</c:v>
                </c:pt>
                <c:pt idx="1">
                  <c:v>Community Post</c:v>
                </c:pt>
                <c:pt idx="2">
                  <c:v>Document / PDF</c:v>
                </c:pt>
                <c:pt idx="3">
                  <c:v>Duet / Stitch</c:v>
                </c:pt>
                <c:pt idx="4">
                  <c:v>Image Tweet</c:v>
                </c:pt>
                <c:pt idx="5">
                  <c:v>Live Stream Clip</c:v>
                </c:pt>
                <c:pt idx="6">
                  <c:v>Long Video</c:v>
                </c:pt>
                <c:pt idx="7">
                  <c:v>Reel</c:v>
                </c:pt>
                <c:pt idx="8">
                  <c:v>Short Video</c:v>
                </c:pt>
                <c:pt idx="9">
                  <c:v>Shorts</c:v>
                </c:pt>
                <c:pt idx="10">
                  <c:v>Single Image</c:v>
                </c:pt>
                <c:pt idx="11">
                  <c:v>Story</c:v>
                </c:pt>
                <c:pt idx="12">
                  <c:v>Text + Image</c:v>
                </c:pt>
                <c:pt idx="13">
                  <c:v>Text Only</c:v>
                </c:pt>
                <c:pt idx="14">
                  <c:v>Thread</c:v>
                </c:pt>
                <c:pt idx="15">
                  <c:v>Tweet</c:v>
                </c:pt>
                <c:pt idx="16">
                  <c:v>Video</c:v>
                </c:pt>
                <c:pt idx="17">
                  <c:v>Video Tweet</c:v>
                </c:pt>
              </c:strCache>
            </c:strRef>
          </c:cat>
          <c:val>
            <c:numRef>
              <c:f>Sheet12!$B$4:$B$22</c:f>
              <c:numCache>
                <c:formatCode>General</c:formatCode>
                <c:ptCount val="18"/>
                <c:pt idx="0">
                  <c:v>20400198</c:v>
                </c:pt>
                <c:pt idx="1">
                  <c:v>36595892</c:v>
                </c:pt>
                <c:pt idx="2">
                  <c:v>25513808</c:v>
                </c:pt>
                <c:pt idx="3">
                  <c:v>43772038</c:v>
                </c:pt>
                <c:pt idx="4">
                  <c:v>21271490</c:v>
                </c:pt>
                <c:pt idx="5">
                  <c:v>31702136</c:v>
                </c:pt>
                <c:pt idx="6">
                  <c:v>29261749</c:v>
                </c:pt>
                <c:pt idx="7">
                  <c:v>25121288</c:v>
                </c:pt>
                <c:pt idx="8">
                  <c:v>33930071</c:v>
                </c:pt>
                <c:pt idx="9">
                  <c:v>35718059</c:v>
                </c:pt>
                <c:pt idx="10">
                  <c:v>26463455</c:v>
                </c:pt>
                <c:pt idx="11">
                  <c:v>16944851</c:v>
                </c:pt>
                <c:pt idx="12">
                  <c:v>24150071</c:v>
                </c:pt>
                <c:pt idx="13">
                  <c:v>24974511</c:v>
                </c:pt>
                <c:pt idx="14">
                  <c:v>24667798</c:v>
                </c:pt>
                <c:pt idx="15">
                  <c:v>27442382</c:v>
                </c:pt>
                <c:pt idx="16">
                  <c:v>32680760</c:v>
                </c:pt>
                <c:pt idx="17">
                  <c:v>27805112</c:v>
                </c:pt>
              </c:numCache>
            </c:numRef>
          </c:val>
          <c:smooth val="0"/>
          <c:extLst>
            <c:ext xmlns:c16="http://schemas.microsoft.com/office/drawing/2014/chart" uri="{C3380CC4-5D6E-409C-BE32-E72D297353CC}">
              <c16:uniqueId val="{00000000-10FF-4236-8B8E-EACD8310E3A0}"/>
            </c:ext>
          </c:extLst>
        </c:ser>
        <c:ser>
          <c:idx val="1"/>
          <c:order val="1"/>
          <c:tx>
            <c:strRef>
              <c:f>Sheet12!$C$3</c:f>
              <c:strCache>
                <c:ptCount val="1"/>
                <c:pt idx="0">
                  <c:v>Sum of Likes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Sheet12!$A$4:$A$22</c:f>
              <c:strCache>
                <c:ptCount val="18"/>
                <c:pt idx="0">
                  <c:v>Carousel</c:v>
                </c:pt>
                <c:pt idx="1">
                  <c:v>Community Post</c:v>
                </c:pt>
                <c:pt idx="2">
                  <c:v>Document / PDF</c:v>
                </c:pt>
                <c:pt idx="3">
                  <c:v>Duet / Stitch</c:v>
                </c:pt>
                <c:pt idx="4">
                  <c:v>Image Tweet</c:v>
                </c:pt>
                <c:pt idx="5">
                  <c:v>Live Stream Clip</c:v>
                </c:pt>
                <c:pt idx="6">
                  <c:v>Long Video</c:v>
                </c:pt>
                <c:pt idx="7">
                  <c:v>Reel</c:v>
                </c:pt>
                <c:pt idx="8">
                  <c:v>Short Video</c:v>
                </c:pt>
                <c:pt idx="9">
                  <c:v>Shorts</c:v>
                </c:pt>
                <c:pt idx="10">
                  <c:v>Single Image</c:v>
                </c:pt>
                <c:pt idx="11">
                  <c:v>Story</c:v>
                </c:pt>
                <c:pt idx="12">
                  <c:v>Text + Image</c:v>
                </c:pt>
                <c:pt idx="13">
                  <c:v>Text Only</c:v>
                </c:pt>
                <c:pt idx="14">
                  <c:v>Thread</c:v>
                </c:pt>
                <c:pt idx="15">
                  <c:v>Tweet</c:v>
                </c:pt>
                <c:pt idx="16">
                  <c:v>Video</c:v>
                </c:pt>
                <c:pt idx="17">
                  <c:v>Video Tweet</c:v>
                </c:pt>
              </c:strCache>
            </c:strRef>
          </c:cat>
          <c:val>
            <c:numRef>
              <c:f>Sheet12!$C$4:$C$22</c:f>
              <c:numCache>
                <c:formatCode>General</c:formatCode>
                <c:ptCount val="18"/>
                <c:pt idx="0">
                  <c:v>1349298</c:v>
                </c:pt>
                <c:pt idx="1">
                  <c:v>1995138</c:v>
                </c:pt>
                <c:pt idx="2">
                  <c:v>1575421</c:v>
                </c:pt>
                <c:pt idx="3">
                  <c:v>2595063</c:v>
                </c:pt>
                <c:pt idx="4">
                  <c:v>1383961</c:v>
                </c:pt>
                <c:pt idx="5">
                  <c:v>1897835</c:v>
                </c:pt>
                <c:pt idx="6">
                  <c:v>1929377</c:v>
                </c:pt>
                <c:pt idx="7">
                  <c:v>1453808</c:v>
                </c:pt>
                <c:pt idx="8">
                  <c:v>2119986</c:v>
                </c:pt>
                <c:pt idx="9">
                  <c:v>2362857</c:v>
                </c:pt>
                <c:pt idx="10">
                  <c:v>1703734</c:v>
                </c:pt>
                <c:pt idx="11">
                  <c:v>1092042</c:v>
                </c:pt>
                <c:pt idx="12">
                  <c:v>1681181</c:v>
                </c:pt>
                <c:pt idx="13">
                  <c:v>1474680</c:v>
                </c:pt>
                <c:pt idx="14">
                  <c:v>1384919</c:v>
                </c:pt>
                <c:pt idx="15">
                  <c:v>1669294</c:v>
                </c:pt>
                <c:pt idx="16">
                  <c:v>1808183</c:v>
                </c:pt>
                <c:pt idx="17">
                  <c:v>1668954</c:v>
                </c:pt>
              </c:numCache>
            </c:numRef>
          </c:val>
          <c:smooth val="0"/>
          <c:extLst>
            <c:ext xmlns:c16="http://schemas.microsoft.com/office/drawing/2014/chart" uri="{C3380CC4-5D6E-409C-BE32-E72D297353CC}">
              <c16:uniqueId val="{00000001-10FF-4236-8B8E-EACD8310E3A0}"/>
            </c:ext>
          </c:extLst>
        </c:ser>
        <c:dLbls>
          <c:showLegendKey val="0"/>
          <c:showVal val="0"/>
          <c:showCatName val="0"/>
          <c:showSerName val="0"/>
          <c:showPercent val="0"/>
          <c:showBubbleSize val="0"/>
        </c:dLbls>
        <c:marker val="1"/>
        <c:smooth val="0"/>
        <c:axId val="253089632"/>
        <c:axId val="253094624"/>
      </c:lineChart>
      <c:catAx>
        <c:axId val="25308963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94624"/>
        <c:crosses val="autoZero"/>
        <c:auto val="1"/>
        <c:lblAlgn val="ctr"/>
        <c:lblOffset val="100"/>
        <c:noMultiLvlLbl val="0"/>
      </c:catAx>
      <c:valAx>
        <c:axId val="25309462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8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[social_media_analytics_3000.finally.xlsx]Sheet14!PivotTable7</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followers</a:t>
            </a:r>
          </a:p>
        </c:rich>
      </c:tx>
      <c:layout>
        <c:manualLayout>
          <c:xMode val="edge"/>
          <c:yMode val="edge"/>
          <c:x val="0.37298600174978125"/>
          <c:y val="3.13867016622922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Sheet14!$A$4:$A$10</c:f>
              <c:strCache>
                <c:ptCount val="6"/>
                <c:pt idx="0">
                  <c:v>Business &amp; Finance</c:v>
                </c:pt>
                <c:pt idx="1">
                  <c:v>Design &amp; Creative</c:v>
                </c:pt>
                <c:pt idx="2">
                  <c:v>Education &amp; How-To</c:v>
                </c:pt>
                <c:pt idx="3">
                  <c:v>Entertainment &amp; Humor</c:v>
                </c:pt>
                <c:pt idx="4">
                  <c:v>Lifestyle &amp; Wellness</c:v>
                </c:pt>
                <c:pt idx="5">
                  <c:v>Tech &amp; AI</c:v>
                </c:pt>
              </c:strCache>
            </c:strRef>
          </c:cat>
          <c:val>
            <c:numRef>
              <c:f>Sheet14!$B$4:$B$10</c:f>
              <c:numCache>
                <c:formatCode>General</c:formatCode>
                <c:ptCount val="6"/>
                <c:pt idx="0">
                  <c:v>213458310</c:v>
                </c:pt>
                <c:pt idx="1">
                  <c:v>214227877</c:v>
                </c:pt>
                <c:pt idx="2">
                  <c:v>215124195</c:v>
                </c:pt>
                <c:pt idx="3">
                  <c:v>198101595</c:v>
                </c:pt>
                <c:pt idx="4">
                  <c:v>219493083</c:v>
                </c:pt>
                <c:pt idx="5">
                  <c:v>209156148</c:v>
                </c:pt>
              </c:numCache>
            </c:numRef>
          </c:val>
          <c:extLst>
            <c:ext xmlns:c16="http://schemas.microsoft.com/office/drawing/2014/chart" uri="{C3380CC4-5D6E-409C-BE32-E72D297353CC}">
              <c16:uniqueId val="{00000000-F890-4758-9407-AE79A1B7B310}"/>
            </c:ext>
          </c:extLst>
        </c:ser>
        <c:dLbls>
          <c:dLblPos val="outEnd"/>
          <c:showLegendKey val="0"/>
          <c:showVal val="1"/>
          <c:showCatName val="0"/>
          <c:showSerName val="0"/>
          <c:showPercent val="0"/>
          <c:showBubbleSize val="0"/>
        </c:dLbls>
        <c:gapWidth val="444"/>
        <c:overlap val="-90"/>
        <c:axId val="105022672"/>
        <c:axId val="105026416"/>
      </c:barChart>
      <c:catAx>
        <c:axId val="10502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026416"/>
        <c:crosses val="autoZero"/>
        <c:auto val="1"/>
        <c:lblAlgn val="ctr"/>
        <c:lblOffset val="100"/>
        <c:noMultiLvlLbl val="0"/>
      </c:catAx>
      <c:valAx>
        <c:axId val="105026416"/>
        <c:scaling>
          <c:orientation val="minMax"/>
        </c:scaling>
        <c:delete val="1"/>
        <c:axPos val="l"/>
        <c:numFmt formatCode="General" sourceLinked="1"/>
        <c:majorTickMark val="none"/>
        <c:minorTickMark val="none"/>
        <c:tickLblPos val="nextTo"/>
        <c:crossAx val="10502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[social_media_analytics_3000.finally.xlsx]Sheet15!PivotTable8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Sentiment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A8-4091-8946-66B69ECB6F4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A8-4091-8946-66B69ECB6F4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BA8-4091-8946-66B69ECB6F4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Sheet15!$A$4:$A$7</c:f>
              <c:strCache>
                <c:ptCount val="3"/>
                <c:pt idx="0">
                  <c:v>Negative</c:v>
                </c:pt>
                <c:pt idx="1">
                  <c:v>Neutral</c:v>
                </c:pt>
                <c:pt idx="2">
                  <c:v>Positive</c:v>
                </c:pt>
              </c:strCache>
            </c:strRef>
          </c:cat>
          <c:val>
            <c:numRef>
              <c:f>Sheet15!$B$4:$B$7</c:f>
              <c:numCache>
                <c:formatCode>General</c:formatCode>
                <c:ptCount val="3"/>
                <c:pt idx="0">
                  <c:v>27.650798182348172</c:v>
                </c:pt>
                <c:pt idx="1">
                  <c:v>74.046452531744336</c:v>
                </c:pt>
                <c:pt idx="2">
                  <c:v>137.88750661237805</c:v>
                </c:pt>
              </c:numCache>
            </c:numRef>
          </c:val>
          <c:extLst>
            <c:ext xmlns:c16="http://schemas.microsoft.com/office/drawing/2014/chart" uri="{C3380CC4-5D6E-409C-BE32-E72D297353CC}">
              <c16:uniqueId val="{00000000-C0BF-437C-9600-34479741D37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[social_media_analytics_3000.finally.xlsx]count of sentiment!PivotTable1</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Sentiments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0314960629921"/>
          <c:y val="0.25402559055118112"/>
          <c:w val="0.76112270341207344"/>
          <c:h val="0.53774387576552929"/>
        </c:manualLayout>
      </c:layout>
      <c:barChart>
        <c:barDir val="col"/>
        <c:grouping val="clustered"/>
        <c:varyColors val="0"/>
        <c:ser>
          <c:idx val="0"/>
          <c:order val="0"/>
          <c:tx>
            <c:strRef>
              <c:f>'count of sentiment'!$B$3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 of sentiment'!$A$4:$A$7</c:f>
              <c:strCache>
                <c:ptCount val="3"/>
                <c:pt idx="0">
                  <c:v>Negative</c:v>
                </c:pt>
                <c:pt idx="1">
                  <c:v>Neutral</c:v>
                </c:pt>
                <c:pt idx="2">
                  <c:v>Positive</c:v>
                </c:pt>
              </c:strCache>
            </c:strRef>
          </c:cat>
          <c:val>
            <c:numRef>
              <c:f>'count of sentiment'!$B$4:$B$7</c:f>
              <c:numCache>
                <c:formatCode>General</c:formatCode>
                <c:ptCount val="3"/>
                <c:pt idx="0">
                  <c:v>352</c:v>
                </c:pt>
                <c:pt idx="1">
                  <c:v>911</c:v>
                </c:pt>
                <c:pt idx="2">
                  <c:v>1737</c:v>
                </c:pt>
              </c:numCache>
            </c:numRef>
          </c:val>
          <c:extLst>
            <c:ext xmlns:c16="http://schemas.microsoft.com/office/drawing/2014/chart" uri="{C3380CC4-5D6E-409C-BE32-E72D297353CC}">
              <c16:uniqueId val="{00000000-10A5-4EA3-B2F2-9EEE5A02BB17}"/>
            </c:ext>
          </c:extLst>
        </c:ser>
        <c:dLbls>
          <c:dLblPos val="inEnd"/>
          <c:showLegendKey val="0"/>
          <c:showVal val="1"/>
          <c:showCatName val="0"/>
          <c:showSerName val="0"/>
          <c:showPercent val="0"/>
          <c:showBubbleSize val="0"/>
        </c:dLbls>
        <c:gapWidth val="199"/>
        <c:axId val="1557828624"/>
        <c:axId val="1557829040"/>
      </c:barChart>
      <c:catAx>
        <c:axId val="15578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57829040"/>
        <c:crosses val="autoZero"/>
        <c:auto val="1"/>
        <c:lblAlgn val="ctr"/>
        <c:lblOffset val="100"/>
        <c:noMultiLvlLbl val="0"/>
      </c:catAx>
      <c:valAx>
        <c:axId val="15578290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82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[social_media_analytics_3000.finally.xlsx]Sheet12!PivotTable6</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post</a:t>
            </a:r>
            <a:r>
              <a:rPr lang="en-US" baseline="0"/>
              <a:t> reach/likes</a:t>
            </a:r>
          </a:p>
        </c:rich>
      </c:tx>
      <c:layout>
        <c:manualLayout>
          <c:xMode val="edge"/>
          <c:yMode val="edge"/>
          <c:x val="0.26049300087489063"/>
          <c:y val="9.157188684747739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Sheet12!$B$3</c:f>
              <c:strCache>
                <c:ptCount val="1"/>
                <c:pt idx="0">
                  <c:v>Sum of Reach</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Sheet12!$A$4:$A$22</c:f>
              <c:strCache>
                <c:ptCount val="18"/>
                <c:pt idx="0">
                  <c:v>Carousel</c:v>
                </c:pt>
                <c:pt idx="1">
                  <c:v>Community Post</c:v>
                </c:pt>
                <c:pt idx="2">
                  <c:v>Document / PDF</c:v>
                </c:pt>
                <c:pt idx="3">
                  <c:v>Duet / Stitch</c:v>
                </c:pt>
                <c:pt idx="4">
                  <c:v>Image Tweet</c:v>
                </c:pt>
                <c:pt idx="5">
                  <c:v>Live Stream Clip</c:v>
                </c:pt>
                <c:pt idx="6">
                  <c:v>Long Video</c:v>
                </c:pt>
                <c:pt idx="7">
                  <c:v>Reel</c:v>
                </c:pt>
                <c:pt idx="8">
                  <c:v>Short Video</c:v>
                </c:pt>
                <c:pt idx="9">
                  <c:v>Shorts</c:v>
                </c:pt>
                <c:pt idx="10">
                  <c:v>Single Image</c:v>
                </c:pt>
                <c:pt idx="11">
                  <c:v>Story</c:v>
                </c:pt>
                <c:pt idx="12">
                  <c:v>Text + Image</c:v>
                </c:pt>
                <c:pt idx="13">
                  <c:v>Text Only</c:v>
                </c:pt>
                <c:pt idx="14">
                  <c:v>Thread</c:v>
                </c:pt>
                <c:pt idx="15">
                  <c:v>Tweet</c:v>
                </c:pt>
                <c:pt idx="16">
                  <c:v>Video</c:v>
                </c:pt>
                <c:pt idx="17">
                  <c:v>Video Tweet</c:v>
                </c:pt>
              </c:strCache>
            </c:strRef>
          </c:cat>
          <c:val>
            <c:numRef>
              <c:f>Sheet12!$B$4:$B$22</c:f>
              <c:numCache>
                <c:formatCode>General</c:formatCode>
                <c:ptCount val="18"/>
                <c:pt idx="0">
                  <c:v>20400198</c:v>
                </c:pt>
                <c:pt idx="1">
                  <c:v>36595892</c:v>
                </c:pt>
                <c:pt idx="2">
                  <c:v>25513808</c:v>
                </c:pt>
                <c:pt idx="3">
                  <c:v>43772038</c:v>
                </c:pt>
                <c:pt idx="4">
                  <c:v>21271490</c:v>
                </c:pt>
                <c:pt idx="5">
                  <c:v>31702136</c:v>
                </c:pt>
                <c:pt idx="6">
                  <c:v>29261749</c:v>
                </c:pt>
                <c:pt idx="7">
                  <c:v>25121288</c:v>
                </c:pt>
                <c:pt idx="8">
                  <c:v>33930071</c:v>
                </c:pt>
                <c:pt idx="9">
                  <c:v>35718059</c:v>
                </c:pt>
                <c:pt idx="10">
                  <c:v>26463455</c:v>
                </c:pt>
                <c:pt idx="11">
                  <c:v>16944851</c:v>
                </c:pt>
                <c:pt idx="12">
                  <c:v>24150071</c:v>
                </c:pt>
                <c:pt idx="13">
                  <c:v>24974511</c:v>
                </c:pt>
                <c:pt idx="14">
                  <c:v>24667798</c:v>
                </c:pt>
                <c:pt idx="15">
                  <c:v>27442382</c:v>
                </c:pt>
                <c:pt idx="16">
                  <c:v>32680760</c:v>
                </c:pt>
                <c:pt idx="17">
                  <c:v>27805112</c:v>
                </c:pt>
              </c:numCache>
            </c:numRef>
          </c:val>
          <c:smooth val="0"/>
          <c:extLst>
            <c:ext xmlns:c16="http://schemas.microsoft.com/office/drawing/2014/chart" uri="{C3380CC4-5D6E-409C-BE32-E72D297353CC}">
              <c16:uniqueId val="{00000000-F72E-4075-92CE-BC682D44ABA2}"/>
            </c:ext>
          </c:extLst>
        </c:ser>
        <c:ser>
          <c:idx val="1"/>
          <c:order val="1"/>
          <c:tx>
            <c:strRef>
              <c:f>Sheet12!$C$3</c:f>
              <c:strCache>
                <c:ptCount val="1"/>
                <c:pt idx="0">
                  <c:v>Sum of Likes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Sheet12!$A$4:$A$22</c:f>
              <c:strCache>
                <c:ptCount val="18"/>
                <c:pt idx="0">
                  <c:v>Carousel</c:v>
                </c:pt>
                <c:pt idx="1">
                  <c:v>Community Post</c:v>
                </c:pt>
                <c:pt idx="2">
                  <c:v>Document / PDF</c:v>
                </c:pt>
                <c:pt idx="3">
                  <c:v>Duet / Stitch</c:v>
                </c:pt>
                <c:pt idx="4">
                  <c:v>Image Tweet</c:v>
                </c:pt>
                <c:pt idx="5">
                  <c:v>Live Stream Clip</c:v>
                </c:pt>
                <c:pt idx="6">
                  <c:v>Long Video</c:v>
                </c:pt>
                <c:pt idx="7">
                  <c:v>Reel</c:v>
                </c:pt>
                <c:pt idx="8">
                  <c:v>Short Video</c:v>
                </c:pt>
                <c:pt idx="9">
                  <c:v>Shorts</c:v>
                </c:pt>
                <c:pt idx="10">
                  <c:v>Single Image</c:v>
                </c:pt>
                <c:pt idx="11">
                  <c:v>Story</c:v>
                </c:pt>
                <c:pt idx="12">
                  <c:v>Text + Image</c:v>
                </c:pt>
                <c:pt idx="13">
                  <c:v>Text Only</c:v>
                </c:pt>
                <c:pt idx="14">
                  <c:v>Thread</c:v>
                </c:pt>
                <c:pt idx="15">
                  <c:v>Tweet</c:v>
                </c:pt>
                <c:pt idx="16">
                  <c:v>Video</c:v>
                </c:pt>
                <c:pt idx="17">
                  <c:v>Video Tweet</c:v>
                </c:pt>
              </c:strCache>
            </c:strRef>
          </c:cat>
          <c:val>
            <c:numRef>
              <c:f>Sheet12!$C$4:$C$22</c:f>
              <c:numCache>
                <c:formatCode>General</c:formatCode>
                <c:ptCount val="18"/>
                <c:pt idx="0">
                  <c:v>1349298</c:v>
                </c:pt>
                <c:pt idx="1">
                  <c:v>1995138</c:v>
                </c:pt>
                <c:pt idx="2">
                  <c:v>1575421</c:v>
                </c:pt>
                <c:pt idx="3">
                  <c:v>2595063</c:v>
                </c:pt>
                <c:pt idx="4">
                  <c:v>1383961</c:v>
                </c:pt>
                <c:pt idx="5">
                  <c:v>1897835</c:v>
                </c:pt>
                <c:pt idx="6">
                  <c:v>1929377</c:v>
                </c:pt>
                <c:pt idx="7">
                  <c:v>1453808</c:v>
                </c:pt>
                <c:pt idx="8">
                  <c:v>2119986</c:v>
                </c:pt>
                <c:pt idx="9">
                  <c:v>2362857</c:v>
                </c:pt>
                <c:pt idx="10">
                  <c:v>1703734</c:v>
                </c:pt>
                <c:pt idx="11">
                  <c:v>1092042</c:v>
                </c:pt>
                <c:pt idx="12">
                  <c:v>1681181</c:v>
                </c:pt>
                <c:pt idx="13">
                  <c:v>1474680</c:v>
                </c:pt>
                <c:pt idx="14">
                  <c:v>1384919</c:v>
                </c:pt>
                <c:pt idx="15">
                  <c:v>1669294</c:v>
                </c:pt>
                <c:pt idx="16">
                  <c:v>1808183</c:v>
                </c:pt>
                <c:pt idx="17">
                  <c:v>1668954</c:v>
                </c:pt>
              </c:numCache>
            </c:numRef>
          </c:val>
          <c:smooth val="0"/>
          <c:extLst>
            <c:ext xmlns:c16="http://schemas.microsoft.com/office/drawing/2014/chart" uri="{C3380CC4-5D6E-409C-BE32-E72D297353CC}">
              <c16:uniqueId val="{00000001-F72E-4075-92CE-BC682D44ABA2}"/>
            </c:ext>
          </c:extLst>
        </c:ser>
        <c:dLbls>
          <c:showLegendKey val="0"/>
          <c:showVal val="0"/>
          <c:showCatName val="0"/>
          <c:showSerName val="0"/>
          <c:showPercent val="0"/>
          <c:showBubbleSize val="0"/>
        </c:dLbls>
        <c:marker val="1"/>
        <c:smooth val="0"/>
        <c:axId val="253089632"/>
        <c:axId val="253094624"/>
      </c:lineChart>
      <c:catAx>
        <c:axId val="25308963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94624"/>
        <c:crosses val="autoZero"/>
        <c:auto val="1"/>
        <c:lblAlgn val="ctr"/>
        <c:lblOffset val="100"/>
        <c:noMultiLvlLbl val="0"/>
      </c:catAx>
      <c:valAx>
        <c:axId val="25309462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8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[social_media_analytics_3000.finally.xlsx]Sheet14!PivotTable7</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followers</a:t>
            </a:r>
          </a:p>
        </c:rich>
      </c:tx>
      <c:layout>
        <c:manualLayout>
          <c:xMode val="edge"/>
          <c:yMode val="edge"/>
          <c:x val="0.37298600174978125"/>
          <c:y val="3.13867016622922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Sheet14!$A$4:$A$10</c:f>
              <c:strCache>
                <c:ptCount val="6"/>
                <c:pt idx="0">
                  <c:v>Business &amp; Finance</c:v>
                </c:pt>
                <c:pt idx="1">
                  <c:v>Design &amp; Creative</c:v>
                </c:pt>
                <c:pt idx="2">
                  <c:v>Education &amp; How-To</c:v>
                </c:pt>
                <c:pt idx="3">
                  <c:v>Entertainment &amp; Humor</c:v>
                </c:pt>
                <c:pt idx="4">
                  <c:v>Lifestyle &amp; Wellness</c:v>
                </c:pt>
                <c:pt idx="5">
                  <c:v>Tech &amp; AI</c:v>
                </c:pt>
              </c:strCache>
            </c:strRef>
          </c:cat>
          <c:val>
            <c:numRef>
              <c:f>Sheet14!$B$4:$B$10</c:f>
              <c:numCache>
                <c:formatCode>General</c:formatCode>
                <c:ptCount val="6"/>
                <c:pt idx="0">
                  <c:v>213458310</c:v>
                </c:pt>
                <c:pt idx="1">
                  <c:v>214227877</c:v>
                </c:pt>
                <c:pt idx="2">
                  <c:v>215124195</c:v>
                </c:pt>
                <c:pt idx="3">
                  <c:v>198101595</c:v>
                </c:pt>
                <c:pt idx="4">
                  <c:v>219493083</c:v>
                </c:pt>
                <c:pt idx="5">
                  <c:v>209156148</c:v>
                </c:pt>
              </c:numCache>
            </c:numRef>
          </c:val>
          <c:extLst>
            <c:ext xmlns:c16="http://schemas.microsoft.com/office/drawing/2014/chart" uri="{C3380CC4-5D6E-409C-BE32-E72D297353CC}">
              <c16:uniqueId val="{00000000-4222-46C6-945E-4AF6F76A99D4}"/>
            </c:ext>
          </c:extLst>
        </c:ser>
        <c:dLbls>
          <c:dLblPos val="outEnd"/>
          <c:showLegendKey val="0"/>
          <c:showVal val="1"/>
          <c:showCatName val="0"/>
          <c:showSerName val="0"/>
          <c:showPercent val="0"/>
          <c:showBubbleSize val="0"/>
        </c:dLbls>
        <c:gapWidth val="444"/>
        <c:overlap val="-90"/>
        <c:axId val="105022672"/>
        <c:axId val="105026416"/>
      </c:barChart>
      <c:catAx>
        <c:axId val="10502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026416"/>
        <c:crosses val="autoZero"/>
        <c:auto val="1"/>
        <c:lblAlgn val="ctr"/>
        <c:lblOffset val="100"/>
        <c:noMultiLvlLbl val="0"/>
      </c:catAx>
      <c:valAx>
        <c:axId val="105026416"/>
        <c:scaling>
          <c:orientation val="minMax"/>
        </c:scaling>
        <c:delete val="1"/>
        <c:axPos val="l"/>
        <c:numFmt formatCode="General" sourceLinked="1"/>
        <c:majorTickMark val="none"/>
        <c:minorTickMark val="none"/>
        <c:tickLblPos val="nextTo"/>
        <c:crossAx val="10502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[social_media_analytics_3000.finally.xlsx]Sheet7!PivotTable3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Followers</a:t>
            </a:r>
          </a:p>
        </c:rich>
      </c:tx>
      <c:layout>
        <c:manualLayout>
          <c:xMode val="edge"/>
          <c:yMode val="edge"/>
          <c:x val="0.39738188976377953"/>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102-43EA-BA85-E3172AE2F40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102-43EA-BA85-E3172AE2F40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102-43EA-BA85-E3172AE2F40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102-43EA-BA85-E3172AE2F40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102-43EA-BA85-E3172AE2F4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Sheet7!$A$4:$A$9</c:f>
              <c:strCache>
                <c:ptCount val="5"/>
                <c:pt idx="0">
                  <c:v>Instagram</c:v>
                </c:pt>
                <c:pt idx="1">
                  <c:v>LinkedIn</c:v>
                </c:pt>
                <c:pt idx="2">
                  <c:v>TikTok</c:v>
                </c:pt>
                <c:pt idx="3">
                  <c:v>X (Twitter)</c:v>
                </c:pt>
                <c:pt idx="4">
                  <c:v>YouTube</c:v>
                </c:pt>
              </c:strCache>
            </c:strRef>
          </c:cat>
          <c:val>
            <c:numRef>
              <c:f>Sheet7!$B$4:$B$9</c:f>
              <c:numCache>
                <c:formatCode>General</c:formatCode>
                <c:ptCount val="5"/>
                <c:pt idx="0">
                  <c:v>249356811</c:v>
                </c:pt>
                <c:pt idx="1">
                  <c:v>251273256</c:v>
                </c:pt>
                <c:pt idx="2">
                  <c:v>259551409</c:v>
                </c:pt>
                <c:pt idx="3">
                  <c:v>249392779</c:v>
                </c:pt>
                <c:pt idx="4">
                  <c:v>259986953</c:v>
                </c:pt>
              </c:numCache>
            </c:numRef>
          </c:val>
          <c:extLst>
            <c:ext xmlns:c16="http://schemas.microsoft.com/office/drawing/2014/chart" uri="{C3380CC4-5D6E-409C-BE32-E72D297353CC}">
              <c16:uniqueId val="{0000000A-D102-43EA-BA85-E3172AE2F400}"/>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104775</xdr:colOff>
      <xdr:row>3</xdr:row>
      <xdr:rowOff>80962</xdr:rowOff>
    </xdr:from>
    <xdr:to>
      <xdr:col>10</xdr:col>
      <xdr:colOff>409575</xdr:colOff>
      <xdr:row>17</xdr:row>
      <xdr:rowOff>157162</xdr:rowOff>
    </xdr:to>
    <xdr:graphicFrame macro="">
      <xdr:nvGraphicFramePr>
        <xdr:cNvPr id="2" name="Chart 1">
          <a:extLst>
            <a:ext uri="{FF2B5EF4-FFF2-40B4-BE49-F238E27FC236}">
              <a16:creationId xmlns:a16="http://schemas.microsoft.com/office/drawing/2014/main" id="{01B8727B-27E7-4B89-9A05-77D1AEC42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1</xdr:row>
      <xdr:rowOff>176212</xdr:rowOff>
    </xdr:from>
    <xdr:to>
      <xdr:col>10</xdr:col>
      <xdr:colOff>428625</xdr:colOff>
      <xdr:row>16</xdr:row>
      <xdr:rowOff>61912</xdr:rowOff>
    </xdr:to>
    <xdr:graphicFrame macro="">
      <xdr:nvGraphicFramePr>
        <xdr:cNvPr id="2" name="Chart 1">
          <a:extLst>
            <a:ext uri="{FF2B5EF4-FFF2-40B4-BE49-F238E27FC236}">
              <a16:creationId xmlns:a16="http://schemas.microsoft.com/office/drawing/2014/main" id="{F729117D-D648-4959-8563-ADE91EA6C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200024</xdr:colOff>
      <xdr:row>0</xdr:row>
      <xdr:rowOff>161926</xdr:rowOff>
    </xdr:from>
    <xdr:to>
      <xdr:col>17</xdr:col>
      <xdr:colOff>149774</xdr:colOff>
      <xdr:row>3</xdr:row>
      <xdr:rowOff>152400</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56851DEC-EE47-44A3-A424-BE9DEF8C1F68}"/>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562599" y="161926"/>
              <a:ext cx="6045750" cy="561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523875</xdr:colOff>
      <xdr:row>1</xdr:row>
      <xdr:rowOff>157162</xdr:rowOff>
    </xdr:from>
    <xdr:to>
      <xdr:col>11</xdr:col>
      <xdr:colOff>219075</xdr:colOff>
      <xdr:row>16</xdr:row>
      <xdr:rowOff>42862</xdr:rowOff>
    </xdr:to>
    <xdr:graphicFrame macro="">
      <xdr:nvGraphicFramePr>
        <xdr:cNvPr id="2" name="Chart 1">
          <a:extLst>
            <a:ext uri="{FF2B5EF4-FFF2-40B4-BE49-F238E27FC236}">
              <a16:creationId xmlns:a16="http://schemas.microsoft.com/office/drawing/2014/main" id="{E4537045-120C-4E28-91F8-1CE4A084A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142875</xdr:colOff>
      <xdr:row>1</xdr:row>
      <xdr:rowOff>176212</xdr:rowOff>
    </xdr:from>
    <xdr:to>
      <xdr:col>9</xdr:col>
      <xdr:colOff>447675</xdr:colOff>
      <xdr:row>16</xdr:row>
      <xdr:rowOff>61912</xdr:rowOff>
    </xdr:to>
    <xdr:graphicFrame macro="">
      <xdr:nvGraphicFramePr>
        <xdr:cNvPr id="2" name="Chart 1">
          <a:extLst>
            <a:ext uri="{FF2B5EF4-FFF2-40B4-BE49-F238E27FC236}">
              <a16:creationId xmlns:a16="http://schemas.microsoft.com/office/drawing/2014/main" id="{7E302C6A-F03E-4955-9F8A-33A088F4A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371475</xdr:colOff>
      <xdr:row>2</xdr:row>
      <xdr:rowOff>185737</xdr:rowOff>
    </xdr:from>
    <xdr:to>
      <xdr:col>10</xdr:col>
      <xdr:colOff>66675</xdr:colOff>
      <xdr:row>17</xdr:row>
      <xdr:rowOff>71437</xdr:rowOff>
    </xdr:to>
    <xdr:graphicFrame macro="">
      <xdr:nvGraphicFramePr>
        <xdr:cNvPr id="2" name="Chart 1">
          <a:extLst>
            <a:ext uri="{FF2B5EF4-FFF2-40B4-BE49-F238E27FC236}">
              <a16:creationId xmlns:a16="http://schemas.microsoft.com/office/drawing/2014/main" id="{98BC5274-3980-4A0F-B2E5-EDE6823DE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7</xdr:col>
      <xdr:colOff>485775</xdr:colOff>
      <xdr:row>3</xdr:row>
      <xdr:rowOff>95250</xdr:rowOff>
    </xdr:to>
    <xdr:sp macro="" textlink="">
      <xdr:nvSpPr>
        <xdr:cNvPr id="2" name="Rectangle: Rounded Corners 1">
          <a:extLst>
            <a:ext uri="{FF2B5EF4-FFF2-40B4-BE49-F238E27FC236}">
              <a16:creationId xmlns:a16="http://schemas.microsoft.com/office/drawing/2014/main" id="{DBD6C544-E98B-4821-B006-23B9E81450A9}"/>
            </a:ext>
          </a:extLst>
        </xdr:cNvPr>
        <xdr:cNvSpPr/>
      </xdr:nvSpPr>
      <xdr:spPr>
        <a:xfrm>
          <a:off x="104775" y="66675"/>
          <a:ext cx="4648200" cy="6000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800" b="0" cap="none" spc="0">
              <a:ln w="0"/>
              <a:solidFill>
                <a:schemeClr val="accent1"/>
              </a:solidFill>
              <a:effectLst>
                <a:outerShdw blurRad="38100" dist="25400" dir="5400000" algn="ctr" rotWithShape="0">
                  <a:srgbClr val="6E747A">
                    <a:alpha val="43000"/>
                  </a:srgbClr>
                </a:outerShdw>
              </a:effectLst>
              <a:latin typeface="Constantia" panose="02030602050306030303" pitchFamily="18" charset="0"/>
            </a:rPr>
            <a:t>Social Media Analytics</a:t>
          </a:r>
        </a:p>
      </xdr:txBody>
    </xdr:sp>
    <xdr:clientData/>
  </xdr:twoCellAnchor>
  <xdr:twoCellAnchor>
    <xdr:from>
      <xdr:col>0</xdr:col>
      <xdr:colOff>47625</xdr:colOff>
      <xdr:row>3</xdr:row>
      <xdr:rowOff>133350</xdr:rowOff>
    </xdr:from>
    <xdr:to>
      <xdr:col>3</xdr:col>
      <xdr:colOff>247650</xdr:colOff>
      <xdr:row>7</xdr:row>
      <xdr:rowOff>123825</xdr:rowOff>
    </xdr:to>
    <xdr:sp macro="" textlink="Sheet1!A7">
      <xdr:nvSpPr>
        <xdr:cNvPr id="3" name="Oval 2">
          <a:extLst>
            <a:ext uri="{FF2B5EF4-FFF2-40B4-BE49-F238E27FC236}">
              <a16:creationId xmlns:a16="http://schemas.microsoft.com/office/drawing/2014/main" id="{C3C67289-1C70-4DDC-BF37-037E0B6259F1}"/>
            </a:ext>
          </a:extLst>
        </xdr:cNvPr>
        <xdr:cNvSpPr/>
      </xdr:nvSpPr>
      <xdr:spPr>
        <a:xfrm>
          <a:off x="47625" y="704850"/>
          <a:ext cx="2028825" cy="752475"/>
        </a:xfrm>
        <a:prstGeom prst="ellipse">
          <a:avLst/>
        </a:prstGeom>
        <a:solidFill>
          <a:schemeClr val="tx2">
            <a:lumMod val="20000"/>
            <a:lumOff val="8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D7A42F9-DDC9-4482-826B-B40AE80AF931}" type="TxLink">
            <a:rPr lang="en-US" sz="1400" b="0" i="0" u="none" strike="noStrike">
              <a:solidFill>
                <a:srgbClr val="000000"/>
              </a:solidFill>
              <a:latin typeface="Berlin Sans FB" panose="020E0602020502020306" pitchFamily="34" charset="0"/>
              <a:ea typeface="Calibri"/>
              <a:cs typeface="Calibri"/>
            </a:rPr>
            <a:pPr algn="ctr"/>
            <a:t>Total Reach</a:t>
          </a:fld>
          <a:endParaRPr lang="en-US" sz="1400" b="0">
            <a:solidFill>
              <a:sysClr val="windowText" lastClr="000000"/>
            </a:solidFill>
            <a:latin typeface="Berlin Sans FB" panose="020E0602020502020306" pitchFamily="34" charset="0"/>
          </a:endParaRPr>
        </a:p>
      </xdr:txBody>
    </xdr:sp>
    <xdr:clientData/>
  </xdr:twoCellAnchor>
  <xdr:twoCellAnchor>
    <xdr:from>
      <xdr:col>6</xdr:col>
      <xdr:colOff>552450</xdr:colOff>
      <xdr:row>3</xdr:row>
      <xdr:rowOff>133350</xdr:rowOff>
    </xdr:from>
    <xdr:to>
      <xdr:col>10</xdr:col>
      <xdr:colOff>152400</xdr:colOff>
      <xdr:row>7</xdr:row>
      <xdr:rowOff>123825</xdr:rowOff>
    </xdr:to>
    <xdr:sp macro="" textlink="">
      <xdr:nvSpPr>
        <xdr:cNvPr id="5" name="Oval 4">
          <a:extLst>
            <a:ext uri="{FF2B5EF4-FFF2-40B4-BE49-F238E27FC236}">
              <a16:creationId xmlns:a16="http://schemas.microsoft.com/office/drawing/2014/main" id="{43DCEDCD-A497-4364-864F-EAB0DD87BCA3}"/>
            </a:ext>
          </a:extLst>
        </xdr:cNvPr>
        <xdr:cNvSpPr/>
      </xdr:nvSpPr>
      <xdr:spPr>
        <a:xfrm>
          <a:off x="4210050" y="704850"/>
          <a:ext cx="2038350" cy="752475"/>
        </a:xfrm>
        <a:prstGeom prst="ellipse">
          <a:avLst/>
        </a:prstGeom>
        <a:solidFill>
          <a:schemeClr val="accent1">
            <a:lumMod val="40000"/>
            <a:lumOff val="6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effectLst/>
              <a:latin typeface="Berlin Sans FB" panose="020E0602020502020306" pitchFamily="34" charset="0"/>
              <a:ea typeface="+mn-ea"/>
              <a:cs typeface="+mn-cs"/>
            </a:rPr>
            <a:t>Total Impressions</a:t>
          </a:r>
          <a:r>
            <a:rPr lang="en-US" sz="1400" b="0">
              <a:solidFill>
                <a:schemeClr val="tx1"/>
              </a:solidFill>
              <a:latin typeface="Berlin Sans FB" panose="020E0602020502020306" pitchFamily="34" charset="0"/>
            </a:rPr>
            <a:t> </a:t>
          </a:r>
        </a:p>
      </xdr:txBody>
    </xdr:sp>
    <xdr:clientData/>
  </xdr:twoCellAnchor>
  <xdr:twoCellAnchor>
    <xdr:from>
      <xdr:col>10</xdr:col>
      <xdr:colOff>219075</xdr:colOff>
      <xdr:row>3</xdr:row>
      <xdr:rowOff>133350</xdr:rowOff>
    </xdr:from>
    <xdr:to>
      <xdr:col>13</xdr:col>
      <xdr:colOff>476250</xdr:colOff>
      <xdr:row>7</xdr:row>
      <xdr:rowOff>123825</xdr:rowOff>
    </xdr:to>
    <xdr:sp macro="" textlink="Sheet1!A9">
      <xdr:nvSpPr>
        <xdr:cNvPr id="6" name="Oval 5">
          <a:extLst>
            <a:ext uri="{FF2B5EF4-FFF2-40B4-BE49-F238E27FC236}">
              <a16:creationId xmlns:a16="http://schemas.microsoft.com/office/drawing/2014/main" id="{B88312FA-3064-4602-8AFF-A27D57C82183}"/>
            </a:ext>
          </a:extLst>
        </xdr:cNvPr>
        <xdr:cNvSpPr/>
      </xdr:nvSpPr>
      <xdr:spPr>
        <a:xfrm>
          <a:off x="6315075" y="704850"/>
          <a:ext cx="2085975" cy="752475"/>
        </a:xfrm>
        <a:prstGeom prst="ellipse">
          <a:avLst/>
        </a:prstGeom>
        <a:solidFill>
          <a:schemeClr val="tx2">
            <a:lumMod val="20000"/>
            <a:lumOff val="8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41CCAB7-A464-466F-A19E-F40CB23D47A8}" type="TxLink">
            <a:rPr lang="en-US" sz="1400" b="0" i="0" u="none" strike="noStrike">
              <a:solidFill>
                <a:srgbClr val="000000"/>
              </a:solidFill>
              <a:latin typeface="Berlin Sans FB" panose="020E0602020502020306" pitchFamily="34" charset="0"/>
              <a:ea typeface="Calibri"/>
              <a:cs typeface="Calibri"/>
            </a:rPr>
            <a:pPr algn="ctr"/>
            <a:t>Total Shares</a:t>
          </a:fld>
          <a:endParaRPr lang="en-US" sz="1400" b="0">
            <a:solidFill>
              <a:schemeClr val="tx1"/>
            </a:solidFill>
            <a:latin typeface="Berlin Sans FB" panose="020E0602020502020306" pitchFamily="34" charset="0"/>
          </a:endParaRPr>
        </a:p>
      </xdr:txBody>
    </xdr:sp>
    <xdr:clientData/>
  </xdr:twoCellAnchor>
  <xdr:twoCellAnchor>
    <xdr:from>
      <xdr:col>13</xdr:col>
      <xdr:colOff>561975</xdr:colOff>
      <xdr:row>3</xdr:row>
      <xdr:rowOff>95250</xdr:rowOff>
    </xdr:from>
    <xdr:to>
      <xdr:col>17</xdr:col>
      <xdr:colOff>142875</xdr:colOff>
      <xdr:row>7</xdr:row>
      <xdr:rowOff>85725</xdr:rowOff>
    </xdr:to>
    <xdr:sp macro="" textlink="Sheet1!A10">
      <xdr:nvSpPr>
        <xdr:cNvPr id="7" name="Oval 6">
          <a:extLst>
            <a:ext uri="{FF2B5EF4-FFF2-40B4-BE49-F238E27FC236}">
              <a16:creationId xmlns:a16="http://schemas.microsoft.com/office/drawing/2014/main" id="{DEE29909-11B6-4D4A-BBE2-B2F4D62E8659}"/>
            </a:ext>
          </a:extLst>
        </xdr:cNvPr>
        <xdr:cNvSpPr/>
      </xdr:nvSpPr>
      <xdr:spPr>
        <a:xfrm>
          <a:off x="8486775" y="666750"/>
          <a:ext cx="2019300" cy="752475"/>
        </a:xfrm>
        <a:prstGeom prst="ellipse">
          <a:avLst/>
        </a:prstGeom>
        <a:solidFill>
          <a:schemeClr val="tx2">
            <a:lumMod val="20000"/>
            <a:lumOff val="8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DD22B39-4296-4962-AD74-7566F6245B05}" type="TxLink">
            <a:rPr lang="en-US" sz="1400" b="0" i="0" u="none" strike="noStrike">
              <a:solidFill>
                <a:srgbClr val="000000"/>
              </a:solidFill>
              <a:latin typeface="Berlin Sans FB" panose="020E0602020502020306" pitchFamily="34" charset="0"/>
              <a:ea typeface="Calibri"/>
              <a:cs typeface="Calibri"/>
            </a:rPr>
            <a:pPr algn="ctr"/>
            <a:t>Engagement Rate(%)</a:t>
          </a:fld>
          <a:endParaRPr lang="en-US" sz="1400" b="0">
            <a:solidFill>
              <a:schemeClr val="tx1"/>
            </a:solidFill>
            <a:latin typeface="Berlin Sans FB" panose="020E0602020502020306" pitchFamily="34" charset="0"/>
          </a:endParaRPr>
        </a:p>
      </xdr:txBody>
    </xdr:sp>
    <xdr:clientData/>
  </xdr:twoCellAnchor>
  <xdr:twoCellAnchor>
    <xdr:from>
      <xdr:col>0</xdr:col>
      <xdr:colOff>428625</xdr:colOff>
      <xdr:row>6</xdr:row>
      <xdr:rowOff>161925</xdr:rowOff>
    </xdr:from>
    <xdr:to>
      <xdr:col>2</xdr:col>
      <xdr:colOff>438150</xdr:colOff>
      <xdr:row>8</xdr:row>
      <xdr:rowOff>114300</xdr:rowOff>
    </xdr:to>
    <xdr:sp macro="" textlink="Sheet16!B6">
      <xdr:nvSpPr>
        <xdr:cNvPr id="9" name="Trapezoid 8">
          <a:extLst>
            <a:ext uri="{FF2B5EF4-FFF2-40B4-BE49-F238E27FC236}">
              <a16:creationId xmlns:a16="http://schemas.microsoft.com/office/drawing/2014/main" id="{910102FE-611D-45E3-8120-7D993470929C}"/>
            </a:ext>
          </a:extLst>
        </xdr:cNvPr>
        <xdr:cNvSpPr/>
      </xdr:nvSpPr>
      <xdr:spPr>
        <a:xfrm>
          <a:off x="428625" y="1304925"/>
          <a:ext cx="1228725" cy="333375"/>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24EEC1B4-CD75-4F2D-8DAD-DD7E77A712FB}" type="TxLink">
            <a:rPr lang="en-US" sz="1600" b="0" i="0" u="none" strike="noStrike">
              <a:solidFill>
                <a:srgbClr val="000000"/>
              </a:solidFill>
              <a:latin typeface="Bodoni MT" panose="02070603080606020203" pitchFamily="18" charset="0"/>
              <a:ea typeface="Calibri"/>
              <a:cs typeface="Calibri"/>
            </a:rPr>
            <a:pPr algn="ctr"/>
            <a:t>508415669</a:t>
          </a:fld>
          <a:endParaRPr lang="en-US" sz="1600" b="0">
            <a:latin typeface="Bodoni MT" panose="02070603080606020203" pitchFamily="18" charset="0"/>
          </a:endParaRPr>
        </a:p>
      </xdr:txBody>
    </xdr:sp>
    <xdr:clientData/>
  </xdr:twoCellAnchor>
  <xdr:twoCellAnchor>
    <xdr:from>
      <xdr:col>7</xdr:col>
      <xdr:colOff>333375</xdr:colOff>
      <xdr:row>6</xdr:row>
      <xdr:rowOff>142875</xdr:rowOff>
    </xdr:from>
    <xdr:to>
      <xdr:col>9</xdr:col>
      <xdr:colOff>342900</xdr:colOff>
      <xdr:row>8</xdr:row>
      <xdr:rowOff>114300</xdr:rowOff>
    </xdr:to>
    <xdr:sp macro="" textlink="Sheet16!B8">
      <xdr:nvSpPr>
        <xdr:cNvPr id="11" name="Trapezoid 10">
          <a:extLst>
            <a:ext uri="{FF2B5EF4-FFF2-40B4-BE49-F238E27FC236}">
              <a16:creationId xmlns:a16="http://schemas.microsoft.com/office/drawing/2014/main" id="{C2864F6D-8BB0-42F3-8549-910EFDAC6FF6}"/>
            </a:ext>
          </a:extLst>
        </xdr:cNvPr>
        <xdr:cNvSpPr/>
      </xdr:nvSpPr>
      <xdr:spPr>
        <a:xfrm>
          <a:off x="4600575" y="1285875"/>
          <a:ext cx="1228725" cy="352425"/>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B79C2466-CA75-4B49-AFE0-C168835DE96F}" type="TxLink">
            <a:rPr lang="en-US" sz="1600" b="0" i="0" u="none" strike="noStrike">
              <a:solidFill>
                <a:srgbClr val="000000"/>
              </a:solidFill>
              <a:latin typeface="Bodoni MT" panose="02070603080606020203" pitchFamily="18" charset="0"/>
              <a:ea typeface="Calibri"/>
              <a:cs typeface="Calibri"/>
            </a:rPr>
            <a:pPr algn="ctr"/>
            <a:t>629364667</a:t>
          </a:fld>
          <a:endParaRPr lang="en-US" sz="1600">
            <a:latin typeface="Bodoni MT" panose="02070603080606020203" pitchFamily="18" charset="0"/>
          </a:endParaRPr>
        </a:p>
      </xdr:txBody>
    </xdr:sp>
    <xdr:clientData/>
  </xdr:twoCellAnchor>
  <xdr:twoCellAnchor>
    <xdr:from>
      <xdr:col>11</xdr:col>
      <xdr:colOff>47625</xdr:colOff>
      <xdr:row>6</xdr:row>
      <xdr:rowOff>180975</xdr:rowOff>
    </xdr:from>
    <xdr:to>
      <xdr:col>13</xdr:col>
      <xdr:colOff>57150</xdr:colOff>
      <xdr:row>8</xdr:row>
      <xdr:rowOff>152400</xdr:rowOff>
    </xdr:to>
    <xdr:sp macro="" textlink="Sheet16!B11">
      <xdr:nvSpPr>
        <xdr:cNvPr id="13" name="Trapezoid 12">
          <a:extLst>
            <a:ext uri="{FF2B5EF4-FFF2-40B4-BE49-F238E27FC236}">
              <a16:creationId xmlns:a16="http://schemas.microsoft.com/office/drawing/2014/main" id="{97E8602C-0EA9-48CD-A253-90512879A79D}"/>
            </a:ext>
          </a:extLst>
        </xdr:cNvPr>
        <xdr:cNvSpPr/>
      </xdr:nvSpPr>
      <xdr:spPr>
        <a:xfrm>
          <a:off x="6753225" y="1323975"/>
          <a:ext cx="1228725" cy="352425"/>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0B97D1BE-6DD3-45E2-8578-4EBE7666975D}" type="TxLink">
            <a:rPr lang="en-US" sz="1600" b="0" i="0" u="none" strike="noStrike">
              <a:solidFill>
                <a:srgbClr val="000000"/>
              </a:solidFill>
              <a:latin typeface="Bodoni MT" panose="02070603080606020203" pitchFamily="18" charset="0"/>
              <a:ea typeface="Calibri"/>
              <a:cs typeface="Calibri"/>
            </a:rPr>
            <a:pPr algn="ctr"/>
            <a:t>2590600</a:t>
          </a:fld>
          <a:endParaRPr lang="en-US" sz="1600">
            <a:latin typeface="Bodoni MT" panose="02070603080606020203" pitchFamily="18" charset="0"/>
          </a:endParaRPr>
        </a:p>
      </xdr:txBody>
    </xdr:sp>
    <xdr:clientData/>
  </xdr:twoCellAnchor>
  <xdr:twoCellAnchor>
    <xdr:from>
      <xdr:col>14</xdr:col>
      <xdr:colOff>419100</xdr:colOff>
      <xdr:row>6</xdr:row>
      <xdr:rowOff>142875</xdr:rowOff>
    </xdr:from>
    <xdr:to>
      <xdr:col>16</xdr:col>
      <xdr:colOff>428625</xdr:colOff>
      <xdr:row>8</xdr:row>
      <xdr:rowOff>114300</xdr:rowOff>
    </xdr:to>
    <xdr:sp macro="" textlink="Sheet16!B9">
      <xdr:nvSpPr>
        <xdr:cNvPr id="21" name="Trapezoid 20">
          <a:extLst>
            <a:ext uri="{FF2B5EF4-FFF2-40B4-BE49-F238E27FC236}">
              <a16:creationId xmlns:a16="http://schemas.microsoft.com/office/drawing/2014/main" id="{9F23CDFE-C68E-40FF-9666-7CD4F8FD2889}"/>
            </a:ext>
          </a:extLst>
        </xdr:cNvPr>
        <xdr:cNvSpPr/>
      </xdr:nvSpPr>
      <xdr:spPr>
        <a:xfrm>
          <a:off x="8953500" y="1285875"/>
          <a:ext cx="1228725" cy="352425"/>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66236AED-19FB-4652-92B8-9B1C5BD247DB}" type="TxLink">
            <a:rPr lang="en-US" sz="1600" b="0" i="0" u="none" strike="noStrike">
              <a:solidFill>
                <a:srgbClr val="000000"/>
              </a:solidFill>
              <a:latin typeface="Bodoni MT" panose="02070603080606020203" pitchFamily="18" charset="0"/>
              <a:ea typeface="Calibri"/>
              <a:cs typeface="Calibri"/>
            </a:rPr>
            <a:pPr algn="ctr"/>
            <a:t>239.5847573</a:t>
          </a:fld>
          <a:endParaRPr lang="en-US" sz="1600">
            <a:latin typeface="Bodoni MT" panose="02070603080606020203" pitchFamily="18" charset="0"/>
          </a:endParaRPr>
        </a:p>
      </xdr:txBody>
    </xdr:sp>
    <xdr:clientData/>
  </xdr:twoCellAnchor>
  <xdr:twoCellAnchor>
    <xdr:from>
      <xdr:col>17</xdr:col>
      <xdr:colOff>190500</xdr:colOff>
      <xdr:row>3</xdr:row>
      <xdr:rowOff>114300</xdr:rowOff>
    </xdr:from>
    <xdr:to>
      <xdr:col>20</xdr:col>
      <xdr:colOff>381000</xdr:colOff>
      <xdr:row>7</xdr:row>
      <xdr:rowOff>104775</xdr:rowOff>
    </xdr:to>
    <xdr:sp macro="" textlink="Sheet1!A12">
      <xdr:nvSpPr>
        <xdr:cNvPr id="22" name="Oval 21">
          <a:extLst>
            <a:ext uri="{FF2B5EF4-FFF2-40B4-BE49-F238E27FC236}">
              <a16:creationId xmlns:a16="http://schemas.microsoft.com/office/drawing/2014/main" id="{1A627157-1EC6-48AC-9D7D-1EA80916E2C3}"/>
            </a:ext>
          </a:extLst>
        </xdr:cNvPr>
        <xdr:cNvSpPr/>
      </xdr:nvSpPr>
      <xdr:spPr>
        <a:xfrm>
          <a:off x="10553700" y="685800"/>
          <a:ext cx="2019300" cy="752475"/>
        </a:xfrm>
        <a:prstGeom prst="ellipse">
          <a:avLst/>
        </a:prstGeom>
        <a:solidFill>
          <a:schemeClr val="tx2">
            <a:lumMod val="20000"/>
            <a:lumOff val="8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02615F3-400D-4A4D-8171-8F43E8EEBAF7}" type="TxLink">
            <a:rPr lang="en-US" sz="1400" b="0" i="0" u="none" strike="noStrike">
              <a:solidFill>
                <a:srgbClr val="000000"/>
              </a:solidFill>
              <a:latin typeface="Berlin Sans FB" panose="020E0602020502020306" pitchFamily="34" charset="0"/>
              <a:ea typeface="Calibri"/>
              <a:cs typeface="Calibri"/>
            </a:rPr>
            <a:pPr algn="ctr"/>
            <a:t>Total Likes</a:t>
          </a:fld>
          <a:endParaRPr lang="en-US" sz="1400" b="0">
            <a:solidFill>
              <a:sysClr val="windowText" lastClr="000000"/>
            </a:solidFill>
            <a:latin typeface="Berlin Sans FB" panose="020E0602020502020306" pitchFamily="34" charset="0"/>
          </a:endParaRPr>
        </a:p>
      </xdr:txBody>
    </xdr:sp>
    <xdr:clientData/>
  </xdr:twoCellAnchor>
  <xdr:twoCellAnchor>
    <xdr:from>
      <xdr:col>17</xdr:col>
      <xdr:colOff>581025</xdr:colOff>
      <xdr:row>6</xdr:row>
      <xdr:rowOff>161925</xdr:rowOff>
    </xdr:from>
    <xdr:to>
      <xdr:col>19</xdr:col>
      <xdr:colOff>590550</xdr:colOff>
      <xdr:row>8</xdr:row>
      <xdr:rowOff>114300</xdr:rowOff>
    </xdr:to>
    <xdr:sp macro="" textlink="Sheet16!B10">
      <xdr:nvSpPr>
        <xdr:cNvPr id="23" name="Trapezoid 22">
          <a:extLst>
            <a:ext uri="{FF2B5EF4-FFF2-40B4-BE49-F238E27FC236}">
              <a16:creationId xmlns:a16="http://schemas.microsoft.com/office/drawing/2014/main" id="{A949E7C4-AC9E-4FF8-87B9-98EE67EC8C87}"/>
            </a:ext>
          </a:extLst>
        </xdr:cNvPr>
        <xdr:cNvSpPr/>
      </xdr:nvSpPr>
      <xdr:spPr>
        <a:xfrm>
          <a:off x="10944225" y="1304925"/>
          <a:ext cx="1228725" cy="333375"/>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00CC480B-2744-425E-B726-CEB10D12BB62}" type="TxLink">
            <a:rPr lang="en-US" sz="1600" b="0" i="0" u="none" strike="noStrike">
              <a:solidFill>
                <a:srgbClr val="000000"/>
              </a:solidFill>
              <a:latin typeface="Bodoni MT" panose="02070603080606020203" pitchFamily="18" charset="0"/>
              <a:ea typeface="Calibri"/>
              <a:cs typeface="Calibri"/>
            </a:rPr>
            <a:pPr algn="ctr"/>
            <a:t>31145731</a:t>
          </a:fld>
          <a:endParaRPr lang="en-US" sz="1600" b="0">
            <a:latin typeface="Bodoni MT" panose="02070603080606020203" pitchFamily="18" charset="0"/>
          </a:endParaRPr>
        </a:p>
      </xdr:txBody>
    </xdr:sp>
    <xdr:clientData/>
  </xdr:twoCellAnchor>
  <xdr:twoCellAnchor>
    <xdr:from>
      <xdr:col>3</xdr:col>
      <xdr:colOff>285750</xdr:colOff>
      <xdr:row>3</xdr:row>
      <xdr:rowOff>152400</xdr:rowOff>
    </xdr:from>
    <xdr:to>
      <xdr:col>6</xdr:col>
      <xdr:colOff>495300</xdr:colOff>
      <xdr:row>7</xdr:row>
      <xdr:rowOff>142875</xdr:rowOff>
    </xdr:to>
    <xdr:sp macro="" textlink="Sheet1!A8">
      <xdr:nvSpPr>
        <xdr:cNvPr id="24" name="Oval 23">
          <a:extLst>
            <a:ext uri="{FF2B5EF4-FFF2-40B4-BE49-F238E27FC236}">
              <a16:creationId xmlns:a16="http://schemas.microsoft.com/office/drawing/2014/main" id="{89922AD9-0C07-4585-931A-F6B9C6EE148A}"/>
            </a:ext>
          </a:extLst>
        </xdr:cNvPr>
        <xdr:cNvSpPr/>
      </xdr:nvSpPr>
      <xdr:spPr>
        <a:xfrm>
          <a:off x="2114550" y="723900"/>
          <a:ext cx="2038350" cy="752475"/>
        </a:xfrm>
        <a:prstGeom prst="ellipse">
          <a:avLst/>
        </a:prstGeom>
        <a:solidFill>
          <a:schemeClr val="accent1">
            <a:lumMod val="40000"/>
            <a:lumOff val="6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819F3FF-422F-43F6-80A8-0439532A3482}" type="TxLink">
            <a:rPr lang="en-US" sz="1400" b="0" i="0" u="none" strike="noStrike">
              <a:solidFill>
                <a:srgbClr val="000000"/>
              </a:solidFill>
              <a:latin typeface="Berlin Sans FB" panose="020E0602020502020306" pitchFamily="34" charset="0"/>
              <a:ea typeface="Calibri"/>
              <a:cs typeface="Calibri"/>
            </a:rPr>
            <a:pPr algn="ctr"/>
            <a:t>Total Followers</a:t>
          </a:fld>
          <a:endParaRPr lang="en-US" sz="1400" b="0">
            <a:solidFill>
              <a:schemeClr val="tx1"/>
            </a:solidFill>
            <a:latin typeface="Berlin Sans FB" panose="020E0602020502020306" pitchFamily="34" charset="0"/>
          </a:endParaRPr>
        </a:p>
      </xdr:txBody>
    </xdr:sp>
    <xdr:clientData/>
  </xdr:twoCellAnchor>
  <xdr:twoCellAnchor>
    <xdr:from>
      <xdr:col>4</xdr:col>
      <xdr:colOff>104775</xdr:colOff>
      <xdr:row>6</xdr:row>
      <xdr:rowOff>152400</xdr:rowOff>
    </xdr:from>
    <xdr:to>
      <xdr:col>6</xdr:col>
      <xdr:colOff>114300</xdr:colOff>
      <xdr:row>8</xdr:row>
      <xdr:rowOff>123825</xdr:rowOff>
    </xdr:to>
    <xdr:sp macro="" textlink="Sheet16!B7">
      <xdr:nvSpPr>
        <xdr:cNvPr id="25" name="Trapezoid 24">
          <a:extLst>
            <a:ext uri="{FF2B5EF4-FFF2-40B4-BE49-F238E27FC236}">
              <a16:creationId xmlns:a16="http://schemas.microsoft.com/office/drawing/2014/main" id="{B320433E-9B63-437F-A8E3-C63A0B3506BA}"/>
            </a:ext>
          </a:extLst>
        </xdr:cNvPr>
        <xdr:cNvSpPr/>
      </xdr:nvSpPr>
      <xdr:spPr>
        <a:xfrm>
          <a:off x="2543175" y="1295400"/>
          <a:ext cx="1228725" cy="352425"/>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5A9CF35F-5695-4095-B0C6-03C29D586532}" type="TxLink">
            <a:rPr lang="en-US" sz="1600" b="0" i="0" u="none" strike="noStrike">
              <a:solidFill>
                <a:srgbClr val="000000"/>
              </a:solidFill>
              <a:latin typeface="Bodoni MT" panose="02070603080606020203" pitchFamily="18" charset="0"/>
              <a:ea typeface="Calibri"/>
              <a:cs typeface="Calibri"/>
            </a:rPr>
            <a:pPr algn="ctr"/>
            <a:t>1269561208</a:t>
          </a:fld>
          <a:endParaRPr lang="en-US" sz="1600">
            <a:solidFill>
              <a:schemeClr val="tx1"/>
            </a:solidFill>
            <a:latin typeface="Bodoni MT" panose="02070603080606020203" pitchFamily="18" charset="0"/>
          </a:endParaRPr>
        </a:p>
      </xdr:txBody>
    </xdr:sp>
    <xdr:clientData/>
  </xdr:twoCellAnchor>
  <xdr:twoCellAnchor>
    <xdr:from>
      <xdr:col>6</xdr:col>
      <xdr:colOff>400051</xdr:colOff>
      <xdr:row>8</xdr:row>
      <xdr:rowOff>152400</xdr:rowOff>
    </xdr:from>
    <xdr:to>
      <xdr:col>13</xdr:col>
      <xdr:colOff>495300</xdr:colOff>
      <xdr:row>23</xdr:row>
      <xdr:rowOff>38100</xdr:rowOff>
    </xdr:to>
    <xdr:graphicFrame macro="">
      <xdr:nvGraphicFramePr>
        <xdr:cNvPr id="27" name="Chart 26">
          <a:extLst>
            <a:ext uri="{FF2B5EF4-FFF2-40B4-BE49-F238E27FC236}">
              <a16:creationId xmlns:a16="http://schemas.microsoft.com/office/drawing/2014/main" id="{8317B8E5-C929-4EF9-9D71-9BDACFF53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142875</xdr:rowOff>
    </xdr:from>
    <xdr:to>
      <xdr:col>6</xdr:col>
      <xdr:colOff>457200</xdr:colOff>
      <xdr:row>23</xdr:row>
      <xdr:rowOff>28575</xdr:rowOff>
    </xdr:to>
    <xdr:graphicFrame macro="">
      <xdr:nvGraphicFramePr>
        <xdr:cNvPr id="30" name="Chart 29">
          <a:extLst>
            <a:ext uri="{FF2B5EF4-FFF2-40B4-BE49-F238E27FC236}">
              <a16:creationId xmlns:a16="http://schemas.microsoft.com/office/drawing/2014/main" id="{ACF44810-BEEA-481D-B2BD-2972D6B9A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504825</xdr:colOff>
      <xdr:row>8</xdr:row>
      <xdr:rowOff>152400</xdr:rowOff>
    </xdr:from>
    <xdr:to>
      <xdr:col>20</xdr:col>
      <xdr:colOff>342900</xdr:colOff>
      <xdr:row>23</xdr:row>
      <xdr:rowOff>38100</xdr:rowOff>
    </xdr:to>
    <xdr:graphicFrame macro="">
      <xdr:nvGraphicFramePr>
        <xdr:cNvPr id="31" name="Chart 30">
          <a:extLst>
            <a:ext uri="{FF2B5EF4-FFF2-40B4-BE49-F238E27FC236}">
              <a16:creationId xmlns:a16="http://schemas.microsoft.com/office/drawing/2014/main" id="{97B22709-9DB1-4020-BE6F-74D04A37F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533399</xdr:colOff>
      <xdr:row>0</xdr:row>
      <xdr:rowOff>66675</xdr:rowOff>
    </xdr:from>
    <xdr:to>
      <xdr:col>20</xdr:col>
      <xdr:colOff>447674</xdr:colOff>
      <xdr:row>3</xdr:row>
      <xdr:rowOff>57149</xdr:rowOff>
    </xdr:to>
    <mc:AlternateContent xmlns:mc="http://schemas.openxmlformats.org/markup-compatibility/2006">
      <mc:Choice xmlns:a14="http://schemas.microsoft.com/office/drawing/2010/main" Requires="a14">
        <xdr:graphicFrame macro="">
          <xdr:nvGraphicFramePr>
            <xdr:cNvPr id="33" name="Platform 1">
              <a:extLst>
                <a:ext uri="{FF2B5EF4-FFF2-40B4-BE49-F238E27FC236}">
                  <a16:creationId xmlns:a16="http://schemas.microsoft.com/office/drawing/2014/main" id="{80C7D551-DBED-4BA3-8C86-060E3D77F24D}"/>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4770040" y="66675"/>
              <a:ext cx="7782322" cy="556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575469</xdr:colOff>
      <xdr:row>23</xdr:row>
      <xdr:rowOff>49610</xdr:rowOff>
    </xdr:from>
    <xdr:to>
      <xdr:col>7</xdr:col>
      <xdr:colOff>585390</xdr:colOff>
      <xdr:row>35</xdr:row>
      <xdr:rowOff>54372</xdr:rowOff>
    </xdr:to>
    <xdr:graphicFrame macro="">
      <xdr:nvGraphicFramePr>
        <xdr:cNvPr id="20" name="Chart 19">
          <a:extLst>
            <a:ext uri="{FF2B5EF4-FFF2-40B4-BE49-F238E27FC236}">
              <a16:creationId xmlns:a16="http://schemas.microsoft.com/office/drawing/2014/main" id="{DCC1025A-8B1A-41A5-8F55-CE6E9C4F1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3.886652893518" createdVersion="7" refreshedVersion="7" minRefreshableVersion="3" recordCount="3000" xr:uid="{36166563-5EF1-4E9E-BC19-838F78B85807}">
  <cacheSource type="worksheet">
    <worksheetSource ref="A1:P3001" sheet="Social Media Analytics"/>
  </cacheSource>
  <cacheFields count="16">
    <cacheField name="Post ID" numFmtId="0">
      <sharedItems count="3000">
        <s v="POST-10001"/>
        <s v="POST-10002"/>
        <s v="POST-10003"/>
        <s v="POST-10004"/>
        <s v="POST-10005"/>
        <s v="POST-10006"/>
        <s v="POST-10007"/>
        <s v="POST-10008"/>
        <s v="POST-10009"/>
        <s v="POST-10010"/>
        <s v="POST-10011"/>
        <s v="POST-10012"/>
        <s v="POST-10013"/>
        <s v="POST-10014"/>
        <s v="POST-10015"/>
        <s v="POST-10016"/>
        <s v="POST-10017"/>
        <s v="POST-10018"/>
        <s v="POST-10019"/>
        <s v="POST-10020"/>
        <s v="POST-10021"/>
        <s v="POST-10022"/>
        <s v="POST-10023"/>
        <s v="POST-10024"/>
        <s v="POST-10025"/>
        <s v="POST-10026"/>
        <s v="POST-10027"/>
        <s v="POST-10028"/>
        <s v="POST-10029"/>
        <s v="POST-10030"/>
        <s v="POST-10031"/>
        <s v="POST-10032"/>
        <s v="POST-10033"/>
        <s v="POST-10034"/>
        <s v="POST-10035"/>
        <s v="POST-10036"/>
        <s v="POST-10037"/>
        <s v="POST-10038"/>
        <s v="POST-10039"/>
        <s v="POST-10040"/>
        <s v="POST-10041"/>
        <s v="POST-10042"/>
        <s v="POST-10043"/>
        <s v="POST-10044"/>
        <s v="POST-10045"/>
        <s v="POST-10046"/>
        <s v="POST-10047"/>
        <s v="POST-10048"/>
        <s v="POST-10049"/>
        <s v="POST-10050"/>
        <s v="POST-10051"/>
        <s v="POST-10052"/>
        <s v="POST-10053"/>
        <s v="POST-10054"/>
        <s v="POST-10055"/>
        <s v="POST-10056"/>
        <s v="POST-10057"/>
        <s v="POST-10058"/>
        <s v="POST-10059"/>
        <s v="POST-10060"/>
        <s v="POST-10061"/>
        <s v="POST-10062"/>
        <s v="POST-10063"/>
        <s v="POST-10064"/>
        <s v="POST-10065"/>
        <s v="POST-10066"/>
        <s v="POST-10067"/>
        <s v="POST-10068"/>
        <s v="POST-10069"/>
        <s v="POST-10070"/>
        <s v="POST-10071"/>
        <s v="POST-10072"/>
        <s v="POST-10073"/>
        <s v="POST-10074"/>
        <s v="POST-10075"/>
        <s v="POST-10076"/>
        <s v="POST-10077"/>
        <s v="POST-10078"/>
        <s v="POST-10079"/>
        <s v="POST-10080"/>
        <s v="POST-10081"/>
        <s v="POST-10082"/>
        <s v="POST-10083"/>
        <s v="POST-10084"/>
        <s v="POST-10085"/>
        <s v="POST-10086"/>
        <s v="POST-10087"/>
        <s v="POST-10088"/>
        <s v="POST-10089"/>
        <s v="POST-10090"/>
        <s v="POST-10091"/>
        <s v="POST-10092"/>
        <s v="POST-10093"/>
        <s v="POST-10094"/>
        <s v="POST-10095"/>
        <s v="POST-10096"/>
        <s v="POST-10097"/>
        <s v="POST-10098"/>
        <s v="POST-10099"/>
        <s v="POST-10100"/>
        <s v="POST-10101"/>
        <s v="POST-10102"/>
        <s v="POST-10103"/>
        <s v="POST-10104"/>
        <s v="POST-10105"/>
        <s v="POST-10106"/>
        <s v="POST-10107"/>
        <s v="POST-10108"/>
        <s v="POST-10109"/>
        <s v="POST-10110"/>
        <s v="POST-10111"/>
        <s v="POST-10112"/>
        <s v="POST-10113"/>
        <s v="POST-10114"/>
        <s v="POST-10115"/>
        <s v="POST-10116"/>
        <s v="POST-10117"/>
        <s v="POST-10118"/>
        <s v="POST-10119"/>
        <s v="POST-10120"/>
        <s v="POST-10121"/>
        <s v="POST-10122"/>
        <s v="POST-10123"/>
        <s v="POST-10124"/>
        <s v="POST-10125"/>
        <s v="POST-10126"/>
        <s v="POST-10127"/>
        <s v="POST-10128"/>
        <s v="POST-10129"/>
        <s v="POST-10130"/>
        <s v="POST-10131"/>
        <s v="POST-10132"/>
        <s v="POST-10133"/>
        <s v="POST-10134"/>
        <s v="POST-10135"/>
        <s v="POST-10136"/>
        <s v="POST-10137"/>
        <s v="POST-10138"/>
        <s v="POST-10139"/>
        <s v="POST-10140"/>
        <s v="POST-10141"/>
        <s v="POST-10142"/>
        <s v="POST-10143"/>
        <s v="POST-10144"/>
        <s v="POST-10145"/>
        <s v="POST-10146"/>
        <s v="POST-10147"/>
        <s v="POST-10148"/>
        <s v="POST-10149"/>
        <s v="POST-10150"/>
        <s v="POST-10151"/>
        <s v="POST-10152"/>
        <s v="POST-10153"/>
        <s v="POST-10154"/>
        <s v="POST-10155"/>
        <s v="POST-10156"/>
        <s v="POST-10157"/>
        <s v="POST-10158"/>
        <s v="POST-10159"/>
        <s v="POST-10160"/>
        <s v="POST-10161"/>
        <s v="POST-10162"/>
        <s v="POST-10163"/>
        <s v="POST-10164"/>
        <s v="POST-10165"/>
        <s v="POST-10166"/>
        <s v="POST-10167"/>
        <s v="POST-10168"/>
        <s v="POST-10169"/>
        <s v="POST-10170"/>
        <s v="POST-10171"/>
        <s v="POST-10172"/>
        <s v="POST-10173"/>
        <s v="POST-10174"/>
        <s v="POST-10175"/>
        <s v="POST-10176"/>
        <s v="POST-10177"/>
        <s v="POST-10178"/>
        <s v="POST-10179"/>
        <s v="POST-10180"/>
        <s v="POST-10181"/>
        <s v="POST-10182"/>
        <s v="POST-10183"/>
        <s v="POST-10184"/>
        <s v="POST-10185"/>
        <s v="POST-10186"/>
        <s v="POST-10187"/>
        <s v="POST-10188"/>
        <s v="POST-10189"/>
        <s v="POST-10190"/>
        <s v="POST-10191"/>
        <s v="POST-10192"/>
        <s v="POST-10193"/>
        <s v="POST-10194"/>
        <s v="POST-10195"/>
        <s v="POST-10196"/>
        <s v="POST-10197"/>
        <s v="POST-10198"/>
        <s v="POST-10199"/>
        <s v="POST-10200"/>
        <s v="POST-10201"/>
        <s v="POST-10202"/>
        <s v="POST-10203"/>
        <s v="POST-10204"/>
        <s v="POST-10205"/>
        <s v="POST-10206"/>
        <s v="POST-10207"/>
        <s v="POST-10208"/>
        <s v="POST-10209"/>
        <s v="POST-10210"/>
        <s v="POST-10211"/>
        <s v="POST-10212"/>
        <s v="POST-10213"/>
        <s v="POST-10214"/>
        <s v="POST-10215"/>
        <s v="POST-10216"/>
        <s v="POST-10217"/>
        <s v="POST-10218"/>
        <s v="POST-10219"/>
        <s v="POST-10220"/>
        <s v="POST-10221"/>
        <s v="POST-10222"/>
        <s v="POST-10223"/>
        <s v="POST-10224"/>
        <s v="POST-10225"/>
        <s v="POST-10226"/>
        <s v="POST-10227"/>
        <s v="POST-10228"/>
        <s v="POST-10229"/>
        <s v="POST-10230"/>
        <s v="POST-10231"/>
        <s v="POST-10232"/>
        <s v="POST-10233"/>
        <s v="POST-10234"/>
        <s v="POST-10235"/>
        <s v="POST-10236"/>
        <s v="POST-10237"/>
        <s v="POST-10238"/>
        <s v="POST-10239"/>
        <s v="POST-10240"/>
        <s v="POST-10241"/>
        <s v="POST-10242"/>
        <s v="POST-10243"/>
        <s v="POST-10244"/>
        <s v="POST-10245"/>
        <s v="POST-10246"/>
        <s v="POST-10247"/>
        <s v="POST-10248"/>
        <s v="POST-10249"/>
        <s v="POST-10250"/>
        <s v="POST-10251"/>
        <s v="POST-10252"/>
        <s v="POST-10253"/>
        <s v="POST-10254"/>
        <s v="POST-10255"/>
        <s v="POST-10256"/>
        <s v="POST-10257"/>
        <s v="POST-10258"/>
        <s v="POST-10259"/>
        <s v="POST-10260"/>
        <s v="POST-10261"/>
        <s v="POST-10262"/>
        <s v="POST-10263"/>
        <s v="POST-10264"/>
        <s v="POST-10265"/>
        <s v="POST-10266"/>
        <s v="POST-10267"/>
        <s v="POST-10268"/>
        <s v="POST-10269"/>
        <s v="POST-10270"/>
        <s v="POST-10271"/>
        <s v="POST-10272"/>
        <s v="POST-10273"/>
        <s v="POST-10274"/>
        <s v="POST-10275"/>
        <s v="POST-10276"/>
        <s v="POST-10277"/>
        <s v="POST-10278"/>
        <s v="POST-10279"/>
        <s v="POST-10280"/>
        <s v="POST-10281"/>
        <s v="POST-10282"/>
        <s v="POST-10283"/>
        <s v="POST-10284"/>
        <s v="POST-10285"/>
        <s v="POST-10286"/>
        <s v="POST-10287"/>
        <s v="POST-10288"/>
        <s v="POST-10289"/>
        <s v="POST-10290"/>
        <s v="POST-10291"/>
        <s v="POST-10292"/>
        <s v="POST-10293"/>
        <s v="POST-10294"/>
        <s v="POST-10295"/>
        <s v="POST-10296"/>
        <s v="POST-10297"/>
        <s v="POST-10298"/>
        <s v="POST-10299"/>
        <s v="POST-10300"/>
        <s v="POST-10301"/>
        <s v="POST-10302"/>
        <s v="POST-10303"/>
        <s v="POST-10304"/>
        <s v="POST-10305"/>
        <s v="POST-10306"/>
        <s v="POST-10307"/>
        <s v="POST-10308"/>
        <s v="POST-10309"/>
        <s v="POST-10310"/>
        <s v="POST-10311"/>
        <s v="POST-10312"/>
        <s v="POST-10313"/>
        <s v="POST-10314"/>
        <s v="POST-10315"/>
        <s v="POST-10316"/>
        <s v="POST-10317"/>
        <s v="POST-10318"/>
        <s v="POST-10319"/>
        <s v="POST-10320"/>
        <s v="POST-10321"/>
        <s v="POST-10322"/>
        <s v="POST-10323"/>
        <s v="POST-10324"/>
        <s v="POST-10325"/>
        <s v="POST-10326"/>
        <s v="POST-10327"/>
        <s v="POST-10328"/>
        <s v="POST-10329"/>
        <s v="POST-10330"/>
        <s v="POST-10331"/>
        <s v="POST-10332"/>
        <s v="POST-10333"/>
        <s v="POST-10334"/>
        <s v="POST-10335"/>
        <s v="POST-10336"/>
        <s v="POST-10337"/>
        <s v="POST-10338"/>
        <s v="POST-10339"/>
        <s v="POST-10340"/>
        <s v="POST-10341"/>
        <s v="POST-10342"/>
        <s v="POST-10343"/>
        <s v="POST-10344"/>
        <s v="POST-10345"/>
        <s v="POST-10346"/>
        <s v="POST-10347"/>
        <s v="POST-10348"/>
        <s v="POST-10349"/>
        <s v="POST-10350"/>
        <s v="POST-10351"/>
        <s v="POST-10352"/>
        <s v="POST-10353"/>
        <s v="POST-10354"/>
        <s v="POST-10355"/>
        <s v="POST-10356"/>
        <s v="POST-10357"/>
        <s v="POST-10358"/>
        <s v="POST-10359"/>
        <s v="POST-10360"/>
        <s v="POST-10361"/>
        <s v="POST-10362"/>
        <s v="POST-10363"/>
        <s v="POST-10364"/>
        <s v="POST-10365"/>
        <s v="POST-10366"/>
        <s v="POST-10367"/>
        <s v="POST-10368"/>
        <s v="POST-10369"/>
        <s v="POST-10370"/>
        <s v="POST-10371"/>
        <s v="POST-10372"/>
        <s v="POST-10373"/>
        <s v="POST-10374"/>
        <s v="POST-10375"/>
        <s v="POST-10376"/>
        <s v="POST-10377"/>
        <s v="POST-10378"/>
        <s v="POST-10379"/>
        <s v="POST-10380"/>
        <s v="POST-10381"/>
        <s v="POST-10382"/>
        <s v="POST-10383"/>
        <s v="POST-10384"/>
        <s v="POST-10385"/>
        <s v="POST-10386"/>
        <s v="POST-10387"/>
        <s v="POST-10388"/>
        <s v="POST-10389"/>
        <s v="POST-10390"/>
        <s v="POST-10391"/>
        <s v="POST-10392"/>
        <s v="POST-10393"/>
        <s v="POST-10394"/>
        <s v="POST-10395"/>
        <s v="POST-10396"/>
        <s v="POST-10397"/>
        <s v="POST-10398"/>
        <s v="POST-10399"/>
        <s v="POST-10400"/>
        <s v="POST-10401"/>
        <s v="POST-10402"/>
        <s v="POST-10403"/>
        <s v="POST-10404"/>
        <s v="POST-10405"/>
        <s v="POST-10406"/>
        <s v="POST-10407"/>
        <s v="POST-10408"/>
        <s v="POST-10409"/>
        <s v="POST-10410"/>
        <s v="POST-10411"/>
        <s v="POST-10412"/>
        <s v="POST-10413"/>
        <s v="POST-10414"/>
        <s v="POST-10415"/>
        <s v="POST-10416"/>
        <s v="POST-10417"/>
        <s v="POST-10418"/>
        <s v="POST-10419"/>
        <s v="POST-10420"/>
        <s v="POST-10421"/>
        <s v="POST-10422"/>
        <s v="POST-10423"/>
        <s v="POST-10424"/>
        <s v="POST-10425"/>
        <s v="POST-10426"/>
        <s v="POST-10427"/>
        <s v="POST-10428"/>
        <s v="POST-10429"/>
        <s v="POST-10430"/>
        <s v="POST-10431"/>
        <s v="POST-10432"/>
        <s v="POST-10433"/>
        <s v="POST-10434"/>
        <s v="POST-10435"/>
        <s v="POST-10436"/>
        <s v="POST-10437"/>
        <s v="POST-10438"/>
        <s v="POST-10439"/>
        <s v="POST-10440"/>
        <s v="POST-10441"/>
        <s v="POST-10442"/>
        <s v="POST-10443"/>
        <s v="POST-10444"/>
        <s v="POST-10445"/>
        <s v="POST-10446"/>
        <s v="POST-10447"/>
        <s v="POST-10448"/>
        <s v="POST-10449"/>
        <s v="POST-10450"/>
        <s v="POST-10451"/>
        <s v="POST-10452"/>
        <s v="POST-10453"/>
        <s v="POST-10454"/>
        <s v="POST-10455"/>
        <s v="POST-10456"/>
        <s v="POST-10457"/>
        <s v="POST-10458"/>
        <s v="POST-10459"/>
        <s v="POST-10460"/>
        <s v="POST-10461"/>
        <s v="POST-10462"/>
        <s v="POST-10463"/>
        <s v="POST-10464"/>
        <s v="POST-10465"/>
        <s v="POST-10466"/>
        <s v="POST-10467"/>
        <s v="POST-10468"/>
        <s v="POST-10469"/>
        <s v="POST-10470"/>
        <s v="POST-10471"/>
        <s v="POST-10472"/>
        <s v="POST-10473"/>
        <s v="POST-10474"/>
        <s v="POST-10475"/>
        <s v="POST-10476"/>
        <s v="POST-10477"/>
        <s v="POST-10478"/>
        <s v="POST-10479"/>
        <s v="POST-10480"/>
        <s v="POST-10481"/>
        <s v="POST-10482"/>
        <s v="POST-10483"/>
        <s v="POST-10484"/>
        <s v="POST-10485"/>
        <s v="POST-10486"/>
        <s v="POST-10487"/>
        <s v="POST-10488"/>
        <s v="POST-10489"/>
        <s v="POST-10490"/>
        <s v="POST-10491"/>
        <s v="POST-10492"/>
        <s v="POST-10493"/>
        <s v="POST-10494"/>
        <s v="POST-10495"/>
        <s v="POST-10496"/>
        <s v="POST-10497"/>
        <s v="POST-10498"/>
        <s v="POST-10499"/>
        <s v="POST-10500"/>
        <s v="POST-10501"/>
        <s v="POST-10502"/>
        <s v="POST-10503"/>
        <s v="POST-10504"/>
        <s v="POST-10505"/>
        <s v="POST-10506"/>
        <s v="POST-10507"/>
        <s v="POST-10508"/>
        <s v="POST-10509"/>
        <s v="POST-10510"/>
        <s v="POST-10511"/>
        <s v="POST-10512"/>
        <s v="POST-10513"/>
        <s v="POST-10514"/>
        <s v="POST-10515"/>
        <s v="POST-10516"/>
        <s v="POST-10517"/>
        <s v="POST-10518"/>
        <s v="POST-10519"/>
        <s v="POST-10520"/>
        <s v="POST-10521"/>
        <s v="POST-10522"/>
        <s v="POST-10523"/>
        <s v="POST-10524"/>
        <s v="POST-10525"/>
        <s v="POST-10526"/>
        <s v="POST-10527"/>
        <s v="POST-10528"/>
        <s v="POST-10529"/>
        <s v="POST-10530"/>
        <s v="POST-10531"/>
        <s v="POST-10532"/>
        <s v="POST-10533"/>
        <s v="POST-10534"/>
        <s v="POST-10535"/>
        <s v="POST-10536"/>
        <s v="POST-10537"/>
        <s v="POST-10538"/>
        <s v="POST-10539"/>
        <s v="POST-10540"/>
        <s v="POST-10541"/>
        <s v="POST-10542"/>
        <s v="POST-10543"/>
        <s v="POST-10544"/>
        <s v="POST-10545"/>
        <s v="POST-10546"/>
        <s v="POST-10547"/>
        <s v="POST-10548"/>
        <s v="POST-10549"/>
        <s v="POST-10550"/>
        <s v="POST-10551"/>
        <s v="POST-10552"/>
        <s v="POST-10553"/>
        <s v="POST-10554"/>
        <s v="POST-10555"/>
        <s v="POST-10556"/>
        <s v="POST-10557"/>
        <s v="POST-10558"/>
        <s v="POST-10559"/>
        <s v="POST-10560"/>
        <s v="POST-10561"/>
        <s v="POST-10562"/>
        <s v="POST-10563"/>
        <s v="POST-10564"/>
        <s v="POST-10565"/>
        <s v="POST-10566"/>
        <s v="POST-10567"/>
        <s v="POST-10568"/>
        <s v="POST-10569"/>
        <s v="POST-10570"/>
        <s v="POST-10571"/>
        <s v="POST-10572"/>
        <s v="POST-10573"/>
        <s v="POST-10574"/>
        <s v="POST-10575"/>
        <s v="POST-10576"/>
        <s v="POST-10577"/>
        <s v="POST-10578"/>
        <s v="POST-10579"/>
        <s v="POST-10580"/>
        <s v="POST-10581"/>
        <s v="POST-10582"/>
        <s v="POST-10583"/>
        <s v="POST-10584"/>
        <s v="POST-10585"/>
        <s v="POST-10586"/>
        <s v="POST-10587"/>
        <s v="POST-10588"/>
        <s v="POST-10589"/>
        <s v="POST-10590"/>
        <s v="POST-10591"/>
        <s v="POST-10592"/>
        <s v="POST-10593"/>
        <s v="POST-10594"/>
        <s v="POST-10595"/>
        <s v="POST-10596"/>
        <s v="POST-10597"/>
        <s v="POST-10598"/>
        <s v="POST-10599"/>
        <s v="POST-10600"/>
        <s v="POST-10601"/>
        <s v="POST-10602"/>
        <s v="POST-10603"/>
        <s v="POST-10604"/>
        <s v="POST-10605"/>
        <s v="POST-10606"/>
        <s v="POST-10607"/>
        <s v="POST-10608"/>
        <s v="POST-10609"/>
        <s v="POST-10610"/>
        <s v="POST-10611"/>
        <s v="POST-10612"/>
        <s v="POST-10613"/>
        <s v="POST-10614"/>
        <s v="POST-10615"/>
        <s v="POST-10616"/>
        <s v="POST-10617"/>
        <s v="POST-10618"/>
        <s v="POST-10619"/>
        <s v="POST-10620"/>
        <s v="POST-10621"/>
        <s v="POST-10622"/>
        <s v="POST-10623"/>
        <s v="POST-10624"/>
        <s v="POST-10625"/>
        <s v="POST-10626"/>
        <s v="POST-10627"/>
        <s v="POST-10628"/>
        <s v="POST-10629"/>
        <s v="POST-10630"/>
        <s v="POST-10631"/>
        <s v="POST-10632"/>
        <s v="POST-10633"/>
        <s v="POST-10634"/>
        <s v="POST-10635"/>
        <s v="POST-10636"/>
        <s v="POST-10637"/>
        <s v="POST-10638"/>
        <s v="POST-10639"/>
        <s v="POST-10640"/>
        <s v="POST-10641"/>
        <s v="POST-10642"/>
        <s v="POST-10643"/>
        <s v="POST-10644"/>
        <s v="POST-10645"/>
        <s v="POST-10646"/>
        <s v="POST-10647"/>
        <s v="POST-10648"/>
        <s v="POST-10649"/>
        <s v="POST-10650"/>
        <s v="POST-10651"/>
        <s v="POST-10652"/>
        <s v="POST-10653"/>
        <s v="POST-10654"/>
        <s v="POST-10655"/>
        <s v="POST-10656"/>
        <s v="POST-10657"/>
        <s v="POST-10658"/>
        <s v="POST-10659"/>
        <s v="POST-10660"/>
        <s v="POST-10661"/>
        <s v="POST-10662"/>
        <s v="POST-10663"/>
        <s v="POST-10664"/>
        <s v="POST-10665"/>
        <s v="POST-10666"/>
        <s v="POST-10667"/>
        <s v="POST-10668"/>
        <s v="POST-10669"/>
        <s v="POST-10670"/>
        <s v="POST-10671"/>
        <s v="POST-10672"/>
        <s v="POST-10673"/>
        <s v="POST-10674"/>
        <s v="POST-10675"/>
        <s v="POST-10676"/>
        <s v="POST-10677"/>
        <s v="POST-10678"/>
        <s v="POST-10679"/>
        <s v="POST-10680"/>
        <s v="POST-10681"/>
        <s v="POST-10682"/>
        <s v="POST-10683"/>
        <s v="POST-10684"/>
        <s v="POST-10685"/>
        <s v="POST-10686"/>
        <s v="POST-10687"/>
        <s v="POST-10688"/>
        <s v="POST-10689"/>
        <s v="POST-10690"/>
        <s v="POST-10691"/>
        <s v="POST-10692"/>
        <s v="POST-10693"/>
        <s v="POST-10694"/>
        <s v="POST-10695"/>
        <s v="POST-10696"/>
        <s v="POST-10697"/>
        <s v="POST-10698"/>
        <s v="POST-10699"/>
        <s v="POST-10700"/>
        <s v="POST-10701"/>
        <s v="POST-10702"/>
        <s v="POST-10703"/>
        <s v="POST-10704"/>
        <s v="POST-10705"/>
        <s v="POST-10706"/>
        <s v="POST-10707"/>
        <s v="POST-10708"/>
        <s v="POST-10709"/>
        <s v="POST-10710"/>
        <s v="POST-10711"/>
        <s v="POST-10712"/>
        <s v="POST-10713"/>
        <s v="POST-10714"/>
        <s v="POST-10715"/>
        <s v="POST-10716"/>
        <s v="POST-10717"/>
        <s v="POST-10718"/>
        <s v="POST-10719"/>
        <s v="POST-10720"/>
        <s v="POST-10721"/>
        <s v="POST-10722"/>
        <s v="POST-10723"/>
        <s v="POST-10724"/>
        <s v="POST-10725"/>
        <s v="POST-10726"/>
        <s v="POST-10727"/>
        <s v="POST-10728"/>
        <s v="POST-10729"/>
        <s v="POST-10730"/>
        <s v="POST-10731"/>
        <s v="POST-10732"/>
        <s v="POST-10733"/>
        <s v="POST-10734"/>
        <s v="POST-10735"/>
        <s v="POST-10736"/>
        <s v="POST-10737"/>
        <s v="POST-10738"/>
        <s v="POST-10739"/>
        <s v="POST-10740"/>
        <s v="POST-10741"/>
        <s v="POST-10742"/>
        <s v="POST-10743"/>
        <s v="POST-10744"/>
        <s v="POST-10745"/>
        <s v="POST-10746"/>
        <s v="POST-10747"/>
        <s v="POST-10748"/>
        <s v="POST-10749"/>
        <s v="POST-10750"/>
        <s v="POST-10751"/>
        <s v="POST-10752"/>
        <s v="POST-10753"/>
        <s v="POST-10754"/>
        <s v="POST-10755"/>
        <s v="POST-10756"/>
        <s v="POST-10757"/>
        <s v="POST-10758"/>
        <s v="POST-10759"/>
        <s v="POST-10760"/>
        <s v="POST-10761"/>
        <s v="POST-10762"/>
        <s v="POST-10763"/>
        <s v="POST-10764"/>
        <s v="POST-10765"/>
        <s v="POST-10766"/>
        <s v="POST-10767"/>
        <s v="POST-10768"/>
        <s v="POST-10769"/>
        <s v="POST-10770"/>
        <s v="POST-10771"/>
        <s v="POST-10772"/>
        <s v="POST-10773"/>
        <s v="POST-10774"/>
        <s v="POST-10775"/>
        <s v="POST-10776"/>
        <s v="POST-10777"/>
        <s v="POST-10778"/>
        <s v="POST-10779"/>
        <s v="POST-10780"/>
        <s v="POST-10781"/>
        <s v="POST-10782"/>
        <s v="POST-10783"/>
        <s v="POST-10784"/>
        <s v="POST-10785"/>
        <s v="POST-10786"/>
        <s v="POST-10787"/>
        <s v="POST-10788"/>
        <s v="POST-10789"/>
        <s v="POST-10790"/>
        <s v="POST-10791"/>
        <s v="POST-10792"/>
        <s v="POST-10793"/>
        <s v="POST-10794"/>
        <s v="POST-10795"/>
        <s v="POST-10796"/>
        <s v="POST-10797"/>
        <s v="POST-10798"/>
        <s v="POST-10799"/>
        <s v="POST-10800"/>
        <s v="POST-10801"/>
        <s v="POST-10802"/>
        <s v="POST-10803"/>
        <s v="POST-10804"/>
        <s v="POST-10805"/>
        <s v="POST-10806"/>
        <s v="POST-10807"/>
        <s v="POST-10808"/>
        <s v="POST-10809"/>
        <s v="POST-10810"/>
        <s v="POST-10811"/>
        <s v="POST-10812"/>
        <s v="POST-10813"/>
        <s v="POST-10814"/>
        <s v="POST-10815"/>
        <s v="POST-10816"/>
        <s v="POST-10817"/>
        <s v="POST-10818"/>
        <s v="POST-10819"/>
        <s v="POST-10820"/>
        <s v="POST-10821"/>
        <s v="POST-10822"/>
        <s v="POST-10823"/>
        <s v="POST-10824"/>
        <s v="POST-10825"/>
        <s v="POST-10826"/>
        <s v="POST-10827"/>
        <s v="POST-10828"/>
        <s v="POST-10829"/>
        <s v="POST-10830"/>
        <s v="POST-10831"/>
        <s v="POST-10832"/>
        <s v="POST-10833"/>
        <s v="POST-10834"/>
        <s v="POST-10835"/>
        <s v="POST-10836"/>
        <s v="POST-10837"/>
        <s v="POST-10838"/>
        <s v="POST-10839"/>
        <s v="POST-10840"/>
        <s v="POST-10841"/>
        <s v="POST-10842"/>
        <s v="POST-10843"/>
        <s v="POST-10844"/>
        <s v="POST-10845"/>
        <s v="POST-10846"/>
        <s v="POST-10847"/>
        <s v="POST-10848"/>
        <s v="POST-10849"/>
        <s v="POST-10850"/>
        <s v="POST-10851"/>
        <s v="POST-10852"/>
        <s v="POST-10853"/>
        <s v="POST-10854"/>
        <s v="POST-10855"/>
        <s v="POST-10856"/>
        <s v="POST-10857"/>
        <s v="POST-10858"/>
        <s v="POST-10859"/>
        <s v="POST-10860"/>
        <s v="POST-10861"/>
        <s v="POST-10862"/>
        <s v="POST-10863"/>
        <s v="POST-10864"/>
        <s v="POST-10865"/>
        <s v="POST-10866"/>
        <s v="POST-10867"/>
        <s v="POST-10868"/>
        <s v="POST-10869"/>
        <s v="POST-10870"/>
        <s v="POST-10871"/>
        <s v="POST-10872"/>
        <s v="POST-10873"/>
        <s v="POST-10874"/>
        <s v="POST-10875"/>
        <s v="POST-10876"/>
        <s v="POST-10877"/>
        <s v="POST-10878"/>
        <s v="POST-10879"/>
        <s v="POST-10880"/>
        <s v="POST-10881"/>
        <s v="POST-10882"/>
        <s v="POST-10883"/>
        <s v="POST-10884"/>
        <s v="POST-10885"/>
        <s v="POST-10886"/>
        <s v="POST-10887"/>
        <s v="POST-10888"/>
        <s v="POST-10889"/>
        <s v="POST-10890"/>
        <s v="POST-10891"/>
        <s v="POST-10892"/>
        <s v="POST-10893"/>
        <s v="POST-10894"/>
        <s v="POST-10895"/>
        <s v="POST-10896"/>
        <s v="POST-10897"/>
        <s v="POST-10898"/>
        <s v="POST-10899"/>
        <s v="POST-10900"/>
        <s v="POST-10901"/>
        <s v="POST-10902"/>
        <s v="POST-10903"/>
        <s v="POST-10904"/>
        <s v="POST-10905"/>
        <s v="POST-10906"/>
        <s v="POST-10907"/>
        <s v="POST-10908"/>
        <s v="POST-10909"/>
        <s v="POST-10910"/>
        <s v="POST-10911"/>
        <s v="POST-10912"/>
        <s v="POST-10913"/>
        <s v="POST-10914"/>
        <s v="POST-10915"/>
        <s v="POST-10916"/>
        <s v="POST-10917"/>
        <s v="POST-10918"/>
        <s v="POST-10919"/>
        <s v="POST-10920"/>
        <s v="POST-10921"/>
        <s v="POST-10922"/>
        <s v="POST-10923"/>
        <s v="POST-10924"/>
        <s v="POST-10925"/>
        <s v="POST-10926"/>
        <s v="POST-10927"/>
        <s v="POST-10928"/>
        <s v="POST-10929"/>
        <s v="POST-10930"/>
        <s v="POST-10931"/>
        <s v="POST-10932"/>
        <s v="POST-10933"/>
        <s v="POST-10934"/>
        <s v="POST-10935"/>
        <s v="POST-10936"/>
        <s v="POST-10937"/>
        <s v="POST-10938"/>
        <s v="POST-10939"/>
        <s v="POST-10940"/>
        <s v="POST-10941"/>
        <s v="POST-10942"/>
        <s v="POST-10943"/>
        <s v="POST-10944"/>
        <s v="POST-10945"/>
        <s v="POST-10946"/>
        <s v="POST-10947"/>
        <s v="POST-10948"/>
        <s v="POST-10949"/>
        <s v="POST-10950"/>
        <s v="POST-10951"/>
        <s v="POST-10952"/>
        <s v="POST-10953"/>
        <s v="POST-10954"/>
        <s v="POST-10955"/>
        <s v="POST-10956"/>
        <s v="POST-10957"/>
        <s v="POST-10958"/>
        <s v="POST-10959"/>
        <s v="POST-10960"/>
        <s v="POST-10961"/>
        <s v="POST-10962"/>
        <s v="POST-10963"/>
        <s v="POST-10964"/>
        <s v="POST-10965"/>
        <s v="POST-10966"/>
        <s v="POST-10967"/>
        <s v="POST-10968"/>
        <s v="POST-10969"/>
        <s v="POST-10970"/>
        <s v="POST-10971"/>
        <s v="POST-10972"/>
        <s v="POST-10973"/>
        <s v="POST-10974"/>
        <s v="POST-10975"/>
        <s v="POST-10976"/>
        <s v="POST-10977"/>
        <s v="POST-10978"/>
        <s v="POST-10979"/>
        <s v="POST-10980"/>
        <s v="POST-10981"/>
        <s v="POST-10982"/>
        <s v="POST-10983"/>
        <s v="POST-10984"/>
        <s v="POST-10985"/>
        <s v="POST-10986"/>
        <s v="POST-10987"/>
        <s v="POST-10988"/>
        <s v="POST-10989"/>
        <s v="POST-10990"/>
        <s v="POST-10991"/>
        <s v="POST-10992"/>
        <s v="POST-10993"/>
        <s v="POST-10994"/>
        <s v="POST-10995"/>
        <s v="POST-10996"/>
        <s v="POST-10997"/>
        <s v="POST-10998"/>
        <s v="POST-10999"/>
        <s v="POST-11000"/>
        <s v="POST-11001"/>
        <s v="POST-11002"/>
        <s v="POST-11003"/>
        <s v="POST-11004"/>
        <s v="POST-11005"/>
        <s v="POST-11006"/>
        <s v="POST-11007"/>
        <s v="POST-11008"/>
        <s v="POST-11009"/>
        <s v="POST-11010"/>
        <s v="POST-11011"/>
        <s v="POST-11012"/>
        <s v="POST-11013"/>
        <s v="POST-11014"/>
        <s v="POST-11015"/>
        <s v="POST-11016"/>
        <s v="POST-11017"/>
        <s v="POST-11018"/>
        <s v="POST-11019"/>
        <s v="POST-11020"/>
        <s v="POST-11021"/>
        <s v="POST-11022"/>
        <s v="POST-11023"/>
        <s v="POST-11024"/>
        <s v="POST-11025"/>
        <s v="POST-11026"/>
        <s v="POST-11027"/>
        <s v="POST-11028"/>
        <s v="POST-11029"/>
        <s v="POST-11030"/>
        <s v="POST-11031"/>
        <s v="POST-11032"/>
        <s v="POST-11033"/>
        <s v="POST-11034"/>
        <s v="POST-11035"/>
        <s v="POST-11036"/>
        <s v="POST-11037"/>
        <s v="POST-11038"/>
        <s v="POST-11039"/>
        <s v="POST-11040"/>
        <s v="POST-11041"/>
        <s v="POST-11042"/>
        <s v="POST-11043"/>
        <s v="POST-11044"/>
        <s v="POST-11045"/>
        <s v="POST-11046"/>
        <s v="POST-11047"/>
        <s v="POST-11048"/>
        <s v="POST-11049"/>
        <s v="POST-11050"/>
        <s v="POST-11051"/>
        <s v="POST-11052"/>
        <s v="POST-11053"/>
        <s v="POST-11054"/>
        <s v="POST-11055"/>
        <s v="POST-11056"/>
        <s v="POST-11057"/>
        <s v="POST-11058"/>
        <s v="POST-11059"/>
        <s v="POST-11060"/>
        <s v="POST-11061"/>
        <s v="POST-11062"/>
        <s v="POST-11063"/>
        <s v="POST-11064"/>
        <s v="POST-11065"/>
        <s v="POST-11066"/>
        <s v="POST-11067"/>
        <s v="POST-11068"/>
        <s v="POST-11069"/>
        <s v="POST-11070"/>
        <s v="POST-11071"/>
        <s v="POST-11072"/>
        <s v="POST-11073"/>
        <s v="POST-11074"/>
        <s v="POST-11075"/>
        <s v="POST-11076"/>
        <s v="POST-11077"/>
        <s v="POST-11078"/>
        <s v="POST-11079"/>
        <s v="POST-11080"/>
        <s v="POST-11081"/>
        <s v="POST-11082"/>
        <s v="POST-11083"/>
        <s v="POST-11084"/>
        <s v="POST-11085"/>
        <s v="POST-11086"/>
        <s v="POST-11087"/>
        <s v="POST-11088"/>
        <s v="POST-11089"/>
        <s v="POST-11090"/>
        <s v="POST-11091"/>
        <s v="POST-11092"/>
        <s v="POST-11093"/>
        <s v="POST-11094"/>
        <s v="POST-11095"/>
        <s v="POST-11096"/>
        <s v="POST-11097"/>
        <s v="POST-11098"/>
        <s v="POST-11099"/>
        <s v="POST-11100"/>
        <s v="POST-11101"/>
        <s v="POST-11102"/>
        <s v="POST-11103"/>
        <s v="POST-11104"/>
        <s v="POST-11105"/>
        <s v="POST-11106"/>
        <s v="POST-11107"/>
        <s v="POST-11108"/>
        <s v="POST-11109"/>
        <s v="POST-11110"/>
        <s v="POST-11111"/>
        <s v="POST-11112"/>
        <s v="POST-11113"/>
        <s v="POST-11114"/>
        <s v="POST-11115"/>
        <s v="POST-11116"/>
        <s v="POST-11117"/>
        <s v="POST-11118"/>
        <s v="POST-11119"/>
        <s v="POST-11120"/>
        <s v="POST-11121"/>
        <s v="POST-11122"/>
        <s v="POST-11123"/>
        <s v="POST-11124"/>
        <s v="POST-11125"/>
        <s v="POST-11126"/>
        <s v="POST-11127"/>
        <s v="POST-11128"/>
        <s v="POST-11129"/>
        <s v="POST-11130"/>
        <s v="POST-11131"/>
        <s v="POST-11132"/>
        <s v="POST-11133"/>
        <s v="POST-11134"/>
        <s v="POST-11135"/>
        <s v="POST-11136"/>
        <s v="POST-11137"/>
        <s v="POST-11138"/>
        <s v="POST-11139"/>
        <s v="POST-11140"/>
        <s v="POST-11141"/>
        <s v="POST-11142"/>
        <s v="POST-11143"/>
        <s v="POST-11144"/>
        <s v="POST-11145"/>
        <s v="POST-11146"/>
        <s v="POST-11147"/>
        <s v="POST-11148"/>
        <s v="POST-11149"/>
        <s v="POST-11150"/>
        <s v="POST-11151"/>
        <s v="POST-11152"/>
        <s v="POST-11153"/>
        <s v="POST-11154"/>
        <s v="POST-11155"/>
        <s v="POST-11156"/>
        <s v="POST-11157"/>
        <s v="POST-11158"/>
        <s v="POST-11159"/>
        <s v="POST-11160"/>
        <s v="POST-11161"/>
        <s v="POST-11162"/>
        <s v="POST-11163"/>
        <s v="POST-11164"/>
        <s v="POST-11165"/>
        <s v="POST-11166"/>
        <s v="POST-11167"/>
        <s v="POST-11168"/>
        <s v="POST-11169"/>
        <s v="POST-11170"/>
        <s v="POST-11171"/>
        <s v="POST-11172"/>
        <s v="POST-11173"/>
        <s v="POST-11174"/>
        <s v="POST-11175"/>
        <s v="POST-11176"/>
        <s v="POST-11177"/>
        <s v="POST-11178"/>
        <s v="POST-11179"/>
        <s v="POST-11180"/>
        <s v="POST-11181"/>
        <s v="POST-11182"/>
        <s v="POST-11183"/>
        <s v="POST-11184"/>
        <s v="POST-11185"/>
        <s v="POST-11186"/>
        <s v="POST-11187"/>
        <s v="POST-11188"/>
        <s v="POST-11189"/>
        <s v="POST-11190"/>
        <s v="POST-11191"/>
        <s v="POST-11192"/>
        <s v="POST-11193"/>
        <s v="POST-11194"/>
        <s v="POST-11195"/>
        <s v="POST-11196"/>
        <s v="POST-11197"/>
        <s v="POST-11198"/>
        <s v="POST-11199"/>
        <s v="POST-11200"/>
        <s v="POST-11201"/>
        <s v="POST-11202"/>
        <s v="POST-11203"/>
        <s v="POST-11204"/>
        <s v="POST-11205"/>
        <s v="POST-11206"/>
        <s v="POST-11207"/>
        <s v="POST-11208"/>
        <s v="POST-11209"/>
        <s v="POST-11210"/>
        <s v="POST-11211"/>
        <s v="POST-11212"/>
        <s v="POST-11213"/>
        <s v="POST-11214"/>
        <s v="POST-11215"/>
        <s v="POST-11216"/>
        <s v="POST-11217"/>
        <s v="POST-11218"/>
        <s v="POST-11219"/>
        <s v="POST-11220"/>
        <s v="POST-11221"/>
        <s v="POST-11222"/>
        <s v="POST-11223"/>
        <s v="POST-11224"/>
        <s v="POST-11225"/>
        <s v="POST-11226"/>
        <s v="POST-11227"/>
        <s v="POST-11228"/>
        <s v="POST-11229"/>
        <s v="POST-11230"/>
        <s v="POST-11231"/>
        <s v="POST-11232"/>
        <s v="POST-11233"/>
        <s v="POST-11234"/>
        <s v="POST-11235"/>
        <s v="POST-11236"/>
        <s v="POST-11237"/>
        <s v="POST-11238"/>
        <s v="POST-11239"/>
        <s v="POST-11240"/>
        <s v="POST-11241"/>
        <s v="POST-11242"/>
        <s v="POST-11243"/>
        <s v="POST-11244"/>
        <s v="POST-11245"/>
        <s v="POST-11246"/>
        <s v="POST-11247"/>
        <s v="POST-11248"/>
        <s v="POST-11249"/>
        <s v="POST-11250"/>
        <s v="POST-11251"/>
        <s v="POST-11252"/>
        <s v="POST-11253"/>
        <s v="POST-11254"/>
        <s v="POST-11255"/>
        <s v="POST-11256"/>
        <s v="POST-11257"/>
        <s v="POST-11258"/>
        <s v="POST-11259"/>
        <s v="POST-11260"/>
        <s v="POST-11261"/>
        <s v="POST-11262"/>
        <s v="POST-11263"/>
        <s v="POST-11264"/>
        <s v="POST-11265"/>
        <s v="POST-11266"/>
        <s v="POST-11267"/>
        <s v="POST-11268"/>
        <s v="POST-11269"/>
        <s v="POST-11270"/>
        <s v="POST-11271"/>
        <s v="POST-11272"/>
        <s v="POST-11273"/>
        <s v="POST-11274"/>
        <s v="POST-11275"/>
        <s v="POST-11276"/>
        <s v="POST-11277"/>
        <s v="POST-11278"/>
        <s v="POST-11279"/>
        <s v="POST-11280"/>
        <s v="POST-11281"/>
        <s v="POST-11282"/>
        <s v="POST-11283"/>
        <s v="POST-11284"/>
        <s v="POST-11285"/>
        <s v="POST-11286"/>
        <s v="POST-11287"/>
        <s v="POST-11288"/>
        <s v="POST-11289"/>
        <s v="POST-11290"/>
        <s v="POST-11291"/>
        <s v="POST-11292"/>
        <s v="POST-11293"/>
        <s v="POST-11294"/>
        <s v="POST-11295"/>
        <s v="POST-11296"/>
        <s v="POST-11297"/>
        <s v="POST-11298"/>
        <s v="POST-11299"/>
        <s v="POST-11300"/>
        <s v="POST-11301"/>
        <s v="POST-11302"/>
        <s v="POST-11303"/>
        <s v="POST-11304"/>
        <s v="POST-11305"/>
        <s v="POST-11306"/>
        <s v="POST-11307"/>
        <s v="POST-11308"/>
        <s v="POST-11309"/>
        <s v="POST-11310"/>
        <s v="POST-11311"/>
        <s v="POST-11312"/>
        <s v="POST-11313"/>
        <s v="POST-11314"/>
        <s v="POST-11315"/>
        <s v="POST-11316"/>
        <s v="POST-11317"/>
        <s v="POST-11318"/>
        <s v="POST-11319"/>
        <s v="POST-11320"/>
        <s v="POST-11321"/>
        <s v="POST-11322"/>
        <s v="POST-11323"/>
        <s v="POST-11324"/>
        <s v="POST-11325"/>
        <s v="POST-11326"/>
        <s v="POST-11327"/>
        <s v="POST-11328"/>
        <s v="POST-11329"/>
        <s v="POST-11330"/>
        <s v="POST-11331"/>
        <s v="POST-11332"/>
        <s v="POST-11333"/>
        <s v="POST-11334"/>
        <s v="POST-11335"/>
        <s v="POST-11336"/>
        <s v="POST-11337"/>
        <s v="POST-11338"/>
        <s v="POST-11339"/>
        <s v="POST-11340"/>
        <s v="POST-11341"/>
        <s v="POST-11342"/>
        <s v="POST-11343"/>
        <s v="POST-11344"/>
        <s v="POST-11345"/>
        <s v="POST-11346"/>
        <s v="POST-11347"/>
        <s v="POST-11348"/>
        <s v="POST-11349"/>
        <s v="POST-11350"/>
        <s v="POST-11351"/>
        <s v="POST-11352"/>
        <s v="POST-11353"/>
        <s v="POST-11354"/>
        <s v="POST-11355"/>
        <s v="POST-11356"/>
        <s v="POST-11357"/>
        <s v="POST-11358"/>
        <s v="POST-11359"/>
        <s v="POST-11360"/>
        <s v="POST-11361"/>
        <s v="POST-11362"/>
        <s v="POST-11363"/>
        <s v="POST-11364"/>
        <s v="POST-11365"/>
        <s v="POST-11366"/>
        <s v="POST-11367"/>
        <s v="POST-11368"/>
        <s v="POST-11369"/>
        <s v="POST-11370"/>
        <s v="POST-11371"/>
        <s v="POST-11372"/>
        <s v="POST-11373"/>
        <s v="POST-11374"/>
        <s v="POST-11375"/>
        <s v="POST-11376"/>
        <s v="POST-11377"/>
        <s v="POST-11378"/>
        <s v="POST-11379"/>
        <s v="POST-11380"/>
        <s v="POST-11381"/>
        <s v="POST-11382"/>
        <s v="POST-11383"/>
        <s v="POST-11384"/>
        <s v="POST-11385"/>
        <s v="POST-11386"/>
        <s v="POST-11387"/>
        <s v="POST-11388"/>
        <s v="POST-11389"/>
        <s v="POST-11390"/>
        <s v="POST-11391"/>
        <s v="POST-11392"/>
        <s v="POST-11393"/>
        <s v="POST-11394"/>
        <s v="POST-11395"/>
        <s v="POST-11396"/>
        <s v="POST-11397"/>
        <s v="POST-11398"/>
        <s v="POST-11399"/>
        <s v="POST-11400"/>
        <s v="POST-11401"/>
        <s v="POST-11402"/>
        <s v="POST-11403"/>
        <s v="POST-11404"/>
        <s v="POST-11405"/>
        <s v="POST-11406"/>
        <s v="POST-11407"/>
        <s v="POST-11408"/>
        <s v="POST-11409"/>
        <s v="POST-11410"/>
        <s v="POST-11411"/>
        <s v="POST-11412"/>
        <s v="POST-11413"/>
        <s v="POST-11414"/>
        <s v="POST-11415"/>
        <s v="POST-11416"/>
        <s v="POST-11417"/>
        <s v="POST-11418"/>
        <s v="POST-11419"/>
        <s v="POST-11420"/>
        <s v="POST-11421"/>
        <s v="POST-11422"/>
        <s v="POST-11423"/>
        <s v="POST-11424"/>
        <s v="POST-11425"/>
        <s v="POST-11426"/>
        <s v="POST-11427"/>
        <s v="POST-11428"/>
        <s v="POST-11429"/>
        <s v="POST-11430"/>
        <s v="POST-11431"/>
        <s v="POST-11432"/>
        <s v="POST-11433"/>
        <s v="POST-11434"/>
        <s v="POST-11435"/>
        <s v="POST-11436"/>
        <s v="POST-11437"/>
        <s v="POST-11438"/>
        <s v="POST-11439"/>
        <s v="POST-11440"/>
        <s v="POST-11441"/>
        <s v="POST-11442"/>
        <s v="POST-11443"/>
        <s v="POST-11444"/>
        <s v="POST-11445"/>
        <s v="POST-11446"/>
        <s v="POST-11447"/>
        <s v="POST-11448"/>
        <s v="POST-11449"/>
        <s v="POST-11450"/>
        <s v="POST-11451"/>
        <s v="POST-11452"/>
        <s v="POST-11453"/>
        <s v="POST-11454"/>
        <s v="POST-11455"/>
        <s v="POST-11456"/>
        <s v="POST-11457"/>
        <s v="POST-11458"/>
        <s v="POST-11459"/>
        <s v="POST-11460"/>
        <s v="POST-11461"/>
        <s v="POST-11462"/>
        <s v="POST-11463"/>
        <s v="POST-11464"/>
        <s v="POST-11465"/>
        <s v="POST-11466"/>
        <s v="POST-11467"/>
        <s v="POST-11468"/>
        <s v="POST-11469"/>
        <s v="POST-11470"/>
        <s v="POST-11471"/>
        <s v="POST-11472"/>
        <s v="POST-11473"/>
        <s v="POST-11474"/>
        <s v="POST-11475"/>
        <s v="POST-11476"/>
        <s v="POST-11477"/>
        <s v="POST-11478"/>
        <s v="POST-11479"/>
        <s v="POST-11480"/>
        <s v="POST-11481"/>
        <s v="POST-11482"/>
        <s v="POST-11483"/>
        <s v="POST-11484"/>
        <s v="POST-11485"/>
        <s v="POST-11486"/>
        <s v="POST-11487"/>
        <s v="POST-11488"/>
        <s v="POST-11489"/>
        <s v="POST-11490"/>
        <s v="POST-11491"/>
        <s v="POST-11492"/>
        <s v="POST-11493"/>
        <s v="POST-11494"/>
        <s v="POST-11495"/>
        <s v="POST-11496"/>
        <s v="POST-11497"/>
        <s v="POST-11498"/>
        <s v="POST-11499"/>
        <s v="POST-11500"/>
        <s v="POST-11501"/>
        <s v="POST-11502"/>
        <s v="POST-11503"/>
        <s v="POST-11504"/>
        <s v="POST-11505"/>
        <s v="POST-11506"/>
        <s v="POST-11507"/>
        <s v="POST-11508"/>
        <s v="POST-11509"/>
        <s v="POST-11510"/>
        <s v="POST-11511"/>
        <s v="POST-11512"/>
        <s v="POST-11513"/>
        <s v="POST-11514"/>
        <s v="POST-11515"/>
        <s v="POST-11516"/>
        <s v="POST-11517"/>
        <s v="POST-11518"/>
        <s v="POST-11519"/>
        <s v="POST-11520"/>
        <s v="POST-11521"/>
        <s v="POST-11522"/>
        <s v="POST-11523"/>
        <s v="POST-11524"/>
        <s v="POST-11525"/>
        <s v="POST-11526"/>
        <s v="POST-11527"/>
        <s v="POST-11528"/>
        <s v="POST-11529"/>
        <s v="POST-11530"/>
        <s v="POST-11531"/>
        <s v="POST-11532"/>
        <s v="POST-11533"/>
        <s v="POST-11534"/>
        <s v="POST-11535"/>
        <s v="POST-11536"/>
        <s v="POST-11537"/>
        <s v="POST-11538"/>
        <s v="POST-11539"/>
        <s v="POST-11540"/>
        <s v="POST-11541"/>
        <s v="POST-11542"/>
        <s v="POST-11543"/>
        <s v="POST-11544"/>
        <s v="POST-11545"/>
        <s v="POST-11546"/>
        <s v="POST-11547"/>
        <s v="POST-11548"/>
        <s v="POST-11549"/>
        <s v="POST-11550"/>
        <s v="POST-11551"/>
        <s v="POST-11552"/>
        <s v="POST-11553"/>
        <s v="POST-11554"/>
        <s v="POST-11555"/>
        <s v="POST-11556"/>
        <s v="POST-11557"/>
        <s v="POST-11558"/>
        <s v="POST-11559"/>
        <s v="POST-11560"/>
        <s v="POST-11561"/>
        <s v="POST-11562"/>
        <s v="POST-11563"/>
        <s v="POST-11564"/>
        <s v="POST-11565"/>
        <s v="POST-11566"/>
        <s v="POST-11567"/>
        <s v="POST-11568"/>
        <s v="POST-11569"/>
        <s v="POST-11570"/>
        <s v="POST-11571"/>
        <s v="POST-11572"/>
        <s v="POST-11573"/>
        <s v="POST-11574"/>
        <s v="POST-11575"/>
        <s v="POST-11576"/>
        <s v="POST-11577"/>
        <s v="POST-11578"/>
        <s v="POST-11579"/>
        <s v="POST-11580"/>
        <s v="POST-11581"/>
        <s v="POST-11582"/>
        <s v="POST-11583"/>
        <s v="POST-11584"/>
        <s v="POST-11585"/>
        <s v="POST-11586"/>
        <s v="POST-11587"/>
        <s v="POST-11588"/>
        <s v="POST-11589"/>
        <s v="POST-11590"/>
        <s v="POST-11591"/>
        <s v="POST-11592"/>
        <s v="POST-11593"/>
        <s v="POST-11594"/>
        <s v="POST-11595"/>
        <s v="POST-11596"/>
        <s v="POST-11597"/>
        <s v="POST-11598"/>
        <s v="POST-11599"/>
        <s v="POST-11600"/>
        <s v="POST-11601"/>
        <s v="POST-11602"/>
        <s v="POST-11603"/>
        <s v="POST-11604"/>
        <s v="POST-11605"/>
        <s v="POST-11606"/>
        <s v="POST-11607"/>
        <s v="POST-11608"/>
        <s v="POST-11609"/>
        <s v="POST-11610"/>
        <s v="POST-11611"/>
        <s v="POST-11612"/>
        <s v="POST-11613"/>
        <s v="POST-11614"/>
        <s v="POST-11615"/>
        <s v="POST-11616"/>
        <s v="POST-11617"/>
        <s v="POST-11618"/>
        <s v="POST-11619"/>
        <s v="POST-11620"/>
        <s v="POST-11621"/>
        <s v="POST-11622"/>
        <s v="POST-11623"/>
        <s v="POST-11624"/>
        <s v="POST-11625"/>
        <s v="POST-11626"/>
        <s v="POST-11627"/>
        <s v="POST-11628"/>
        <s v="POST-11629"/>
        <s v="POST-11630"/>
        <s v="POST-11631"/>
        <s v="POST-11632"/>
        <s v="POST-11633"/>
        <s v="POST-11634"/>
        <s v="POST-11635"/>
        <s v="POST-11636"/>
        <s v="POST-11637"/>
        <s v="POST-11638"/>
        <s v="POST-11639"/>
        <s v="POST-11640"/>
        <s v="POST-11641"/>
        <s v="POST-11642"/>
        <s v="POST-11643"/>
        <s v="POST-11644"/>
        <s v="POST-11645"/>
        <s v="POST-11646"/>
        <s v="POST-11647"/>
        <s v="POST-11648"/>
        <s v="POST-11649"/>
        <s v="POST-11650"/>
        <s v="POST-11651"/>
        <s v="POST-11652"/>
        <s v="POST-11653"/>
        <s v="POST-11654"/>
        <s v="POST-11655"/>
        <s v="POST-11656"/>
        <s v="POST-11657"/>
        <s v="POST-11658"/>
        <s v="POST-11659"/>
        <s v="POST-11660"/>
        <s v="POST-11661"/>
        <s v="POST-11662"/>
        <s v="POST-11663"/>
        <s v="POST-11664"/>
        <s v="POST-11665"/>
        <s v="POST-11666"/>
        <s v="POST-11667"/>
        <s v="POST-11668"/>
        <s v="POST-11669"/>
        <s v="POST-11670"/>
        <s v="POST-11671"/>
        <s v="POST-11672"/>
        <s v="POST-11673"/>
        <s v="POST-11674"/>
        <s v="POST-11675"/>
        <s v="POST-11676"/>
        <s v="POST-11677"/>
        <s v="POST-11678"/>
        <s v="POST-11679"/>
        <s v="POST-11680"/>
        <s v="POST-11681"/>
        <s v="POST-11682"/>
        <s v="POST-11683"/>
        <s v="POST-11684"/>
        <s v="POST-11685"/>
        <s v="POST-11686"/>
        <s v="POST-11687"/>
        <s v="POST-11688"/>
        <s v="POST-11689"/>
        <s v="POST-11690"/>
        <s v="POST-11691"/>
        <s v="POST-11692"/>
        <s v="POST-11693"/>
        <s v="POST-11694"/>
        <s v="POST-11695"/>
        <s v="POST-11696"/>
        <s v="POST-11697"/>
        <s v="POST-11698"/>
        <s v="POST-11699"/>
        <s v="POST-11700"/>
        <s v="POST-11701"/>
        <s v="POST-11702"/>
        <s v="POST-11703"/>
        <s v="POST-11704"/>
        <s v="POST-11705"/>
        <s v="POST-11706"/>
        <s v="POST-11707"/>
        <s v="POST-11708"/>
        <s v="POST-11709"/>
        <s v="POST-11710"/>
        <s v="POST-11711"/>
        <s v="POST-11712"/>
        <s v="POST-11713"/>
        <s v="POST-11714"/>
        <s v="POST-11715"/>
        <s v="POST-11716"/>
        <s v="POST-11717"/>
        <s v="POST-11718"/>
        <s v="POST-11719"/>
        <s v="POST-11720"/>
        <s v="POST-11721"/>
        <s v="POST-11722"/>
        <s v="POST-11723"/>
        <s v="POST-11724"/>
        <s v="POST-11725"/>
        <s v="POST-11726"/>
        <s v="POST-11727"/>
        <s v="POST-11728"/>
        <s v="POST-11729"/>
        <s v="POST-11730"/>
        <s v="POST-11731"/>
        <s v="POST-11732"/>
        <s v="POST-11733"/>
        <s v="POST-11734"/>
        <s v="POST-11735"/>
        <s v="POST-11736"/>
        <s v="POST-11737"/>
        <s v="POST-11738"/>
        <s v="POST-11739"/>
        <s v="POST-11740"/>
        <s v="POST-11741"/>
        <s v="POST-11742"/>
        <s v="POST-11743"/>
        <s v="POST-11744"/>
        <s v="POST-11745"/>
        <s v="POST-11746"/>
        <s v="POST-11747"/>
        <s v="POST-11748"/>
        <s v="POST-11749"/>
        <s v="POST-11750"/>
        <s v="POST-11751"/>
        <s v="POST-11752"/>
        <s v="POST-11753"/>
        <s v="POST-11754"/>
        <s v="POST-11755"/>
        <s v="POST-11756"/>
        <s v="POST-11757"/>
        <s v="POST-11758"/>
        <s v="POST-11759"/>
        <s v="POST-11760"/>
        <s v="POST-11761"/>
        <s v="POST-11762"/>
        <s v="POST-11763"/>
        <s v="POST-11764"/>
        <s v="POST-11765"/>
        <s v="POST-11766"/>
        <s v="POST-11767"/>
        <s v="POST-11768"/>
        <s v="POST-11769"/>
        <s v="POST-11770"/>
        <s v="POST-11771"/>
        <s v="POST-11772"/>
        <s v="POST-11773"/>
        <s v="POST-11774"/>
        <s v="POST-11775"/>
        <s v="POST-11776"/>
        <s v="POST-11777"/>
        <s v="POST-11778"/>
        <s v="POST-11779"/>
        <s v="POST-11780"/>
        <s v="POST-11781"/>
        <s v="POST-11782"/>
        <s v="POST-11783"/>
        <s v="POST-11784"/>
        <s v="POST-11785"/>
        <s v="POST-11786"/>
        <s v="POST-11787"/>
        <s v="POST-11788"/>
        <s v="POST-11789"/>
        <s v="POST-11790"/>
        <s v="POST-11791"/>
        <s v="POST-11792"/>
        <s v="POST-11793"/>
        <s v="POST-11794"/>
        <s v="POST-11795"/>
        <s v="POST-11796"/>
        <s v="POST-11797"/>
        <s v="POST-11798"/>
        <s v="POST-11799"/>
        <s v="POST-11800"/>
        <s v="POST-11801"/>
        <s v="POST-11802"/>
        <s v="POST-11803"/>
        <s v="POST-11804"/>
        <s v="POST-11805"/>
        <s v="POST-11806"/>
        <s v="POST-11807"/>
        <s v="POST-11808"/>
        <s v="POST-11809"/>
        <s v="POST-11810"/>
        <s v="POST-11811"/>
        <s v="POST-11812"/>
        <s v="POST-11813"/>
        <s v="POST-11814"/>
        <s v="POST-11815"/>
        <s v="POST-11816"/>
        <s v="POST-11817"/>
        <s v="POST-11818"/>
        <s v="POST-11819"/>
        <s v="POST-11820"/>
        <s v="POST-11821"/>
        <s v="POST-11822"/>
        <s v="POST-11823"/>
        <s v="POST-11824"/>
        <s v="POST-11825"/>
        <s v="POST-11826"/>
        <s v="POST-11827"/>
        <s v="POST-11828"/>
        <s v="POST-11829"/>
        <s v="POST-11830"/>
        <s v="POST-11831"/>
        <s v="POST-11832"/>
        <s v="POST-11833"/>
        <s v="POST-11834"/>
        <s v="POST-11835"/>
        <s v="POST-11836"/>
        <s v="POST-11837"/>
        <s v="POST-11838"/>
        <s v="POST-11839"/>
        <s v="POST-11840"/>
        <s v="POST-11841"/>
        <s v="POST-11842"/>
        <s v="POST-11843"/>
        <s v="POST-11844"/>
        <s v="POST-11845"/>
        <s v="POST-11846"/>
        <s v="POST-11847"/>
        <s v="POST-11848"/>
        <s v="POST-11849"/>
        <s v="POST-11850"/>
        <s v="POST-11851"/>
        <s v="POST-11852"/>
        <s v="POST-11853"/>
        <s v="POST-11854"/>
        <s v="POST-11855"/>
        <s v="POST-11856"/>
        <s v="POST-11857"/>
        <s v="POST-11858"/>
        <s v="POST-11859"/>
        <s v="POST-11860"/>
        <s v="POST-11861"/>
        <s v="POST-11862"/>
        <s v="POST-11863"/>
        <s v="POST-11864"/>
        <s v="POST-11865"/>
        <s v="POST-11866"/>
        <s v="POST-11867"/>
        <s v="POST-11868"/>
        <s v="POST-11869"/>
        <s v="POST-11870"/>
        <s v="POST-11871"/>
        <s v="POST-11872"/>
        <s v="POST-11873"/>
        <s v="POST-11874"/>
        <s v="POST-11875"/>
        <s v="POST-11876"/>
        <s v="POST-11877"/>
        <s v="POST-11878"/>
        <s v="POST-11879"/>
        <s v="POST-11880"/>
        <s v="POST-11881"/>
        <s v="POST-11882"/>
        <s v="POST-11883"/>
        <s v="POST-11884"/>
        <s v="POST-11885"/>
        <s v="POST-11886"/>
        <s v="POST-11887"/>
        <s v="POST-11888"/>
        <s v="POST-11889"/>
        <s v="POST-11890"/>
        <s v="POST-11891"/>
        <s v="POST-11892"/>
        <s v="POST-11893"/>
        <s v="POST-11894"/>
        <s v="POST-11895"/>
        <s v="POST-11896"/>
        <s v="POST-11897"/>
        <s v="POST-11898"/>
        <s v="POST-11899"/>
        <s v="POST-11900"/>
        <s v="POST-11901"/>
        <s v="POST-11902"/>
        <s v="POST-11903"/>
        <s v="POST-11904"/>
        <s v="POST-11905"/>
        <s v="POST-11906"/>
        <s v="POST-11907"/>
        <s v="POST-11908"/>
        <s v="POST-11909"/>
        <s v="POST-11910"/>
        <s v="POST-11911"/>
        <s v="POST-11912"/>
        <s v="POST-11913"/>
        <s v="POST-11914"/>
        <s v="POST-11915"/>
        <s v="POST-11916"/>
        <s v="POST-11917"/>
        <s v="POST-11918"/>
        <s v="POST-11919"/>
        <s v="POST-11920"/>
        <s v="POST-11921"/>
        <s v="POST-11922"/>
        <s v="POST-11923"/>
        <s v="POST-11924"/>
        <s v="POST-11925"/>
        <s v="POST-11926"/>
        <s v="POST-11927"/>
        <s v="POST-11928"/>
        <s v="POST-11929"/>
        <s v="POST-11930"/>
        <s v="POST-11931"/>
        <s v="POST-11932"/>
        <s v="POST-11933"/>
        <s v="POST-11934"/>
        <s v="POST-11935"/>
        <s v="POST-11936"/>
        <s v="POST-11937"/>
        <s v="POST-11938"/>
        <s v="POST-11939"/>
        <s v="POST-11940"/>
        <s v="POST-11941"/>
        <s v="POST-11942"/>
        <s v="POST-11943"/>
        <s v="POST-11944"/>
        <s v="POST-11945"/>
        <s v="POST-11946"/>
        <s v="POST-11947"/>
        <s v="POST-11948"/>
        <s v="POST-11949"/>
        <s v="POST-11950"/>
        <s v="POST-11951"/>
        <s v="POST-11952"/>
        <s v="POST-11953"/>
        <s v="POST-11954"/>
        <s v="POST-11955"/>
        <s v="POST-11956"/>
        <s v="POST-11957"/>
        <s v="POST-11958"/>
        <s v="POST-11959"/>
        <s v="POST-11960"/>
        <s v="POST-11961"/>
        <s v="POST-11962"/>
        <s v="POST-11963"/>
        <s v="POST-11964"/>
        <s v="POST-11965"/>
        <s v="POST-11966"/>
        <s v="POST-11967"/>
        <s v="POST-11968"/>
        <s v="POST-11969"/>
        <s v="POST-11970"/>
        <s v="POST-11971"/>
        <s v="POST-11972"/>
        <s v="POST-11973"/>
        <s v="POST-11974"/>
        <s v="POST-11975"/>
        <s v="POST-11976"/>
        <s v="POST-11977"/>
        <s v="POST-11978"/>
        <s v="POST-11979"/>
        <s v="POST-11980"/>
        <s v="POST-11981"/>
        <s v="POST-11982"/>
        <s v="POST-11983"/>
        <s v="POST-11984"/>
        <s v="POST-11985"/>
        <s v="POST-11986"/>
        <s v="POST-11987"/>
        <s v="POST-11988"/>
        <s v="POST-11989"/>
        <s v="POST-11990"/>
        <s v="POST-11991"/>
        <s v="POST-11992"/>
        <s v="POST-11993"/>
        <s v="POST-11994"/>
        <s v="POST-11995"/>
        <s v="POST-11996"/>
        <s v="POST-11997"/>
        <s v="POST-11998"/>
        <s v="POST-11999"/>
        <s v="POST-12000"/>
        <s v="POST-12001"/>
        <s v="POST-12002"/>
        <s v="POST-12003"/>
        <s v="POST-12004"/>
        <s v="POST-12005"/>
        <s v="POST-12006"/>
        <s v="POST-12007"/>
        <s v="POST-12008"/>
        <s v="POST-12009"/>
        <s v="POST-12010"/>
        <s v="POST-12011"/>
        <s v="POST-12012"/>
        <s v="POST-12013"/>
        <s v="POST-12014"/>
        <s v="POST-12015"/>
        <s v="POST-12016"/>
        <s v="POST-12017"/>
        <s v="POST-12018"/>
        <s v="POST-12019"/>
        <s v="POST-12020"/>
        <s v="POST-12021"/>
        <s v="POST-12022"/>
        <s v="POST-12023"/>
        <s v="POST-12024"/>
        <s v="POST-12025"/>
        <s v="POST-12026"/>
        <s v="POST-12027"/>
        <s v="POST-12028"/>
        <s v="POST-12029"/>
        <s v="POST-12030"/>
        <s v="POST-12031"/>
        <s v="POST-12032"/>
        <s v="POST-12033"/>
        <s v="POST-12034"/>
        <s v="POST-12035"/>
        <s v="POST-12036"/>
        <s v="POST-12037"/>
        <s v="POST-12038"/>
        <s v="POST-12039"/>
        <s v="POST-12040"/>
        <s v="POST-12041"/>
        <s v="POST-12042"/>
        <s v="POST-12043"/>
        <s v="POST-12044"/>
        <s v="POST-12045"/>
        <s v="POST-12046"/>
        <s v="POST-12047"/>
        <s v="POST-12048"/>
        <s v="POST-12049"/>
        <s v="POST-12050"/>
        <s v="POST-12051"/>
        <s v="POST-12052"/>
        <s v="POST-12053"/>
        <s v="POST-12054"/>
        <s v="POST-12055"/>
        <s v="POST-12056"/>
        <s v="POST-12057"/>
        <s v="POST-12058"/>
        <s v="POST-12059"/>
        <s v="POST-12060"/>
        <s v="POST-12061"/>
        <s v="POST-12062"/>
        <s v="POST-12063"/>
        <s v="POST-12064"/>
        <s v="POST-12065"/>
        <s v="POST-12066"/>
        <s v="POST-12067"/>
        <s v="POST-12068"/>
        <s v="POST-12069"/>
        <s v="POST-12070"/>
        <s v="POST-12071"/>
        <s v="POST-12072"/>
        <s v="POST-12073"/>
        <s v="POST-12074"/>
        <s v="POST-12075"/>
        <s v="POST-12076"/>
        <s v="POST-12077"/>
        <s v="POST-12078"/>
        <s v="POST-12079"/>
        <s v="POST-12080"/>
        <s v="POST-12081"/>
        <s v="POST-12082"/>
        <s v="POST-12083"/>
        <s v="POST-12084"/>
        <s v="POST-12085"/>
        <s v="POST-12086"/>
        <s v="POST-12087"/>
        <s v="POST-12088"/>
        <s v="POST-12089"/>
        <s v="POST-12090"/>
        <s v="POST-12091"/>
        <s v="POST-12092"/>
        <s v="POST-12093"/>
        <s v="POST-12094"/>
        <s v="POST-12095"/>
        <s v="POST-12096"/>
        <s v="POST-12097"/>
        <s v="POST-12098"/>
        <s v="POST-12099"/>
        <s v="POST-12100"/>
        <s v="POST-12101"/>
        <s v="POST-12102"/>
        <s v="POST-12103"/>
        <s v="POST-12104"/>
        <s v="POST-12105"/>
        <s v="POST-12106"/>
        <s v="POST-12107"/>
        <s v="POST-12108"/>
        <s v="POST-12109"/>
        <s v="POST-12110"/>
        <s v="POST-12111"/>
        <s v="POST-12112"/>
        <s v="POST-12113"/>
        <s v="POST-12114"/>
        <s v="POST-12115"/>
        <s v="POST-12116"/>
        <s v="POST-12117"/>
        <s v="POST-12118"/>
        <s v="POST-12119"/>
        <s v="POST-12120"/>
        <s v="POST-12121"/>
        <s v="POST-12122"/>
        <s v="POST-12123"/>
        <s v="POST-12124"/>
        <s v="POST-12125"/>
        <s v="POST-12126"/>
        <s v="POST-12127"/>
        <s v="POST-12128"/>
        <s v="POST-12129"/>
        <s v="POST-12130"/>
        <s v="POST-12131"/>
        <s v="POST-12132"/>
        <s v="POST-12133"/>
        <s v="POST-12134"/>
        <s v="POST-12135"/>
        <s v="POST-12136"/>
        <s v="POST-12137"/>
        <s v="POST-12138"/>
        <s v="POST-12139"/>
        <s v="POST-12140"/>
        <s v="POST-12141"/>
        <s v="POST-12142"/>
        <s v="POST-12143"/>
        <s v="POST-12144"/>
        <s v="POST-12145"/>
        <s v="POST-12146"/>
        <s v="POST-12147"/>
        <s v="POST-12148"/>
        <s v="POST-12149"/>
        <s v="POST-12150"/>
        <s v="POST-12151"/>
        <s v="POST-12152"/>
        <s v="POST-12153"/>
        <s v="POST-12154"/>
        <s v="POST-12155"/>
        <s v="POST-12156"/>
        <s v="POST-12157"/>
        <s v="POST-12158"/>
        <s v="POST-12159"/>
        <s v="POST-12160"/>
        <s v="POST-12161"/>
        <s v="POST-12162"/>
        <s v="POST-12163"/>
        <s v="POST-12164"/>
        <s v="POST-12165"/>
        <s v="POST-12166"/>
        <s v="POST-12167"/>
        <s v="POST-12168"/>
        <s v="POST-12169"/>
        <s v="POST-12170"/>
        <s v="POST-12171"/>
        <s v="POST-12172"/>
        <s v="POST-12173"/>
        <s v="POST-12174"/>
        <s v="POST-12175"/>
        <s v="POST-12176"/>
        <s v="POST-12177"/>
        <s v="POST-12178"/>
        <s v="POST-12179"/>
        <s v="POST-12180"/>
        <s v="POST-12181"/>
        <s v="POST-12182"/>
        <s v="POST-12183"/>
        <s v="POST-12184"/>
        <s v="POST-12185"/>
        <s v="POST-12186"/>
        <s v="POST-12187"/>
        <s v="POST-12188"/>
        <s v="POST-12189"/>
        <s v="POST-12190"/>
        <s v="POST-12191"/>
        <s v="POST-12192"/>
        <s v="POST-12193"/>
        <s v="POST-12194"/>
        <s v="POST-12195"/>
        <s v="POST-12196"/>
        <s v="POST-12197"/>
        <s v="POST-12198"/>
        <s v="POST-12199"/>
        <s v="POST-12200"/>
        <s v="POST-12201"/>
        <s v="POST-12202"/>
        <s v="POST-12203"/>
        <s v="POST-12204"/>
        <s v="POST-12205"/>
        <s v="POST-12206"/>
        <s v="POST-12207"/>
        <s v="POST-12208"/>
        <s v="POST-12209"/>
        <s v="POST-12210"/>
        <s v="POST-12211"/>
        <s v="POST-12212"/>
        <s v="POST-12213"/>
        <s v="POST-12214"/>
        <s v="POST-12215"/>
        <s v="POST-12216"/>
        <s v="POST-12217"/>
        <s v="POST-12218"/>
        <s v="POST-12219"/>
        <s v="POST-12220"/>
        <s v="POST-12221"/>
        <s v="POST-12222"/>
        <s v="POST-12223"/>
        <s v="POST-12224"/>
        <s v="POST-12225"/>
        <s v="POST-12226"/>
        <s v="POST-12227"/>
        <s v="POST-12228"/>
        <s v="POST-12229"/>
        <s v="POST-12230"/>
        <s v="POST-12231"/>
        <s v="POST-12232"/>
        <s v="POST-12233"/>
        <s v="POST-12234"/>
        <s v="POST-12235"/>
        <s v="POST-12236"/>
        <s v="POST-12237"/>
        <s v="POST-12238"/>
        <s v="POST-12239"/>
        <s v="POST-12240"/>
        <s v="POST-12241"/>
        <s v="POST-12242"/>
        <s v="POST-12243"/>
        <s v="POST-12244"/>
        <s v="POST-12245"/>
        <s v="POST-12246"/>
        <s v="POST-12247"/>
        <s v="POST-12248"/>
        <s v="POST-12249"/>
        <s v="POST-12250"/>
        <s v="POST-12251"/>
        <s v="POST-12252"/>
        <s v="POST-12253"/>
        <s v="POST-12254"/>
        <s v="POST-12255"/>
        <s v="POST-12256"/>
        <s v="POST-12257"/>
        <s v="POST-12258"/>
        <s v="POST-12259"/>
        <s v="POST-12260"/>
        <s v="POST-12261"/>
        <s v="POST-12262"/>
        <s v="POST-12263"/>
        <s v="POST-12264"/>
        <s v="POST-12265"/>
        <s v="POST-12266"/>
        <s v="POST-12267"/>
        <s v="POST-12268"/>
        <s v="POST-12269"/>
        <s v="POST-12270"/>
        <s v="POST-12271"/>
        <s v="POST-12272"/>
        <s v="POST-12273"/>
        <s v="POST-12274"/>
        <s v="POST-12275"/>
        <s v="POST-12276"/>
        <s v="POST-12277"/>
        <s v="POST-12278"/>
        <s v="POST-12279"/>
        <s v="POST-12280"/>
        <s v="POST-12281"/>
        <s v="POST-12282"/>
        <s v="POST-12283"/>
        <s v="POST-12284"/>
        <s v="POST-12285"/>
        <s v="POST-12286"/>
        <s v="POST-12287"/>
        <s v="POST-12288"/>
        <s v="POST-12289"/>
        <s v="POST-12290"/>
        <s v="POST-12291"/>
        <s v="POST-12292"/>
        <s v="POST-12293"/>
        <s v="POST-12294"/>
        <s v="POST-12295"/>
        <s v="POST-12296"/>
        <s v="POST-12297"/>
        <s v="POST-12298"/>
        <s v="POST-12299"/>
        <s v="POST-12300"/>
        <s v="POST-12301"/>
        <s v="POST-12302"/>
        <s v="POST-12303"/>
        <s v="POST-12304"/>
        <s v="POST-12305"/>
        <s v="POST-12306"/>
        <s v="POST-12307"/>
        <s v="POST-12308"/>
        <s v="POST-12309"/>
        <s v="POST-12310"/>
        <s v="POST-12311"/>
        <s v="POST-12312"/>
        <s v="POST-12313"/>
        <s v="POST-12314"/>
        <s v="POST-12315"/>
        <s v="POST-12316"/>
        <s v="POST-12317"/>
        <s v="POST-12318"/>
        <s v="POST-12319"/>
        <s v="POST-12320"/>
        <s v="POST-12321"/>
        <s v="POST-12322"/>
        <s v="POST-12323"/>
        <s v="POST-12324"/>
        <s v="POST-12325"/>
        <s v="POST-12326"/>
        <s v="POST-12327"/>
        <s v="POST-12328"/>
        <s v="POST-12329"/>
        <s v="POST-12330"/>
        <s v="POST-12331"/>
        <s v="POST-12332"/>
        <s v="POST-12333"/>
        <s v="POST-12334"/>
        <s v="POST-12335"/>
        <s v="POST-12336"/>
        <s v="POST-12337"/>
        <s v="POST-12338"/>
        <s v="POST-12339"/>
        <s v="POST-12340"/>
        <s v="POST-12341"/>
        <s v="POST-12342"/>
        <s v="POST-12343"/>
        <s v="POST-12344"/>
        <s v="POST-12345"/>
        <s v="POST-12346"/>
        <s v="POST-12347"/>
        <s v="POST-12348"/>
        <s v="POST-12349"/>
        <s v="POST-12350"/>
        <s v="POST-12351"/>
        <s v="POST-12352"/>
        <s v="POST-12353"/>
        <s v="POST-12354"/>
        <s v="POST-12355"/>
        <s v="POST-12356"/>
        <s v="POST-12357"/>
        <s v="POST-12358"/>
        <s v="POST-12359"/>
        <s v="POST-12360"/>
        <s v="POST-12361"/>
        <s v="POST-12362"/>
        <s v="POST-12363"/>
        <s v="POST-12364"/>
        <s v="POST-12365"/>
        <s v="POST-12366"/>
        <s v="POST-12367"/>
        <s v="POST-12368"/>
        <s v="POST-12369"/>
        <s v="POST-12370"/>
        <s v="POST-12371"/>
        <s v="POST-12372"/>
        <s v="POST-12373"/>
        <s v="POST-12374"/>
        <s v="POST-12375"/>
        <s v="POST-12376"/>
        <s v="POST-12377"/>
        <s v="POST-12378"/>
        <s v="POST-12379"/>
        <s v="POST-12380"/>
        <s v="POST-12381"/>
        <s v="POST-12382"/>
        <s v="POST-12383"/>
        <s v="POST-12384"/>
        <s v="POST-12385"/>
        <s v="POST-12386"/>
        <s v="POST-12387"/>
        <s v="POST-12388"/>
        <s v="POST-12389"/>
        <s v="POST-12390"/>
        <s v="POST-12391"/>
        <s v="POST-12392"/>
        <s v="POST-12393"/>
        <s v="POST-12394"/>
        <s v="POST-12395"/>
        <s v="POST-12396"/>
        <s v="POST-12397"/>
        <s v="POST-12398"/>
        <s v="POST-12399"/>
        <s v="POST-12400"/>
        <s v="POST-12401"/>
        <s v="POST-12402"/>
        <s v="POST-12403"/>
        <s v="POST-12404"/>
        <s v="POST-12405"/>
        <s v="POST-12406"/>
        <s v="POST-12407"/>
        <s v="POST-12408"/>
        <s v="POST-12409"/>
        <s v="POST-12410"/>
        <s v="POST-12411"/>
        <s v="POST-12412"/>
        <s v="POST-12413"/>
        <s v="POST-12414"/>
        <s v="POST-12415"/>
        <s v="POST-12416"/>
        <s v="POST-12417"/>
        <s v="POST-12418"/>
        <s v="POST-12419"/>
        <s v="POST-12420"/>
        <s v="POST-12421"/>
        <s v="POST-12422"/>
        <s v="POST-12423"/>
        <s v="POST-12424"/>
        <s v="POST-12425"/>
        <s v="POST-12426"/>
        <s v="POST-12427"/>
        <s v="POST-12428"/>
        <s v="POST-12429"/>
        <s v="POST-12430"/>
        <s v="POST-12431"/>
        <s v="POST-12432"/>
        <s v="POST-12433"/>
        <s v="POST-12434"/>
        <s v="POST-12435"/>
        <s v="POST-12436"/>
        <s v="POST-12437"/>
        <s v="POST-12438"/>
        <s v="POST-12439"/>
        <s v="POST-12440"/>
        <s v="POST-12441"/>
        <s v="POST-12442"/>
        <s v="POST-12443"/>
        <s v="POST-12444"/>
        <s v="POST-12445"/>
        <s v="POST-12446"/>
        <s v="POST-12447"/>
        <s v="POST-12448"/>
        <s v="POST-12449"/>
        <s v="POST-12450"/>
        <s v="POST-12451"/>
        <s v="POST-12452"/>
        <s v="POST-12453"/>
        <s v="POST-12454"/>
        <s v="POST-12455"/>
        <s v="POST-12456"/>
        <s v="POST-12457"/>
        <s v="POST-12458"/>
        <s v="POST-12459"/>
        <s v="POST-12460"/>
        <s v="POST-12461"/>
        <s v="POST-12462"/>
        <s v="POST-12463"/>
        <s v="POST-12464"/>
        <s v="POST-12465"/>
        <s v="POST-12466"/>
        <s v="POST-12467"/>
        <s v="POST-12468"/>
        <s v="POST-12469"/>
        <s v="POST-12470"/>
        <s v="POST-12471"/>
        <s v="POST-12472"/>
        <s v="POST-12473"/>
        <s v="POST-12474"/>
        <s v="POST-12475"/>
        <s v="POST-12476"/>
        <s v="POST-12477"/>
        <s v="POST-12478"/>
        <s v="POST-12479"/>
        <s v="POST-12480"/>
        <s v="POST-12481"/>
        <s v="POST-12482"/>
        <s v="POST-12483"/>
        <s v="POST-12484"/>
        <s v="POST-12485"/>
        <s v="POST-12486"/>
        <s v="POST-12487"/>
        <s v="POST-12488"/>
        <s v="POST-12489"/>
        <s v="POST-12490"/>
        <s v="POST-12491"/>
        <s v="POST-12492"/>
        <s v="POST-12493"/>
        <s v="POST-12494"/>
        <s v="POST-12495"/>
        <s v="POST-12496"/>
        <s v="POST-12497"/>
        <s v="POST-12498"/>
        <s v="POST-12499"/>
        <s v="POST-12500"/>
        <s v="POST-12501"/>
        <s v="POST-12502"/>
        <s v="POST-12503"/>
        <s v="POST-12504"/>
        <s v="POST-12505"/>
        <s v="POST-12506"/>
        <s v="POST-12507"/>
        <s v="POST-12508"/>
        <s v="POST-12509"/>
        <s v="POST-12510"/>
        <s v="POST-12511"/>
        <s v="POST-12512"/>
        <s v="POST-12513"/>
        <s v="POST-12514"/>
        <s v="POST-12515"/>
        <s v="POST-12516"/>
        <s v="POST-12517"/>
        <s v="POST-12518"/>
        <s v="POST-12519"/>
        <s v="POST-12520"/>
        <s v="POST-12521"/>
        <s v="POST-12522"/>
        <s v="POST-12523"/>
        <s v="POST-12524"/>
        <s v="POST-12525"/>
        <s v="POST-12526"/>
        <s v="POST-12527"/>
        <s v="POST-12528"/>
        <s v="POST-12529"/>
        <s v="POST-12530"/>
        <s v="POST-12531"/>
        <s v="POST-12532"/>
        <s v="POST-12533"/>
        <s v="POST-12534"/>
        <s v="POST-12535"/>
        <s v="POST-12536"/>
        <s v="POST-12537"/>
        <s v="POST-12538"/>
        <s v="POST-12539"/>
        <s v="POST-12540"/>
        <s v="POST-12541"/>
        <s v="POST-12542"/>
        <s v="POST-12543"/>
        <s v="POST-12544"/>
        <s v="POST-12545"/>
        <s v="POST-12546"/>
        <s v="POST-12547"/>
        <s v="POST-12548"/>
        <s v="POST-12549"/>
        <s v="POST-12550"/>
        <s v="POST-12551"/>
        <s v="POST-12552"/>
        <s v="POST-12553"/>
        <s v="POST-12554"/>
        <s v="POST-12555"/>
        <s v="POST-12556"/>
        <s v="POST-12557"/>
        <s v="POST-12558"/>
        <s v="POST-12559"/>
        <s v="POST-12560"/>
        <s v="POST-12561"/>
        <s v="POST-12562"/>
        <s v="POST-12563"/>
        <s v="POST-12564"/>
        <s v="POST-12565"/>
        <s v="POST-12566"/>
        <s v="POST-12567"/>
        <s v="POST-12568"/>
        <s v="POST-12569"/>
        <s v="POST-12570"/>
        <s v="POST-12571"/>
        <s v="POST-12572"/>
        <s v="POST-12573"/>
        <s v="POST-12574"/>
        <s v="POST-12575"/>
        <s v="POST-12576"/>
        <s v="POST-12577"/>
        <s v="POST-12578"/>
        <s v="POST-12579"/>
        <s v="POST-12580"/>
        <s v="POST-12581"/>
        <s v="POST-12582"/>
        <s v="POST-12583"/>
        <s v="POST-12584"/>
        <s v="POST-12585"/>
        <s v="POST-12586"/>
        <s v="POST-12587"/>
        <s v="POST-12588"/>
        <s v="POST-12589"/>
        <s v="POST-12590"/>
        <s v="POST-12591"/>
        <s v="POST-12592"/>
        <s v="POST-12593"/>
        <s v="POST-12594"/>
        <s v="POST-12595"/>
        <s v="POST-12596"/>
        <s v="POST-12597"/>
        <s v="POST-12598"/>
        <s v="POST-12599"/>
        <s v="POST-12600"/>
        <s v="POST-12601"/>
        <s v="POST-12602"/>
        <s v="POST-12603"/>
        <s v="POST-12604"/>
        <s v="POST-12605"/>
        <s v="POST-12606"/>
        <s v="POST-12607"/>
        <s v="POST-12608"/>
        <s v="POST-12609"/>
        <s v="POST-12610"/>
        <s v="POST-12611"/>
        <s v="POST-12612"/>
        <s v="POST-12613"/>
        <s v="POST-12614"/>
        <s v="POST-12615"/>
        <s v="POST-12616"/>
        <s v="POST-12617"/>
        <s v="POST-12618"/>
        <s v="POST-12619"/>
        <s v="POST-12620"/>
        <s v="POST-12621"/>
        <s v="POST-12622"/>
        <s v="POST-12623"/>
        <s v="POST-12624"/>
        <s v="POST-12625"/>
        <s v="POST-12626"/>
        <s v="POST-12627"/>
        <s v="POST-12628"/>
        <s v="POST-12629"/>
        <s v="POST-12630"/>
        <s v="POST-12631"/>
        <s v="POST-12632"/>
        <s v="POST-12633"/>
        <s v="POST-12634"/>
        <s v="POST-12635"/>
        <s v="POST-12636"/>
        <s v="POST-12637"/>
        <s v="POST-12638"/>
        <s v="POST-12639"/>
        <s v="POST-12640"/>
        <s v="POST-12641"/>
        <s v="POST-12642"/>
        <s v="POST-12643"/>
        <s v="POST-12644"/>
        <s v="POST-12645"/>
        <s v="POST-12646"/>
        <s v="POST-12647"/>
        <s v="POST-12648"/>
        <s v="POST-12649"/>
        <s v="POST-12650"/>
        <s v="POST-12651"/>
        <s v="POST-12652"/>
        <s v="POST-12653"/>
        <s v="POST-12654"/>
        <s v="POST-12655"/>
        <s v="POST-12656"/>
        <s v="POST-12657"/>
        <s v="POST-12658"/>
        <s v="POST-12659"/>
        <s v="POST-12660"/>
        <s v="POST-12661"/>
        <s v="POST-12662"/>
        <s v="POST-12663"/>
        <s v="POST-12664"/>
        <s v="POST-12665"/>
        <s v="POST-12666"/>
        <s v="POST-12667"/>
        <s v="POST-12668"/>
        <s v="POST-12669"/>
        <s v="POST-12670"/>
        <s v="POST-12671"/>
        <s v="POST-12672"/>
        <s v="POST-12673"/>
        <s v="POST-12674"/>
        <s v="POST-12675"/>
        <s v="POST-12676"/>
        <s v="POST-12677"/>
        <s v="POST-12678"/>
        <s v="POST-12679"/>
        <s v="POST-12680"/>
        <s v="POST-12681"/>
        <s v="POST-12682"/>
        <s v="POST-12683"/>
        <s v="POST-12684"/>
        <s v="POST-12685"/>
        <s v="POST-12686"/>
        <s v="POST-12687"/>
        <s v="POST-12688"/>
        <s v="POST-12689"/>
        <s v="POST-12690"/>
        <s v="POST-12691"/>
        <s v="POST-12692"/>
        <s v="POST-12693"/>
        <s v="POST-12694"/>
        <s v="POST-12695"/>
        <s v="POST-12696"/>
        <s v="POST-12697"/>
        <s v="POST-12698"/>
        <s v="POST-12699"/>
        <s v="POST-12700"/>
        <s v="POST-12701"/>
        <s v="POST-12702"/>
        <s v="POST-12703"/>
        <s v="POST-12704"/>
        <s v="POST-12705"/>
        <s v="POST-12706"/>
        <s v="POST-12707"/>
        <s v="POST-12708"/>
        <s v="POST-12709"/>
        <s v="POST-12710"/>
        <s v="POST-12711"/>
        <s v="POST-12712"/>
        <s v="POST-12713"/>
        <s v="POST-12714"/>
        <s v="POST-12715"/>
        <s v="POST-12716"/>
        <s v="POST-12717"/>
        <s v="POST-12718"/>
        <s v="POST-12719"/>
        <s v="POST-12720"/>
        <s v="POST-12721"/>
        <s v="POST-12722"/>
        <s v="POST-12723"/>
        <s v="POST-12724"/>
        <s v="POST-12725"/>
        <s v="POST-12726"/>
        <s v="POST-12727"/>
        <s v="POST-12728"/>
        <s v="POST-12729"/>
        <s v="POST-12730"/>
        <s v="POST-12731"/>
        <s v="POST-12732"/>
        <s v="POST-12733"/>
        <s v="POST-12734"/>
        <s v="POST-12735"/>
        <s v="POST-12736"/>
        <s v="POST-12737"/>
        <s v="POST-12738"/>
        <s v="POST-12739"/>
        <s v="POST-12740"/>
        <s v="POST-12741"/>
        <s v="POST-12742"/>
        <s v="POST-12743"/>
        <s v="POST-12744"/>
        <s v="POST-12745"/>
        <s v="POST-12746"/>
        <s v="POST-12747"/>
        <s v="POST-12748"/>
        <s v="POST-12749"/>
        <s v="POST-12750"/>
        <s v="POST-12751"/>
        <s v="POST-12752"/>
        <s v="POST-12753"/>
        <s v="POST-12754"/>
        <s v="POST-12755"/>
        <s v="POST-12756"/>
        <s v="POST-12757"/>
        <s v="POST-12758"/>
        <s v="POST-12759"/>
        <s v="POST-12760"/>
        <s v="POST-12761"/>
        <s v="POST-12762"/>
        <s v="POST-12763"/>
        <s v="POST-12764"/>
        <s v="POST-12765"/>
        <s v="POST-12766"/>
        <s v="POST-12767"/>
        <s v="POST-12768"/>
        <s v="POST-12769"/>
        <s v="POST-12770"/>
        <s v="POST-12771"/>
        <s v="POST-12772"/>
        <s v="POST-12773"/>
        <s v="POST-12774"/>
        <s v="POST-12775"/>
        <s v="POST-12776"/>
        <s v="POST-12777"/>
        <s v="POST-12778"/>
        <s v="POST-12779"/>
        <s v="POST-12780"/>
        <s v="POST-12781"/>
        <s v="POST-12782"/>
        <s v="POST-12783"/>
        <s v="POST-12784"/>
        <s v="POST-12785"/>
        <s v="POST-12786"/>
        <s v="POST-12787"/>
        <s v="POST-12788"/>
        <s v="POST-12789"/>
        <s v="POST-12790"/>
        <s v="POST-12791"/>
        <s v="POST-12792"/>
        <s v="POST-12793"/>
        <s v="POST-12794"/>
        <s v="POST-12795"/>
        <s v="POST-12796"/>
        <s v="POST-12797"/>
        <s v="POST-12798"/>
        <s v="POST-12799"/>
        <s v="POST-12800"/>
        <s v="POST-12801"/>
        <s v="POST-12802"/>
        <s v="POST-12803"/>
        <s v="POST-12804"/>
        <s v="POST-12805"/>
        <s v="POST-12806"/>
        <s v="POST-12807"/>
        <s v="POST-12808"/>
        <s v="POST-12809"/>
        <s v="POST-12810"/>
        <s v="POST-12811"/>
        <s v="POST-12812"/>
        <s v="POST-12813"/>
        <s v="POST-12814"/>
        <s v="POST-12815"/>
        <s v="POST-12816"/>
        <s v="POST-12817"/>
        <s v="POST-12818"/>
        <s v="POST-12819"/>
        <s v="POST-12820"/>
        <s v="POST-12821"/>
        <s v="POST-12822"/>
        <s v="POST-12823"/>
        <s v="POST-12824"/>
        <s v="POST-12825"/>
        <s v="POST-12826"/>
        <s v="POST-12827"/>
        <s v="POST-12828"/>
        <s v="POST-12829"/>
        <s v="POST-12830"/>
        <s v="POST-12831"/>
        <s v="POST-12832"/>
        <s v="POST-12833"/>
        <s v="POST-12834"/>
        <s v="POST-12835"/>
        <s v="POST-12836"/>
        <s v="POST-12837"/>
        <s v="POST-12838"/>
        <s v="POST-12839"/>
        <s v="POST-12840"/>
        <s v="POST-12841"/>
        <s v="POST-12842"/>
        <s v="POST-12843"/>
        <s v="POST-12844"/>
        <s v="POST-12845"/>
        <s v="POST-12846"/>
        <s v="POST-12847"/>
        <s v="POST-12848"/>
        <s v="POST-12849"/>
        <s v="POST-12850"/>
        <s v="POST-12851"/>
        <s v="POST-12852"/>
        <s v="POST-12853"/>
        <s v="POST-12854"/>
        <s v="POST-12855"/>
        <s v="POST-12856"/>
        <s v="POST-12857"/>
        <s v="POST-12858"/>
        <s v="POST-12859"/>
        <s v="POST-12860"/>
        <s v="POST-12861"/>
        <s v="POST-12862"/>
        <s v="POST-12863"/>
        <s v="POST-12864"/>
        <s v="POST-12865"/>
        <s v="POST-12866"/>
        <s v="POST-12867"/>
        <s v="POST-12868"/>
        <s v="POST-12869"/>
        <s v="POST-12870"/>
        <s v="POST-12871"/>
        <s v="POST-12872"/>
        <s v="POST-12873"/>
        <s v="POST-12874"/>
        <s v="POST-12875"/>
        <s v="POST-12876"/>
        <s v="POST-12877"/>
        <s v="POST-12878"/>
        <s v="POST-12879"/>
        <s v="POST-12880"/>
        <s v="POST-12881"/>
        <s v="POST-12882"/>
        <s v="POST-12883"/>
        <s v="POST-12884"/>
        <s v="POST-12885"/>
        <s v="POST-12886"/>
        <s v="POST-12887"/>
        <s v="POST-12888"/>
        <s v="POST-12889"/>
        <s v="POST-12890"/>
        <s v="POST-12891"/>
        <s v="POST-12892"/>
        <s v="POST-12893"/>
        <s v="POST-12894"/>
        <s v="POST-12895"/>
        <s v="POST-12896"/>
        <s v="POST-12897"/>
        <s v="POST-12898"/>
        <s v="POST-12899"/>
        <s v="POST-12900"/>
        <s v="POST-12901"/>
        <s v="POST-12902"/>
        <s v="POST-12903"/>
        <s v="POST-12904"/>
        <s v="POST-12905"/>
        <s v="POST-12906"/>
        <s v="POST-12907"/>
        <s v="POST-12908"/>
        <s v="POST-12909"/>
        <s v="POST-12910"/>
        <s v="POST-12911"/>
        <s v="POST-12912"/>
        <s v="POST-12913"/>
        <s v="POST-12914"/>
        <s v="POST-12915"/>
        <s v="POST-12916"/>
        <s v="POST-12917"/>
        <s v="POST-12918"/>
        <s v="POST-12919"/>
        <s v="POST-12920"/>
        <s v="POST-12921"/>
        <s v="POST-12922"/>
        <s v="POST-12923"/>
        <s v="POST-12924"/>
        <s v="POST-12925"/>
        <s v="POST-12926"/>
        <s v="POST-12927"/>
        <s v="POST-12928"/>
        <s v="POST-12929"/>
        <s v="POST-12930"/>
        <s v="POST-12931"/>
        <s v="POST-12932"/>
        <s v="POST-12933"/>
        <s v="POST-12934"/>
        <s v="POST-12935"/>
        <s v="POST-12936"/>
        <s v="POST-12937"/>
        <s v="POST-12938"/>
        <s v="POST-12939"/>
        <s v="POST-12940"/>
        <s v="POST-12941"/>
        <s v="POST-12942"/>
        <s v="POST-12943"/>
        <s v="POST-12944"/>
        <s v="POST-12945"/>
        <s v="POST-12946"/>
        <s v="POST-12947"/>
        <s v="POST-12948"/>
        <s v="POST-12949"/>
        <s v="POST-12950"/>
        <s v="POST-12951"/>
        <s v="POST-12952"/>
        <s v="POST-12953"/>
        <s v="POST-12954"/>
        <s v="POST-12955"/>
        <s v="POST-12956"/>
        <s v="POST-12957"/>
        <s v="POST-12958"/>
        <s v="POST-12959"/>
        <s v="POST-12960"/>
        <s v="POST-12961"/>
        <s v="POST-12962"/>
        <s v="POST-12963"/>
        <s v="POST-12964"/>
        <s v="POST-12965"/>
        <s v="POST-12966"/>
        <s v="POST-12967"/>
        <s v="POST-12968"/>
        <s v="POST-12969"/>
        <s v="POST-12970"/>
        <s v="POST-12971"/>
        <s v="POST-12972"/>
        <s v="POST-12973"/>
        <s v="POST-12974"/>
        <s v="POST-12975"/>
        <s v="POST-12976"/>
        <s v="POST-12977"/>
        <s v="POST-12978"/>
        <s v="POST-12979"/>
        <s v="POST-12980"/>
        <s v="POST-12981"/>
        <s v="POST-12982"/>
        <s v="POST-12983"/>
        <s v="POST-12984"/>
        <s v="POST-12985"/>
        <s v="POST-12986"/>
        <s v="POST-12987"/>
        <s v="POST-12988"/>
        <s v="POST-12989"/>
        <s v="POST-12990"/>
        <s v="POST-12991"/>
        <s v="POST-12992"/>
        <s v="POST-12993"/>
        <s v="POST-12994"/>
        <s v="POST-12995"/>
        <s v="POST-12996"/>
        <s v="POST-12997"/>
        <s v="POST-12998"/>
        <s v="POST-12999"/>
        <s v="POST-13000"/>
      </sharedItems>
    </cacheField>
    <cacheField name="Timestamp" numFmtId="0">
      <sharedItems count="3000">
        <s v="2026-06-13 11:01:47"/>
        <s v="2026-06-17 06:34:26"/>
        <s v="2026-06-04 16:51:02"/>
        <s v="2026-01-21 15:55:06"/>
        <s v="2026-04-08 16:59:40"/>
        <s v="2026-06-17 23:25:56"/>
        <s v="2026-01-13 11:09:40"/>
        <s v="2026-07-17 04:21:07"/>
        <s v="2026-02-20 12:23:48"/>
        <s v="2026-05-05 10:48:34"/>
        <s v="2026-06-16 19:28:57"/>
        <s v="2026-03-26 10:32:15"/>
        <s v="2026-05-01 07:03:43"/>
        <s v="2026-08-09 01:06:03"/>
        <s v="2026-06-29 07:50:35"/>
        <s v="2026-01-21 13:04:38"/>
        <s v="2026-03-09 20:08:42"/>
        <s v="2026-02-10 22:53:34"/>
        <s v="2026-02-24 06:21:13"/>
        <s v="2026-05-24 08:07:04"/>
        <s v="2026-01-27 19:49:35"/>
        <s v="2026-08-11 07:51:15"/>
        <s v="2026-04-13 18:17:55"/>
        <s v="2026-07-06 18:27:38"/>
        <s v="2026-01-19 05:58:21"/>
        <s v="2026-07-11 13:39:36"/>
        <s v="2026-07-08 13:42:05"/>
        <s v="2026-07-16 10:29:26"/>
        <s v="2026-06-29 00:29:03"/>
        <s v="2026-05-21 22:57:10"/>
        <s v="2026-01-21 12:09:14"/>
        <s v="2026-08-15 02:24:30"/>
        <s v="2026-04-15 07:10:53"/>
        <s v="2026-03-28 20:17:48"/>
        <s v="2026-01-07 03:09:15"/>
        <s v="2026-01-29 02:01:59"/>
        <s v="2026-05-25 09:22:34"/>
        <s v="2026-06-16 16:39:51"/>
        <s v="2026-03-28 08:31:54"/>
        <s v="2026-07-14 15:44:30"/>
        <s v="2026-04-27 16:19:16"/>
        <s v="2026-01-26 14:18:14"/>
        <s v="2026-05-01 23:28:21"/>
        <s v="2026-05-23 21:38:38"/>
        <s v="2026-06-10 14:16:42"/>
        <s v="2026-03-01 16:50:50"/>
        <s v="2026-04-23 11:29:44"/>
        <s v="2026-05-31 08:48:43"/>
        <s v="2026-06-21 11:54:10"/>
        <s v="2026-01-02 05:55:34"/>
        <s v="2026-02-01 08:40:38"/>
        <s v="2026-08-02 23:30:15"/>
        <s v="2026-03-15 07:19:53"/>
        <s v="2026-04-09 15:54:49"/>
        <s v="2026-08-11 11:55:54"/>
        <s v="2026-08-07 18:54:43"/>
        <s v="2026-01-27 04:45:55"/>
        <s v="2026-06-06 20:39:43"/>
        <s v="2026-05-31 17:40:27"/>
        <s v="2026-05-26 05:49:47"/>
        <s v="2026-06-10 11:57:40"/>
        <s v="2026-03-11 13:16:58"/>
        <s v="2026-04-04 10:50:25"/>
        <s v="2026-05-24 18:58:39"/>
        <s v="2026-04-06 05:47:44"/>
        <s v="2026-03-02 19:06:43"/>
        <s v="2026-03-27 15:08:50"/>
        <s v="2026-07-24 13:07:42"/>
        <s v="2026-05-13 02:06:28"/>
        <s v="2026-07-02 22:04:57"/>
        <s v="2026-06-29 11:54:41"/>
        <s v="2026-05-02 10:05:53"/>
        <s v="2026-04-20 07:03:18"/>
        <s v="2026-04-21 01:49:52"/>
        <s v="2026-02-07 02:42:25"/>
        <s v="2026-02-09 13:48:39"/>
        <s v="2026-06-20 17:02:14"/>
        <s v="2026-06-30 15:32:35"/>
        <s v="2026-03-25 13:51:39"/>
        <s v="2026-01-31 00:32:12"/>
        <s v="2026-05-26 02:28:43"/>
        <s v="2026-01-15 19:53:18"/>
        <s v="2026-01-16 22:06:51"/>
        <s v="2026-01-15 04:41:21"/>
        <s v="2026-04-11 12:38:45"/>
        <s v="2026-01-05 19:19:11"/>
        <s v="2026-07-17 03:08:38"/>
        <s v="2026-07-20 22:14:34"/>
        <s v="2026-02-05 16:03:41"/>
        <s v="2026-07-29 22:56:22"/>
        <s v="2026-03-15 23:44:53"/>
        <s v="2026-04-19 04:50:39"/>
        <s v="2026-06-21 10:33:23"/>
        <s v="2026-07-18 02:47:48"/>
        <s v="2026-04-28 09:18:12"/>
        <s v="2026-03-11 11:51:23"/>
        <s v="2026-07-30 13:34:18"/>
        <s v="2026-03-13 04:50:03"/>
        <s v="2026-02-10 05:28:23"/>
        <s v="2026-07-18 16:45:28"/>
        <s v="2026-07-01 10:35:34"/>
        <s v="2026-05-27 19:29:51"/>
        <s v="2026-04-26 22:43:33"/>
        <s v="2026-02-27 19:33:57"/>
        <s v="2026-07-05 03:21:53"/>
        <s v="2026-06-14 17:30:15"/>
        <s v="2026-04-13 12:48:23"/>
        <s v="2026-02-10 18:59:36"/>
        <s v="2026-05-08 03:56:53"/>
        <s v="2026-01-19 20:32:28"/>
        <s v="2026-05-09 09:02:02"/>
        <s v="2026-05-12 01:31:45"/>
        <s v="2026-06-18 02:36:14"/>
        <s v="2026-02-08 21:44:13"/>
        <s v="2026-05-17 18:34:22"/>
        <s v="2026-07-04 16:18:07"/>
        <s v="2026-02-22 01:17:59"/>
        <s v="2026-06-24 12:00:35"/>
        <s v="2026-01-10 13:26:56"/>
        <s v="2026-05-21 00:31:56"/>
        <s v="2026-02-15 03:54:40"/>
        <s v="2026-03-20 02:46:36"/>
        <s v="2026-03-17 19:39:14"/>
        <s v="2026-06-02 10:33:28"/>
        <s v="2026-05-30 23:05:57"/>
        <s v="2026-05-29 10:02:27"/>
        <s v="2026-04-08 22:55:58"/>
        <s v="2026-06-23 07:34:27"/>
        <s v="2026-06-02 09:28:38"/>
        <s v="2026-06-04 05:52:20"/>
        <s v="2026-06-21 20:50:33"/>
        <s v="2026-04-18 01:33:08"/>
        <s v="2026-01-19 14:51:48"/>
        <s v="2026-06-05 06:13:25"/>
        <s v="2026-02-22 19:20:26"/>
        <s v="2026-06-25 18:16:48"/>
        <s v="2026-01-21 05:03:48"/>
        <s v="2026-05-18 01:26:00"/>
        <s v="2026-06-09 00:16:52"/>
        <s v="2026-01-24 20:24:24"/>
        <s v="2026-08-20 06:56:36"/>
        <s v="2026-07-02 20:59:04"/>
        <s v="2026-01-14 11:27:14"/>
        <s v="2026-01-23 03:18:51"/>
        <s v="2026-02-03 10:11:27"/>
        <s v="2026-08-20 01:57:15"/>
        <s v="2026-03-06 07:40:31"/>
        <s v="2026-06-17 03:08:19"/>
        <s v="2026-04-11 19:07:59"/>
        <s v="2026-07-23 21:43:31"/>
        <s v="2026-05-20 09:50:23"/>
        <s v="2026-07-23 21:06:00"/>
        <s v="2026-01-31 07:09:22"/>
        <s v="2026-01-29 05:51:10"/>
        <s v="2026-04-27 02:27:24"/>
        <s v="2026-05-17 04:20:38"/>
        <s v="2026-03-03 17:07:11"/>
        <s v="2026-02-05 13:20:53"/>
        <s v="2026-02-12 10:36:01"/>
        <s v="2026-04-05 01:52:48"/>
        <s v="2026-01-31 15:13:51"/>
        <s v="2026-06-30 17:18:36"/>
        <s v="2026-07-15 05:25:31"/>
        <s v="2026-05-05 18:37:00"/>
        <s v="2026-07-21 18:57:43"/>
        <s v="2026-08-12 16:05:41"/>
        <s v="2026-01-20 12:37:14"/>
        <s v="2026-03-18 12:24:49"/>
        <s v="2026-02-05 11:37:46"/>
        <s v="2026-08-13 17:13:33"/>
        <s v="2026-01-04 19:59:20"/>
        <s v="2026-07-22 20:32:18"/>
        <s v="2026-06-13 04:43:41"/>
        <s v="2026-01-31 08:45:08"/>
        <s v="2026-07-26 21:17:33"/>
        <s v="2026-07-10 00:00:02"/>
        <s v="2026-03-11 10:36:23"/>
        <s v="2026-01-03 19:12:18"/>
        <s v="2026-04-15 08:14:34"/>
        <s v="2026-03-13 10:02:58"/>
        <s v="2026-03-16 16:54:20"/>
        <s v="2026-04-02 14:28:19"/>
        <s v="2026-04-13 00:03:43"/>
        <s v="2026-02-03 14:52:25"/>
        <s v="2026-04-29 09:10:59"/>
        <s v="2026-03-05 04:18:31"/>
        <s v="2026-07-21 06:22:30"/>
        <s v="2026-04-03 02:14:10"/>
        <s v="2026-08-05 13:11:15"/>
        <s v="2026-01-10 10:03:14"/>
        <s v="2026-06-30 12:49:07"/>
        <s v="2026-06-16 18:11:45"/>
        <s v="2026-07-18 02:02:11"/>
        <s v="2026-07-02 05:40:46"/>
        <s v="2026-08-14 20:22:34"/>
        <s v="2026-01-21 01:57:05"/>
        <s v="2026-07-07 01:16:42"/>
        <s v="2026-01-07 14:10:40"/>
        <s v="2026-04-23 22:16:14"/>
        <s v="2026-04-19 01:43:55"/>
        <s v="2026-04-25 13:10:13"/>
        <s v="2026-04-13 01:20:54"/>
        <s v="2026-05-25 11:50:18"/>
        <s v="2026-08-14 18:44:15"/>
        <s v="2026-04-24 18:17:46"/>
        <s v="2026-07-02 00:25:08"/>
        <s v="2026-04-13 04:59:07"/>
        <s v="2026-04-09 09:10:54"/>
        <s v="2026-06-03 08:14:16"/>
        <s v="2026-05-12 05:53:53"/>
        <s v="2026-03-18 14:09:33"/>
        <s v="2026-05-27 14:21:46"/>
        <s v="2026-07-15 13:43:57"/>
        <s v="2026-05-30 03:04:30"/>
        <s v="2026-07-03 13:49:05"/>
        <s v="2026-06-07 21:40:27"/>
        <s v="2026-03-05 15:44:56"/>
        <s v="2026-02-04 18:57:31"/>
        <s v="2026-06-13 16:49:34"/>
        <s v="2026-06-26 04:00:19"/>
        <s v="2026-02-21 16:53:33"/>
        <s v="2026-05-07 12:05:49"/>
        <s v="2026-04-04 05:20:27"/>
        <s v="2026-04-13 22:17:53"/>
        <s v="2026-04-03 03:01:55"/>
        <s v="2026-06-21 18:33:33"/>
        <s v="2026-02-11 00:54:30"/>
        <s v="2026-04-25 10:54:31"/>
        <s v="2026-05-24 14:41:42"/>
        <s v="2026-01-01 18:22:53"/>
        <s v="2026-04-11 14:29:52"/>
        <s v="2026-07-08 09:35:59"/>
        <s v="2026-06-27 15:17:25"/>
        <s v="2026-02-24 03:45:18"/>
        <s v="2026-08-18 01:18:56"/>
        <s v="2026-07-20 17:13:48"/>
        <s v="2026-06-28 05:03:59"/>
        <s v="2026-07-14 02:34:47"/>
        <s v="2026-02-12 02:54:16"/>
        <s v="2026-07-01 18:33:14"/>
        <s v="2026-05-25 04:00:07"/>
        <s v="2026-05-13 19:32:51"/>
        <s v="2026-06-22 04:49:13"/>
        <s v="2026-01-20 02:52:14"/>
        <s v="2026-01-19 19:59:32"/>
        <s v="2026-08-07 01:18:40"/>
        <s v="2026-07-05 19:13:26"/>
        <s v="2026-03-17 05:04:16"/>
        <s v="2026-05-30 12:36:36"/>
        <s v="2026-04-02 17:31:35"/>
        <s v="2026-07-29 02:37:25"/>
        <s v="2026-04-30 00:32:05"/>
        <s v="2026-02-08 07:46:30"/>
        <s v="2026-06-16 18:06:45"/>
        <s v="2026-05-13 20:22:52"/>
        <s v="2026-06-19 15:26:51"/>
        <s v="2026-05-27 12:03:10"/>
        <s v="2026-02-26 21:38:09"/>
        <s v="2026-08-10 00:43:26"/>
        <s v="2026-07-19 05:41:27"/>
        <s v="2026-04-19 12:16:30"/>
        <s v="2026-01-28 12:27:41"/>
        <s v="2026-03-06 17:36:22"/>
        <s v="2026-02-11 20:40:00"/>
        <s v="2026-01-15 13:40:31"/>
        <s v="2026-03-12 20:22:42"/>
        <s v="2026-06-05 14:29:59"/>
        <s v="2026-05-28 16:44:28"/>
        <s v="2026-02-27 05:44:14"/>
        <s v="2026-02-26 02:17:11"/>
        <s v="2026-06-19 23:39:00"/>
        <s v="2026-02-02 09:33:51"/>
        <s v="2026-04-09 02:06:20"/>
        <s v="2026-04-26 13:36:08"/>
        <s v="2026-08-18 04:33:34"/>
        <s v="2026-04-03 19:35:35"/>
        <s v="2026-05-06 07:28:56"/>
        <s v="2026-03-29 15:20:20"/>
        <s v="2026-03-07 07:44:47"/>
        <s v="2026-06-17 20:19:14"/>
        <s v="2026-04-24 12:44:34"/>
        <s v="2026-04-04 21:16:09"/>
        <s v="2026-06-02 15:50:00"/>
        <s v="2026-07-25 03:51:44"/>
        <s v="2026-01-05 12:03:34"/>
        <s v="2026-04-30 06:50:02"/>
        <s v="2026-04-09 22:15:47"/>
        <s v="2026-03-06 23:40:19"/>
        <s v="2026-05-03 06:38:09"/>
        <s v="2026-05-24 04:48:22"/>
        <s v="2026-03-25 07:29:17"/>
        <s v="2026-08-08 19:49:39"/>
        <s v="2026-05-15 05:04:02"/>
        <s v="2026-07-03 10:00:59"/>
        <s v="2026-01-19 17:04:13"/>
        <s v="2026-06-14 02:22:43"/>
        <s v="2026-08-05 19:26:48"/>
        <s v="2026-03-15 03:01:33"/>
        <s v="2026-01-10 22:22:09"/>
        <s v="2026-06-27 06:36:52"/>
        <s v="2026-07-17 15:47:41"/>
        <s v="2026-04-26 03:36:32"/>
        <s v="2026-07-15 12:30:35"/>
        <s v="2026-04-04 19:12:20"/>
        <s v="2026-02-10 07:54:05"/>
        <s v="2026-05-21 23:39:46"/>
        <s v="2026-06-18 19:55:06"/>
        <s v="2026-07-02 08:02:15"/>
        <s v="2026-03-07 20:56:52"/>
        <s v="2026-02-09 21:19:58"/>
        <s v="2026-07-17 12:41:59"/>
        <s v="2026-07-11 04:59:47"/>
        <s v="2026-07-19 23:08:32"/>
        <s v="2026-02-27 07:42:12"/>
        <s v="2026-07-11 02:38:34"/>
        <s v="2026-02-18 17:28:25"/>
        <s v="2026-08-18 06:34:08"/>
        <s v="2026-07-04 07:07:05"/>
        <s v="2026-08-13 05:55:09"/>
        <s v="2026-05-08 23:34:51"/>
        <s v="2026-02-23 09:11:09"/>
        <s v="2026-06-30 03:36:50"/>
        <s v="2026-05-01 12:07:44"/>
        <s v="2026-06-30 17:27:38"/>
        <s v="2026-02-19 08:07:01"/>
        <s v="2026-01-18 17:19:32"/>
        <s v="2026-05-02 09:41:08"/>
        <s v="2026-01-05 14:36:43"/>
        <s v="2026-06-30 18:45:02"/>
        <s v="2026-01-07 23:57:32"/>
        <s v="2026-04-28 20:45:55"/>
        <s v="2026-03-22 04:57:13"/>
        <s v="2026-04-01 01:20:17"/>
        <s v="2026-04-11 13:45:38"/>
        <s v="2026-07-26 06:29:06"/>
        <s v="2026-04-27 23:01:04"/>
        <s v="2026-01-19 17:34:29"/>
        <s v="2026-03-30 01:44:15"/>
        <s v="2026-07-29 20:20:31"/>
        <s v="2026-08-13 18:19:36"/>
        <s v="2026-07-30 19:07:55"/>
        <s v="2026-04-03 21:09:18"/>
        <s v="2026-06-29 03:59:27"/>
        <s v="2026-04-17 01:36:23"/>
        <s v="2026-05-15 03:05:15"/>
        <s v="2026-07-24 17:18:10"/>
        <s v="2026-01-22 12:32:04"/>
        <s v="2026-06-29 15:31:11"/>
        <s v="2026-07-07 19:03:41"/>
        <s v="2026-04-22 08:18:59"/>
        <s v="2026-01-26 16:41:37"/>
        <s v="2026-04-16 11:33:06"/>
        <s v="2026-01-31 10:54:38"/>
        <s v="2026-07-17 18:16:10"/>
        <s v="2026-02-07 01:49:27"/>
        <s v="2026-01-11 05:24:17"/>
        <s v="2026-07-29 23:07:36"/>
        <s v="2026-02-21 13:35:02"/>
        <s v="2026-05-06 20:04:50"/>
        <s v="2026-06-24 01:09:47"/>
        <s v="2026-03-20 11:29:39"/>
        <s v="2026-06-26 02:34:08"/>
        <s v="2026-07-23 04:39:24"/>
        <s v="2026-06-13 16:33:28"/>
        <s v="2026-01-26 03:23:55"/>
        <s v="2026-01-12 09:41:23"/>
        <s v="2026-08-18 15:46:28"/>
        <s v="2026-05-02 02:31:03"/>
        <s v="2026-02-04 11:54:29"/>
        <s v="2026-08-09 00:31:55"/>
        <s v="2026-04-17 09:02:30"/>
        <s v="2026-02-03 19:18:15"/>
        <s v="2026-06-10 22:45:40"/>
        <s v="2026-01-16 00:58:43"/>
        <s v="2026-01-31 04:30:47"/>
        <s v="2026-07-02 01:43:52"/>
        <s v="2026-03-15 10:06:10"/>
        <s v="2026-01-06 17:12:04"/>
        <s v="2026-07-22 17:10:50"/>
        <s v="2026-07-02 06:57:42"/>
        <s v="2026-05-19 13:34:19"/>
        <s v="2026-07-14 02:42:09"/>
        <s v="2026-01-16 03:41:12"/>
        <s v="2026-01-16 05:23:25"/>
        <s v="2026-03-15 13:51:46"/>
        <s v="2026-03-11 21:11:35"/>
        <s v="2026-07-22 08:09:16"/>
        <s v="2026-04-04 02:30:36"/>
        <s v="2026-04-02 13:03:17"/>
        <s v="2026-08-01 05:51:19"/>
        <s v="2026-02-26 14:50:57"/>
        <s v="2026-04-03 12:52:28"/>
        <s v="2026-04-20 06:48:50"/>
        <s v="2026-07-13 11:50:07"/>
        <s v="2026-06-06 15:32:36"/>
        <s v="2026-05-02 19:44:37"/>
        <s v="2026-07-15 19:45:18"/>
        <s v="2026-02-18 10:57:53"/>
        <s v="2026-08-17 13:04:23"/>
        <s v="2026-05-03 05:38:25"/>
        <s v="2026-01-07 13:24:38"/>
        <s v="2026-07-28 01:34:01"/>
        <s v="2026-03-22 06:24:31"/>
        <s v="2026-04-01 17:20:03"/>
        <s v="2026-03-04 15:15:41"/>
        <s v="2026-06-28 23:37:01"/>
        <s v="2026-04-22 14:31:40"/>
        <s v="2026-05-27 00:30:27"/>
        <s v="2026-06-11 06:33:55"/>
        <s v="2026-01-17 00:12:23"/>
        <s v="2026-02-11 16:43:38"/>
        <s v="2026-01-08 16:50:51"/>
        <s v="2026-06-22 05:56:05"/>
        <s v="2026-02-01 18:21:53"/>
        <s v="2026-06-29 11:20:34"/>
        <s v="2026-07-24 09:44:58"/>
        <s v="2026-03-07 17:05:59"/>
        <s v="2026-08-04 18:45:27"/>
        <s v="2026-07-23 04:08:00"/>
        <s v="2026-03-23 22:30:55"/>
        <s v="2026-06-16 03:40:14"/>
        <s v="2026-04-22 22:52:43"/>
        <s v="2026-07-07 05:12:26"/>
        <s v="2026-06-27 20:43:13"/>
        <s v="2026-07-11 09:00:16"/>
        <s v="2026-03-24 06:33:27"/>
        <s v="2026-03-22 21:57:10"/>
        <s v="2026-05-07 09:28:22"/>
        <s v="2026-08-18 05:37:13"/>
        <s v="2026-01-28 18:09:01"/>
        <s v="2026-07-25 02:08:13"/>
        <s v="2026-04-10 20:18:41"/>
        <s v="2026-04-10 23:17:36"/>
        <s v="2026-05-08 00:40:41"/>
        <s v="2026-05-22 10:58:02"/>
        <s v="2026-02-15 13:53:25"/>
        <s v="2026-06-04 16:55:43"/>
        <s v="2026-06-07 19:44:43"/>
        <s v="2026-06-11 01:12:05"/>
        <s v="2026-08-01 20:03:21"/>
        <s v="2026-07-29 23:14:45"/>
        <s v="2026-03-16 07:12:30"/>
        <s v="2026-06-23 04:47:23"/>
        <s v="2026-03-02 14:35:03"/>
        <s v="2026-03-29 19:49:02"/>
        <s v="2026-06-06 11:52:35"/>
        <s v="2026-03-27 12:07:54"/>
        <s v="2026-07-13 00:26:50"/>
        <s v="2026-01-22 18:20:25"/>
        <s v="2026-04-14 05:44:35"/>
        <s v="2026-08-17 04:25:49"/>
        <s v="2026-06-12 13:01:01"/>
        <s v="2026-02-01 22:19:36"/>
        <s v="2026-07-04 02:43:08"/>
        <s v="2026-08-16 12:30:13"/>
        <s v="2026-02-11 12:32:08"/>
        <s v="2026-03-16 09:33:09"/>
        <s v="2026-05-06 08:07:35"/>
        <s v="2026-04-27 05:28:09"/>
        <s v="2026-01-08 02:40:50"/>
        <s v="2026-06-19 01:11:01"/>
        <s v="2026-05-16 18:24:16"/>
        <s v="2026-03-18 20:06:20"/>
        <s v="2026-01-16 18:29:35"/>
        <s v="2026-05-26 21:28:05"/>
        <s v="2026-06-17 13:00:03"/>
        <s v="2026-04-13 06:07:53"/>
        <s v="2026-03-24 18:13:29"/>
        <s v="2026-05-18 10:50:56"/>
        <s v="2026-02-19 22:00:14"/>
        <s v="2026-06-05 14:00:12"/>
        <s v="2026-05-26 15:56:33"/>
        <s v="2026-04-21 21:17:07"/>
        <s v="2026-05-27 08:47:14"/>
        <s v="2026-03-05 11:30:15"/>
        <s v="2026-03-23 06:04:50"/>
        <s v="2026-06-04 05:39:00"/>
        <s v="2026-06-01 14:57:36"/>
        <s v="2026-03-22 02:56:34"/>
        <s v="2026-03-30 14:12:40"/>
        <s v="2026-04-27 09:31:14"/>
        <s v="2026-01-03 10:22:01"/>
        <s v="2026-03-29 01:15:11"/>
        <s v="2026-02-14 00:51:39"/>
        <s v="2026-08-08 01:18:50"/>
        <s v="2026-05-11 20:48:56"/>
        <s v="2026-06-16 09:13:14"/>
        <s v="2026-03-01 02:02:29"/>
        <s v="2026-01-22 17:53:32"/>
        <s v="2026-07-17 05:54:17"/>
        <s v="2026-07-14 12:55:25"/>
        <s v="2026-06-28 21:13:28"/>
        <s v="2026-07-16 06:34:19"/>
        <s v="2026-01-18 01:24:12"/>
        <s v="2026-04-09 17:13:14"/>
        <s v="2026-08-10 14:08:55"/>
        <s v="2026-06-04 15:33:21"/>
        <s v="2026-08-06 13:26:15"/>
        <s v="2026-03-17 05:58:04"/>
        <s v="2026-06-23 07:29:24"/>
        <s v="2026-02-05 23:52:17"/>
        <s v="2026-08-18 05:34:13"/>
        <s v="2026-01-05 21:01:00"/>
        <s v="2026-06-10 14:39:13"/>
        <s v="2026-06-17 03:23:02"/>
        <s v="2026-06-12 06:24:43"/>
        <s v="2026-01-07 03:48:57"/>
        <s v="2026-04-25 07:56:21"/>
        <s v="2026-06-20 15:51:43"/>
        <s v="2026-08-01 14:15:32"/>
        <s v="2026-01-21 19:25:24"/>
        <s v="2026-06-03 01:09:35"/>
        <s v="2026-07-07 07:23:31"/>
        <s v="2026-03-08 07:22:32"/>
        <s v="2026-02-07 16:38:29"/>
        <s v="2026-08-01 21:16:44"/>
        <s v="2026-07-11 14:59:47"/>
        <s v="2026-02-20 23:11:32"/>
        <s v="2026-02-12 10:18:05"/>
        <s v="2026-01-11 11:13:33"/>
        <s v="2026-06-06 09:22:55"/>
        <s v="2026-06-26 05:55:30"/>
        <s v="2026-06-05 23:25:47"/>
        <s v="2026-07-04 00:02:08"/>
        <s v="2026-07-03 08:10:59"/>
        <s v="2026-05-29 03:04:41"/>
        <s v="2026-07-10 02:59:12"/>
        <s v="2026-07-23 12:33:42"/>
        <s v="2026-07-12 05:54:51"/>
        <s v="2026-02-10 06:13:54"/>
        <s v="2026-04-11 20:04:33"/>
        <s v="2026-05-28 12:28:44"/>
        <s v="2026-06-23 13:59:03"/>
        <s v="2026-06-27 03:11:41"/>
        <s v="2026-05-27 23:17:44"/>
        <s v="2026-01-06 20:35:52"/>
        <s v="2026-02-16 08:35:28"/>
        <s v="2026-06-18 08:15:19"/>
        <s v="2026-01-10 14:09:19"/>
        <s v="2026-06-23 21:44:09"/>
        <s v="2026-03-22 21:24:01"/>
        <s v="2026-03-12 08:06:24"/>
        <s v="2026-08-18 09:10:20"/>
        <s v="2026-06-13 19:45:49"/>
        <s v="2026-08-08 10:19:26"/>
        <s v="2026-06-24 00:59:46"/>
        <s v="2026-08-15 00:43:38"/>
        <s v="2026-01-29 18:58:43"/>
        <s v="2026-01-10 22:57:39"/>
        <s v="2026-05-17 00:57:09"/>
        <s v="2026-08-03 22:10:08"/>
        <s v="2026-03-10 11:26:31"/>
        <s v="2026-02-02 12:22:32"/>
        <s v="2026-03-13 11:55:16"/>
        <s v="2026-01-10 16:12:59"/>
        <s v="2026-03-19 11:17:23"/>
        <s v="2026-03-06 23:23:21"/>
        <s v="2026-02-24 02:24:05"/>
        <s v="2026-05-02 14:34:46"/>
        <s v="2026-01-18 23:26:33"/>
        <s v="2026-05-12 10:10:28"/>
        <s v="2026-07-05 00:16:19"/>
        <s v="2026-06-14 15:52:13"/>
        <s v="2026-01-16 04:52:00"/>
        <s v="2026-08-12 04:40:38"/>
        <s v="2026-01-24 23:11:29"/>
        <s v="2026-06-15 20:06:46"/>
        <s v="2026-06-11 03:00:50"/>
        <s v="2026-06-11 01:07:01"/>
        <s v="2026-06-25 20:43:56"/>
        <s v="2026-04-21 00:21:38"/>
        <s v="2026-08-09 12:49:41"/>
        <s v="2026-07-16 20:22:20"/>
        <s v="2026-07-30 15:24:05"/>
        <s v="2026-01-29 09:58:22"/>
        <s v="2026-01-08 06:27:23"/>
        <s v="2026-05-02 07:08:47"/>
        <s v="2026-01-03 20:53:27"/>
        <s v="2026-01-15 15:25:11"/>
        <s v="2026-04-04 03:49:54"/>
        <s v="2026-05-27 02:02:36"/>
        <s v="2026-06-30 05:06:21"/>
        <s v="2026-07-03 15:56:13"/>
        <s v="2026-06-05 10:09:36"/>
        <s v="2026-04-04 19:05:04"/>
        <s v="2026-06-24 12:28:23"/>
        <s v="2026-07-31 01:00:09"/>
        <s v="2026-02-17 07:06:58"/>
        <s v="2026-02-08 04:13:20"/>
        <s v="2026-06-12 13:05:09"/>
        <s v="2026-07-12 17:10:12"/>
        <s v="2026-07-06 05:37:39"/>
        <s v="2026-08-02 12:40:28"/>
        <s v="2026-01-04 19:52:23"/>
        <s v="2026-04-20 19:11:35"/>
        <s v="2026-01-27 10:41:01"/>
        <s v="2026-05-22 20:07:12"/>
        <s v="2026-03-20 21:43:15"/>
        <s v="2026-04-11 14:39:41"/>
        <s v="2026-02-01 04:36:50"/>
        <s v="2026-04-08 08:47:46"/>
        <s v="2026-01-22 12:40:01"/>
        <s v="2026-01-06 21:04:31"/>
        <s v="2026-03-29 19:30:39"/>
        <s v="2026-02-25 08:20:08"/>
        <s v="2026-02-19 16:11:12"/>
        <s v="2026-01-29 03:24:27"/>
        <s v="2026-04-12 08:07:11"/>
        <s v="2026-03-24 15:35:04"/>
        <s v="2026-03-23 18:12:12"/>
        <s v="2026-01-02 22:18:08"/>
        <s v="2026-03-22 23:39:03"/>
        <s v="2026-08-10 06:46:27"/>
        <s v="2026-01-20 16:21:44"/>
        <s v="2026-05-15 00:15:36"/>
        <s v="2026-02-23 06:04:04"/>
        <s v="2026-03-22 06:29:41"/>
        <s v="2026-08-12 02:41:06"/>
        <s v="2026-02-08 20:32:27"/>
        <s v="2026-05-13 21:06:43"/>
        <s v="2026-02-27 07:52:56"/>
        <s v="2026-06-26 15:10:20"/>
        <s v="2026-04-01 23:37:00"/>
        <s v="2026-03-27 22:31:47"/>
        <s v="2026-01-29 16:43:33"/>
        <s v="2026-06-13 11:17:56"/>
        <s v="2026-08-03 03:07:27"/>
        <s v="2026-03-15 10:51:18"/>
        <s v="2026-08-09 00:42:49"/>
        <s v="2026-04-09 21:25:57"/>
        <s v="2026-03-19 02:59:40"/>
        <s v="2026-04-18 21:29:01"/>
        <s v="2026-08-05 20:08:25"/>
        <s v="2026-05-31 05:32:47"/>
        <s v="2026-06-10 06:12:07"/>
        <s v="2026-03-03 01:16:52"/>
        <s v="2026-03-16 17:42:06"/>
        <s v="2026-03-19 09:41:41"/>
        <s v="2026-04-11 00:04:11"/>
        <s v="2026-06-06 05:11:36"/>
        <s v="2026-01-28 23:59:43"/>
        <s v="2026-04-24 19:38:40"/>
        <s v="2026-07-29 00:51:50"/>
        <s v="2026-07-07 07:41:33"/>
        <s v="2026-05-13 17:06:07"/>
        <s v="2026-08-08 00:59:39"/>
        <s v="2026-08-16 09:08:13"/>
        <s v="2026-06-06 10:56:35"/>
        <s v="2026-07-18 14:34:38"/>
        <s v="2026-02-19 18:27:58"/>
        <s v="2026-01-20 09:08:28"/>
        <s v="2026-07-01 07:52:22"/>
        <s v="2026-06-09 23:17:05"/>
        <s v="2026-01-06 23:53:02"/>
        <s v="2026-06-18 21:34:03"/>
        <s v="2026-04-22 21:50:46"/>
        <s v="2026-03-02 12:58:00"/>
        <s v="2026-03-21 02:42:20"/>
        <s v="2026-03-22 10:28:11"/>
        <s v="2026-05-23 06:14:03"/>
        <s v="2026-07-31 05:26:04"/>
        <s v="2026-02-09 02:01:06"/>
        <s v="2026-06-16 10:04:59"/>
        <s v="2026-03-04 18:15:51"/>
        <s v="2026-06-04 15:28:50"/>
        <s v="2026-05-10 12:36:31"/>
        <s v="2026-01-19 12:32:55"/>
        <s v="2026-01-12 10:47:58"/>
        <s v="2026-08-18 08:37:37"/>
        <s v="2026-08-05 21:18:20"/>
        <s v="2026-03-15 16:31:28"/>
        <s v="2026-08-18 01:34:51"/>
        <s v="2026-01-31 22:56:27"/>
        <s v="2026-06-12 07:32:43"/>
        <s v="2026-05-31 20:55:14"/>
        <s v="2026-05-07 01:39:13"/>
        <s v="2026-05-07 04:25:38"/>
        <s v="2026-06-19 11:22:44"/>
        <s v="2026-03-23 21:25:51"/>
        <s v="2026-01-30 03:39:21"/>
        <s v="2026-02-20 13:53:34"/>
        <s v="2026-05-05 09:10:18"/>
        <s v="2026-01-20 00:46:45"/>
        <s v="2026-02-21 11:16:41"/>
        <s v="2026-04-11 19:48:34"/>
        <s v="2026-08-10 23:37:15"/>
        <s v="2026-06-03 21:55:00"/>
        <s v="2026-06-29 10:24:08"/>
        <s v="2026-04-13 08:18:07"/>
        <s v="2026-06-04 16:30:29"/>
        <s v="2026-01-26 01:29:21"/>
        <s v="2026-07-06 17:23:39"/>
        <s v="2026-05-29 02:38:17"/>
        <s v="2026-01-14 12:32:51"/>
        <s v="2026-01-22 03:53:13"/>
        <s v="2026-07-18 05:22:46"/>
        <s v="2026-03-07 00:58:00"/>
        <s v="2026-06-06 04:29:31"/>
        <s v="2026-06-14 06:03:20"/>
        <s v="2026-06-20 20:26:53"/>
        <s v="2026-03-13 01:22:07"/>
        <s v="2026-01-03 14:40:23"/>
        <s v="2026-03-22 21:14:53"/>
        <s v="2026-01-11 02:24:09"/>
        <s v="2026-07-17 14:16:13"/>
        <s v="2026-04-02 08:10:26"/>
        <s v="2026-04-13 23:53:15"/>
        <s v="2026-01-08 13:32:10"/>
        <s v="2026-04-28 20:10:29"/>
        <s v="2026-01-26 23:35:43"/>
        <s v="2026-07-06 21:38:25"/>
        <s v="2026-07-12 20:58:04"/>
        <s v="2026-04-18 13:10:25"/>
        <s v="2026-06-18 05:25:27"/>
        <s v="2026-02-15 21:34:48"/>
        <s v="2026-08-11 23:29:23"/>
        <s v="2026-06-02 11:22:46"/>
        <s v="2026-08-01 07:52:33"/>
        <s v="2026-03-19 21:25:01"/>
        <s v="2026-05-02 14:48:59"/>
        <s v="2026-03-12 16:29:38"/>
        <s v="2026-05-23 08:21:21"/>
        <s v="2026-05-24 19:05:13"/>
        <s v="2026-03-15 01:47:31"/>
        <s v="2026-04-14 01:26:22"/>
        <s v="2026-05-07 22:18:52"/>
        <s v="2026-02-19 04:01:39"/>
        <s v="2026-08-16 04:24:35"/>
        <s v="2026-03-05 05:38:28"/>
        <s v="2026-05-01 20:04:50"/>
        <s v="2026-01-11 19:25:45"/>
        <s v="2026-07-23 23:13:16"/>
        <s v="2026-01-10 12:09:33"/>
        <s v="2026-02-08 03:18:54"/>
        <s v="2026-02-13 19:41:09"/>
        <s v="2026-02-27 17:13:14"/>
        <s v="2026-02-21 19:42:02"/>
        <s v="2026-07-09 13:44:59"/>
        <s v="2026-02-23 15:15:37"/>
        <s v="2026-06-03 23:19:36"/>
        <s v="2026-06-11 13:21:32"/>
        <s v="2026-03-24 00:30:31"/>
        <s v="2026-03-20 18:49:33"/>
        <s v="2026-05-13 23:41:38"/>
        <s v="2026-07-15 21:00:48"/>
        <s v="2026-03-24 21:50:24"/>
        <s v="2026-01-13 05:24:44"/>
        <s v="2026-07-07 21:52:09"/>
        <s v="2026-08-12 06:45:47"/>
        <s v="2026-06-14 21:27:25"/>
        <s v="2026-07-08 10:36:05"/>
        <s v="2026-04-30 22:56:56"/>
        <s v="2026-01-05 08:14:20"/>
        <s v="2026-07-17 12:13:19"/>
        <s v="2026-02-25 19:01:08"/>
        <s v="2026-02-15 00:58:37"/>
        <s v="2026-01-29 22:01:00"/>
        <s v="2026-08-13 23:01:17"/>
        <s v="2026-06-08 21:52:10"/>
        <s v="2026-08-04 16:39:20"/>
        <s v="2026-01-24 21:04:07"/>
        <s v="2026-06-22 06:06:30"/>
        <s v="2026-02-18 07:42:19"/>
        <s v="2026-07-24 20:40:03"/>
        <s v="2026-04-14 22:13:29"/>
        <s v="2026-01-26 05:54:21"/>
        <s v="2026-03-20 22:27:35"/>
        <s v="2026-01-14 01:23:34"/>
        <s v="2026-02-21 16:03:25"/>
        <s v="2026-01-16 21:08:09"/>
        <s v="2026-07-06 07:37:43"/>
        <s v="2026-02-02 01:47:39"/>
        <s v="2026-03-16 15:33:06"/>
        <s v="2026-03-07 04:32:21"/>
        <s v="2026-06-06 02:24:38"/>
        <s v="2026-07-28 20:45:47"/>
        <s v="2026-03-26 11:18:58"/>
        <s v="2026-07-16 13:13:35"/>
        <s v="2026-07-04 10:40:25"/>
        <s v="2026-02-19 02:19:58"/>
        <s v="2026-03-30 01:22:25"/>
        <s v="2026-02-26 15:56:14"/>
        <s v="2026-05-29 20:40:36"/>
        <s v="2026-06-29 15:50:34"/>
        <s v="2026-03-11 02:53:03"/>
        <s v="2026-06-24 19:04:46"/>
        <s v="2026-03-02 02:51:56"/>
        <s v="2026-07-06 13:46:12"/>
        <s v="2026-05-02 12:54:21"/>
        <s v="2026-01-26 00:16:01"/>
        <s v="2026-02-14 14:40:39"/>
        <s v="2026-07-29 22:01:39"/>
        <s v="2026-06-19 01:53:24"/>
        <s v="2026-07-02 02:06:54"/>
        <s v="2026-03-17 04:27:25"/>
        <s v="2026-08-01 09:12:05"/>
        <s v="2026-08-12 21:47:32"/>
        <s v="2026-06-14 03:00:02"/>
        <s v="2026-01-12 12:09:38"/>
        <s v="2026-04-07 16:53:57"/>
        <s v="2026-02-17 01:20:10"/>
        <s v="2026-05-13 09:30:30"/>
        <s v="2026-05-09 14:49:13"/>
        <s v="2026-02-18 04:12:21"/>
        <s v="2026-07-04 13:46:59"/>
        <s v="2026-01-19 08:41:52"/>
        <s v="2026-02-09 22:34:56"/>
        <s v="2026-07-02 01:54:14"/>
        <s v="2026-07-06 00:13:15"/>
        <s v="2026-06-16 22:19:57"/>
        <s v="2026-02-14 16:47:43"/>
        <s v="2026-06-07 00:47:40"/>
        <s v="2026-01-17 19:39:58"/>
        <s v="2026-05-25 01:40:30"/>
        <s v="2026-04-24 02:36:11"/>
        <s v="2026-06-21 14:40:20"/>
        <s v="2026-05-06 18:57:10"/>
        <s v="2026-06-09 08:47:36"/>
        <s v="2026-02-03 19:46:16"/>
        <s v="2026-07-15 11:15:04"/>
        <s v="2026-08-12 22:40:55"/>
        <s v="2026-07-03 10:24:20"/>
        <s v="2026-02-15 14:16:09"/>
        <s v="2026-06-13 17:13:27"/>
        <s v="2026-07-29 21:05:43"/>
        <s v="2026-07-10 23:23:31"/>
        <s v="2026-08-11 22:28:09"/>
        <s v="2026-02-25 11:01:25"/>
        <s v="2026-08-07 13:31:42"/>
        <s v="2026-06-11 17:43:39"/>
        <s v="2026-02-23 18:44:14"/>
        <s v="2026-07-28 15:31:36"/>
        <s v="2026-07-19 14:50:49"/>
        <s v="2026-08-16 01:12:52"/>
        <s v="2026-02-22 12:18:01"/>
        <s v="2026-07-01 03:29:18"/>
        <s v="2026-02-15 18:39:53"/>
        <s v="2026-04-03 19:21:05"/>
        <s v="2026-08-11 16:14:15"/>
        <s v="2026-06-13 05:25:01"/>
        <s v="2026-08-14 19:32:57"/>
        <s v="2026-03-25 16:25:07"/>
        <s v="2026-05-27 07:47:19"/>
        <s v="2026-02-22 23:46:24"/>
        <s v="2026-01-09 03:03:54"/>
        <s v="2026-06-17 08:19:49"/>
        <s v="2026-02-14 08:07:05"/>
        <s v="2026-04-16 13:00:36"/>
        <s v="2026-05-25 21:35:44"/>
        <s v="2026-07-09 04:22:26"/>
        <s v="2026-08-15 12:21:59"/>
        <s v="2026-05-27 12:52:50"/>
        <s v="2026-03-27 23:07:20"/>
        <s v="2026-07-12 14:45:00"/>
        <s v="2026-01-31 14:11:52"/>
        <s v="2026-06-13 03:37:02"/>
        <s v="2026-06-25 23:01:24"/>
        <s v="2026-03-24 17:35:49"/>
        <s v="2026-07-26 01:41:46"/>
        <s v="2026-02-20 23:31:15"/>
        <s v="2026-01-26 13:08:08"/>
        <s v="2026-05-24 06:27:04"/>
        <s v="2026-03-09 23:04:50"/>
        <s v="2026-05-31 00:00:19"/>
        <s v="2026-02-03 00:09:55"/>
        <s v="2026-07-19 20:01:12"/>
        <s v="2026-05-08 10:27:38"/>
        <s v="2026-06-04 18:58:19"/>
        <s v="2026-05-06 18:34:33"/>
        <s v="2026-02-19 18:33:43"/>
        <s v="2026-02-22 22:37:33"/>
        <s v="2026-05-26 22:34:21"/>
        <s v="2026-05-30 16:32:36"/>
        <s v="2026-01-11 10:17:06"/>
        <s v="2026-03-14 21:15:14"/>
        <s v="2026-02-11 10:36:47"/>
        <s v="2026-04-23 02:55:38"/>
        <s v="2026-02-23 05:31:27"/>
        <s v="2026-04-14 14:13:20"/>
        <s v="2026-01-06 20:36:22"/>
        <s v="2026-05-31 04:33:38"/>
        <s v="2026-02-08 17:09:54"/>
        <s v="2026-04-19 13:15:01"/>
        <s v="2026-03-04 08:20:54"/>
        <s v="2026-04-29 15:29:11"/>
        <s v="2026-06-16 00:22:50"/>
        <s v="2026-03-18 11:38:57"/>
        <s v="2026-06-16 17:25:15"/>
        <s v="2026-01-26 17:23:03"/>
        <s v="2026-05-10 13:00:06"/>
        <s v="2026-05-14 02:07:56"/>
        <s v="2026-07-05 04:17:09"/>
        <s v="2026-05-26 16:58:13"/>
        <s v="2026-06-08 07:23:54"/>
        <s v="2026-07-28 08:27:30"/>
        <s v="2026-08-14 15:29:57"/>
        <s v="2026-01-15 21:25:52"/>
        <s v="2026-03-02 17:15:39"/>
        <s v="2026-06-29 04:09:03"/>
        <s v="2026-01-11 02:05:02"/>
        <s v="2026-08-07 16:10:41"/>
        <s v="2026-07-28 20:26:51"/>
        <s v="2026-03-14 18:44:20"/>
        <s v="2026-04-04 13:25:12"/>
        <s v="2026-07-01 21:42:20"/>
        <s v="2026-04-17 09:49:00"/>
        <s v="2026-04-12 00:37:39"/>
        <s v="2026-07-22 10:30:53"/>
        <s v="2026-05-16 15:02:14"/>
        <s v="2026-07-17 04:50:19"/>
        <s v="2026-01-05 05:27:05"/>
        <s v="2026-07-15 17:19:34"/>
        <s v="2026-02-02 00:49:53"/>
        <s v="2026-06-08 10:04:10"/>
        <s v="2026-02-12 14:39:40"/>
        <s v="2026-02-18 08:36:22"/>
        <s v="2026-05-08 01:35:46"/>
        <s v="2026-06-28 16:52:24"/>
        <s v="2026-05-16 03:38:54"/>
        <s v="2026-05-19 10:51:45"/>
        <s v="2026-07-09 09:08:04"/>
        <s v="2026-06-17 02:44:55"/>
        <s v="2026-07-18 14:31:35"/>
        <s v="2026-08-16 11:45:26"/>
        <s v="2026-03-01 15:47:02"/>
        <s v="2026-06-15 11:55:23"/>
        <s v="2026-05-06 16:27:03"/>
        <s v="2026-07-16 08:30:50"/>
        <s v="2026-02-04 08:49:15"/>
        <s v="2026-08-15 11:15:57"/>
        <s v="2026-05-22 21:36:21"/>
        <s v="2026-04-02 11:24:30"/>
        <s v="2026-08-18 12:14:26"/>
        <s v="2026-01-04 02:26:07"/>
        <s v="2026-03-13 01:10:42"/>
        <s v="2026-01-08 07:06:40"/>
        <s v="2026-02-28 03:08:02"/>
        <s v="2026-07-15 13:13:04"/>
        <s v="2026-03-26 22:10:53"/>
        <s v="2026-02-20 20:18:24"/>
        <s v="2026-07-03 07:52:08"/>
        <s v="2026-03-08 18:35:08"/>
        <s v="2026-03-24 22:10:43"/>
        <s v="2026-01-21 10:44:12"/>
        <s v="2026-03-16 17:16:10"/>
        <s v="2026-04-22 22:01:02"/>
        <s v="2026-04-16 12:51:17"/>
        <s v="2026-03-03 21:38:54"/>
        <s v="2026-01-13 11:55:25"/>
        <s v="2026-04-08 06:48:12"/>
        <s v="2026-04-15 17:10:01"/>
        <s v="2026-06-11 20:10:22"/>
        <s v="2026-04-07 17:26:50"/>
        <s v="2026-07-05 12:29:39"/>
        <s v="2026-03-23 06:07:25"/>
        <s v="2026-02-20 23:13:08"/>
        <s v="2026-05-09 21:49:35"/>
        <s v="2026-06-26 20:21:30"/>
        <s v="2026-01-15 10:19:38"/>
        <s v="2026-02-10 14:38:38"/>
        <s v="2026-07-11 09:53:23"/>
        <s v="2026-02-19 09:33:56"/>
        <s v="2026-03-07 18:22:03"/>
        <s v="2026-01-11 11:15:19"/>
        <s v="2026-04-07 03:46:07"/>
        <s v="2026-01-06 06:28:16"/>
        <s v="2026-07-15 03:47:46"/>
        <s v="2026-03-22 02:39:50"/>
        <s v="2026-06-29 08:35:30"/>
        <s v="2026-03-26 05:42:38"/>
        <s v="2026-06-28 02:39:27"/>
        <s v="2026-08-01 14:00:35"/>
        <s v="2026-03-04 02:50:49"/>
        <s v="2026-01-17 09:07:53"/>
        <s v="2026-03-13 10:18:40"/>
        <s v="2026-02-27 04:17:17"/>
        <s v="2026-01-06 01:51:05"/>
        <s v="2026-02-20 14:29:14"/>
        <s v="2026-01-27 10:38:10"/>
        <s v="2026-08-18 05:34:18"/>
        <s v="2026-01-14 15:28:13"/>
        <s v="2026-08-13 23:57:52"/>
        <s v="2026-07-14 21:55:52"/>
        <s v="2026-05-21 07:40:27"/>
        <s v="2026-04-08 01:09:05"/>
        <s v="2026-04-15 02:09:46"/>
        <s v="2026-04-22 03:38:34"/>
        <s v="2026-07-04 06:16:32"/>
        <s v="2026-01-11 06:41:28"/>
        <s v="2026-06-07 10:46:40"/>
        <s v="2026-05-08 07:02:50"/>
        <s v="2026-04-10 20:46:39"/>
        <s v="2026-04-11 14:08:22"/>
        <s v="2026-08-20 02:59:06"/>
        <s v="2026-05-28 13:25:37"/>
        <s v="2026-08-07 01:20:01"/>
        <s v="2026-05-05 03:30:10"/>
        <s v="2026-01-28 14:46:11"/>
        <s v="2026-06-29 04:51:06"/>
        <s v="2026-04-03 12:15:54"/>
        <s v="2026-04-17 22:34:28"/>
        <s v="2026-07-22 06:53:39"/>
        <s v="2026-07-25 17:23:40"/>
        <s v="2026-01-10 00:13:40"/>
        <s v="2026-06-26 15:27:28"/>
        <s v="2026-02-15 06:34:51"/>
        <s v="2026-03-09 23:10:13"/>
        <s v="2026-07-11 19:35:40"/>
        <s v="2026-03-04 07:06:25"/>
        <s v="2026-08-03 08:20:11"/>
        <s v="2026-03-02 13:20:41"/>
        <s v="2026-03-16 15:01:36"/>
        <s v="2026-01-18 13:03:21"/>
        <s v="2026-07-12 11:08:50"/>
        <s v="2026-05-26 22:22:43"/>
        <s v="2026-03-02 20:41:05"/>
        <s v="2026-05-28 13:49:59"/>
        <s v="2026-01-22 14:43:37"/>
        <s v="2026-07-13 05:08:03"/>
        <s v="2026-05-16 22:59:15"/>
        <s v="2026-01-27 12:48:50"/>
        <s v="2026-03-15 20:08:01"/>
        <s v="2026-02-03 06:37:31"/>
        <s v="2026-01-21 07:49:09"/>
        <s v="2026-04-21 21:55:37"/>
        <s v="2026-07-01 17:02:15"/>
        <s v="2026-03-31 19:18:27"/>
        <s v="2026-01-08 07:50:26"/>
        <s v="2026-02-08 02:01:55"/>
        <s v="2026-04-04 00:17:31"/>
        <s v="2026-05-08 08:13:07"/>
        <s v="2026-04-22 12:05:22"/>
        <s v="2026-01-18 11:03:28"/>
        <s v="2026-06-30 06:40:44"/>
        <s v="2026-07-30 23:59:58"/>
        <s v="2026-04-08 11:09:13"/>
        <s v="2026-05-31 02:58:07"/>
        <s v="2026-05-19 13:06:05"/>
        <s v="2026-07-13 03:36:32"/>
        <s v="2026-07-28 10:34:59"/>
        <s v="2026-05-19 13:03:51"/>
        <s v="2026-06-21 10:59:10"/>
        <s v="2026-08-06 23:42:40"/>
        <s v="2026-05-05 17:43:57"/>
        <s v="2026-06-04 21:44:40"/>
        <s v="2026-04-09 12:10:59"/>
        <s v="2026-06-07 09:56:27"/>
        <s v="2026-01-30 02:57:48"/>
        <s v="2026-05-11 11:25:21"/>
        <s v="2026-04-17 20:54:04"/>
        <s v="2026-08-03 01:09:06"/>
        <s v="2026-06-20 01:39:51"/>
        <s v="2026-02-02 03:08:46"/>
        <s v="2026-01-16 15:53:38"/>
        <s v="2026-01-13 08:38:41"/>
        <s v="2026-06-07 21:27:31"/>
        <s v="2026-07-20 17:49:20"/>
        <s v="2026-03-16 09:06:25"/>
        <s v="2026-08-14 23:44:42"/>
        <s v="2026-07-28 16:34:51"/>
        <s v="2026-02-15 02:38:56"/>
        <s v="2026-05-16 16:14:47"/>
        <s v="2026-05-12 13:19:08"/>
        <s v="2026-06-16 22:21:47"/>
        <s v="2026-07-07 10:28:28"/>
        <s v="2026-05-02 19:45:00"/>
        <s v="2026-05-21 00:53:09"/>
        <s v="2026-01-18 21:22:11"/>
        <s v="2026-07-21 01:06:00"/>
        <s v="2026-05-17 00:49:09"/>
        <s v="2026-07-07 03:34:47"/>
        <s v="2026-06-16 05:35:31"/>
        <s v="2026-02-14 08:01:04"/>
        <s v="2026-01-04 01:05:52"/>
        <s v="2026-01-13 23:17:26"/>
        <s v="2026-07-12 20:58:11"/>
        <s v="2026-01-19 08:57:41"/>
        <s v="2026-06-01 16:49:39"/>
        <s v="2026-02-10 20:38:29"/>
        <s v="2026-07-26 02:27:11"/>
        <s v="2026-06-12 00:36:35"/>
        <s v="2026-04-28 23:29:18"/>
        <s v="2026-02-05 21:17:11"/>
        <s v="2026-07-31 01:22:43"/>
        <s v="2026-07-07 09:04:40"/>
        <s v="2026-06-06 18:56:46"/>
        <s v="2026-05-19 19:00:30"/>
        <s v="2026-01-22 07:56:02"/>
        <s v="2026-06-17 10:56:32"/>
        <s v="2026-03-30 12:38:16"/>
        <s v="2026-07-05 10:02:16"/>
        <s v="2026-03-08 00:48:56"/>
        <s v="2026-03-19 01:32:12"/>
        <s v="2026-04-25 22:59:17"/>
        <s v="2026-03-25 11:02:31"/>
        <s v="2026-07-26 17:45:28"/>
        <s v="2026-01-01 10:42:08"/>
        <s v="2026-08-13 19:51:41"/>
        <s v="2026-04-02 06:47:37"/>
        <s v="2026-01-31 08:17:22"/>
        <s v="2026-08-15 03:39:57"/>
        <s v="2026-05-28 08:41:01"/>
        <s v="2026-07-03 14:42:12"/>
        <s v="2026-02-12 04:22:53"/>
        <s v="2026-06-29 12:14:50"/>
        <s v="2026-05-20 01:58:26"/>
        <s v="2026-04-27 18:48:56"/>
        <s v="2026-03-03 21:42:51"/>
        <s v="2026-07-25 19:53:10"/>
        <s v="2026-05-27 23:46:00"/>
        <s v="2026-05-01 13:45:44"/>
        <s v="2026-06-05 12:32:58"/>
        <s v="2026-05-22 14:39:18"/>
        <s v="2026-05-16 07:07:04"/>
        <s v="2026-02-26 12:08:45"/>
        <s v="2026-03-06 20:12:00"/>
        <s v="2026-04-18 05:56:52"/>
        <s v="2026-07-30 16:04:39"/>
        <s v="2026-04-11 22:48:56"/>
        <s v="2026-04-21 20:12:43"/>
        <s v="2026-01-31 10:18:09"/>
        <s v="2026-01-12 01:47:31"/>
        <s v="2026-02-22 01:21:51"/>
        <s v="2026-06-26 15:04:05"/>
        <s v="2026-04-14 02:45:57"/>
        <s v="2026-03-13 12:05:11"/>
        <s v="2026-06-02 12:20:50"/>
        <s v="2026-02-16 20:07:59"/>
        <s v="2026-01-15 22:36:26"/>
        <s v="2026-04-06 07:35:28"/>
        <s v="2026-06-17 05:31:03"/>
        <s v="2026-05-28 21:25:43"/>
        <s v="2026-01-17 08:59:59"/>
        <s v="2026-02-19 11:27:01"/>
        <s v="2026-02-20 20:39:22"/>
        <s v="2026-04-02 05:43:13"/>
        <s v="2026-06-27 15:50:22"/>
        <s v="2026-07-21 11:48:32"/>
        <s v="2026-06-11 13:45:05"/>
        <s v="2026-02-06 13:58:45"/>
        <s v="2026-06-11 13:11:46"/>
        <s v="2026-07-24 15:04:54"/>
        <s v="2026-05-24 18:09:00"/>
        <s v="2026-07-22 23:02:23"/>
        <s v="2026-04-20 16:01:36"/>
        <s v="2026-04-22 13:42:00"/>
        <s v="2026-05-18 02:41:29"/>
        <s v="2026-01-08 22:21:44"/>
        <s v="2026-06-04 10:40:49"/>
        <s v="2026-08-04 08:49:22"/>
        <s v="2026-05-21 05:48:27"/>
        <s v="2026-01-06 21:15:22"/>
        <s v="2026-02-06 02:44:24"/>
        <s v="2026-01-21 18:39:18"/>
        <s v="2026-03-17 07:14:19"/>
        <s v="2026-05-28 16:56:26"/>
        <s v="2026-06-22 01:41:49"/>
        <s v="2026-03-20 00:22:12"/>
        <s v="2026-02-08 07:39:14"/>
        <s v="2026-02-18 18:37:21"/>
        <s v="2026-02-26 10:04:14"/>
        <s v="2026-02-16 16:26:13"/>
        <s v="2026-08-20 04:20:45"/>
        <s v="2026-01-10 17:13:53"/>
        <s v="2026-07-06 13:12:12"/>
        <s v="2026-04-23 10:46:44"/>
        <s v="2026-04-05 14:03:05"/>
        <s v="2026-05-30 07:51:58"/>
        <s v="2026-04-30 07:49:06"/>
        <s v="2026-04-23 12:50:43"/>
        <s v="2026-05-11 07:47:09"/>
        <s v="2026-06-28 19:44:35"/>
        <s v="2026-06-09 03:16:44"/>
        <s v="2026-02-16 13:01:23"/>
        <s v="2026-06-28 01:52:12"/>
        <s v="2026-02-12 08:55:23"/>
        <s v="2026-02-23 13:56:38"/>
        <s v="2026-01-22 12:51:38"/>
        <s v="2026-03-23 18:48:42"/>
        <s v="2026-04-07 10:21:42"/>
        <s v="2026-08-06 15:45:54"/>
        <s v="2026-02-09 21:34:26"/>
        <s v="2026-06-22 08:02:50"/>
        <s v="2026-03-22 07:07:38"/>
        <s v="2026-03-14 13:39:16"/>
        <s v="2026-04-16 02:39:38"/>
        <s v="2026-06-27 07:10:45"/>
        <s v="2026-08-16 00:57:15"/>
        <s v="2026-04-21 13:52:29"/>
        <s v="2026-07-11 10:32:21"/>
        <s v="2026-08-19 15:45:38"/>
        <s v="2026-08-18 23:31:24"/>
        <s v="2026-04-15 11:29:58"/>
        <s v="2026-07-07 12:44:25"/>
        <s v="2026-02-11 18:20:14"/>
        <s v="2026-06-08 21:27:37"/>
        <s v="2026-05-27 17:25:17"/>
        <s v="2026-03-17 02:34:01"/>
        <s v="2026-02-05 22:02:25"/>
        <s v="2026-02-19 05:51:02"/>
        <s v="2026-02-08 22:50:23"/>
        <s v="2026-04-02 20:18:06"/>
        <s v="2026-05-16 23:10:26"/>
        <s v="2026-05-04 16:42:21"/>
        <s v="2026-03-22 21:49:11"/>
        <s v="2026-06-25 18:23:38"/>
        <s v="2026-01-27 13:44:53"/>
        <s v="2026-04-29 23:10:27"/>
        <s v="2026-02-06 06:54:20"/>
        <s v="2026-04-27 17:17:30"/>
        <s v="2026-06-30 02:29:12"/>
        <s v="2026-08-01 04:33:58"/>
        <s v="2026-08-01 01:27:11"/>
        <s v="2026-05-13 02:55:06"/>
        <s v="2026-03-21 15:13:52"/>
        <s v="2026-05-22 18:30:14"/>
        <s v="2026-03-13 07:32:49"/>
        <s v="2026-04-01 00:08:33"/>
        <s v="2026-05-19 14:40:38"/>
        <s v="2026-02-11 00:25:33"/>
        <s v="2026-05-18 10:17:58"/>
        <s v="2026-08-09 21:59:27"/>
        <s v="2026-03-23 14:08:43"/>
        <s v="2026-03-22 19:07:15"/>
        <s v="2026-07-02 22:13:25"/>
        <s v="2026-06-08 09:45:00"/>
        <s v="2026-04-02 19:50:56"/>
        <s v="2026-06-02 21:49:41"/>
        <s v="2026-06-28 22:20:40"/>
        <s v="2026-02-06 23:26:13"/>
        <s v="2026-05-28 09:26:31"/>
        <s v="2026-08-09 06:15:53"/>
        <s v="2026-07-13 20:53:53"/>
        <s v="2026-02-24 20:18:48"/>
        <s v="2026-02-18 01:08:25"/>
        <s v="2026-03-10 16:04:01"/>
        <s v="2026-06-12 12:09:48"/>
        <s v="2026-05-07 17:50:09"/>
        <s v="2026-04-08 14:03:30"/>
        <s v="2026-01-19 02:23:12"/>
        <s v="2026-04-29 14:39:29"/>
        <s v="2026-01-31 08:51:52"/>
        <s v="2026-03-04 21:03:09"/>
        <s v="2026-06-21 07:01:37"/>
        <s v="2026-05-01 21:05:41"/>
        <s v="2026-01-29 18:59:34"/>
        <s v="2026-05-13 05:26:08"/>
        <s v="2026-05-27 09:31:18"/>
        <s v="2026-06-10 12:53:12"/>
        <s v="2026-08-08 08:10:04"/>
        <s v="2026-04-07 15:50:18"/>
        <s v="2026-08-08 10:24:36"/>
        <s v="2026-07-24 07:21:19"/>
        <s v="2026-04-22 11:56:06"/>
        <s v="2026-02-08 08:12:40"/>
        <s v="2026-03-11 20:27:28"/>
        <s v="2026-02-27 00:28:38"/>
        <s v="2026-04-16 17:10:59"/>
        <s v="2026-01-19 04:11:50"/>
        <s v="2026-02-03 01:15:33"/>
        <s v="2026-01-09 04:57:16"/>
        <s v="2026-08-13 17:41:11"/>
        <s v="2026-07-07 17:31:54"/>
        <s v="2026-02-16 20:28:00"/>
        <s v="2026-04-16 01:28:32"/>
        <s v="2026-05-25 23:19:09"/>
        <s v="2026-08-04 16:38:47"/>
        <s v="2026-05-07 14:34:35"/>
        <s v="2026-01-18 00:33:17"/>
        <s v="2026-03-21 14:42:47"/>
        <s v="2026-07-03 07:41:55"/>
        <s v="2026-01-09 08:13:19"/>
        <s v="2026-04-10 12:48:22"/>
        <s v="2026-04-23 18:14:21"/>
        <s v="2026-01-16 06:14:29"/>
        <s v="2026-04-09 16:30:31"/>
        <s v="2026-05-21 19:50:22"/>
        <s v="2026-04-12 02:02:50"/>
        <s v="2026-01-31 15:36:54"/>
        <s v="2026-07-29 04:33:49"/>
        <s v="2026-01-29 07:27:38"/>
        <s v="2026-07-23 15:14:42"/>
        <s v="2026-05-11 02:50:27"/>
        <s v="2026-04-07 02:31:32"/>
        <s v="2026-04-23 07:53:23"/>
        <s v="2026-05-05 01:41:48"/>
        <s v="2026-06-30 22:42:11"/>
        <s v="2026-04-25 21:27:16"/>
        <s v="2026-06-27 12:22:38"/>
        <s v="2026-06-23 15:11:03"/>
        <s v="2026-06-02 22:27:16"/>
        <s v="2026-08-09 08:15:53"/>
        <s v="2026-07-14 10:53:29"/>
        <s v="2026-05-29 01:14:02"/>
        <s v="2026-01-25 16:11:43"/>
        <s v="2026-08-16 09:56:21"/>
        <s v="2026-07-20 22:27:15"/>
        <s v="2026-02-27 07:38:14"/>
        <s v="2026-07-29 21:03:08"/>
        <s v="2026-04-06 08:28:46"/>
        <s v="2026-01-28 02:53:54"/>
        <s v="2026-05-30 15:11:57"/>
        <s v="2026-01-31 03:56:46"/>
        <s v="2026-07-13 15:12:56"/>
        <s v="2026-07-21 16:48:17"/>
        <s v="2026-04-13 14:04:30"/>
        <s v="2026-07-23 11:37:08"/>
        <s v="2026-06-11 20:16:24"/>
        <s v="2026-02-05 16:03:12"/>
        <s v="2026-08-04 09:33:54"/>
        <s v="2026-07-29 16:40:51"/>
        <s v="2026-08-14 15:48:10"/>
        <s v="2026-03-28 04:32:50"/>
        <s v="2026-05-04 12:42:37"/>
        <s v="2026-05-17 13:22:46"/>
        <s v="2026-03-12 10:18:36"/>
        <s v="2026-08-17 18:52:53"/>
        <s v="2026-04-05 14:34:39"/>
        <s v="2026-01-10 18:25:17"/>
        <s v="2026-04-29 13:12:17"/>
        <s v="2026-03-08 17:45:05"/>
        <s v="2026-04-03 23:26:57"/>
        <s v="2026-05-21 22:01:05"/>
        <s v="2026-03-10 19:27:49"/>
        <s v="2026-05-25 02:02:17"/>
        <s v="2026-07-09 16:11:05"/>
        <s v="2026-08-06 04:40:26"/>
        <s v="2026-03-31 21:16:57"/>
        <s v="2026-05-14 07:38:36"/>
        <s v="2026-03-16 15:23:26"/>
        <s v="2026-04-14 23:44:50"/>
        <s v="2026-04-21 18:13:32"/>
        <s v="2026-04-13 08:47:54"/>
        <s v="2026-08-10 20:43:46"/>
        <s v="2026-05-30 02:11:49"/>
        <s v="2026-04-29 10:29:47"/>
        <s v="2026-06-22 15:20:19"/>
        <s v="2026-01-01 19:16:38"/>
        <s v="2026-05-01 07:34:07"/>
        <s v="2026-01-14 11:24:41"/>
        <s v="2026-04-17 04:19:02"/>
        <s v="2026-04-18 01:11:41"/>
        <s v="2026-06-11 16:05:04"/>
        <s v="2026-08-04 08:15:39"/>
        <s v="2026-05-15 05:52:56"/>
        <s v="2026-01-24 12:14:29"/>
        <s v="2026-07-13 17:15:24"/>
        <s v="2026-06-23 08:15:55"/>
        <s v="2026-02-02 15:27:02"/>
        <s v="2026-01-13 16:11:38"/>
        <s v="2026-03-30 20:39:37"/>
        <s v="2026-05-07 22:39:11"/>
        <s v="2026-07-10 14:48:38"/>
        <s v="2026-01-18 17:47:41"/>
        <s v="2026-05-19 21:41:20"/>
        <s v="2026-04-20 21:38:51"/>
        <s v="2026-08-14 08:05:30"/>
        <s v="2026-03-16 08:19:15"/>
        <s v="2026-02-21 04:10:04"/>
        <s v="2026-01-20 02:12:33"/>
        <s v="2026-05-07 21:01:28"/>
        <s v="2026-01-10 06:35:54"/>
        <s v="2026-07-23 19:32:00"/>
        <s v="2026-01-30 20:03:41"/>
        <s v="2026-07-14 15:38:59"/>
        <s v="2026-07-31 01:35:25"/>
        <s v="2026-08-10 14:46:15"/>
        <s v="2026-01-12 00:46:38"/>
        <s v="2026-08-10 15:05:05"/>
        <s v="2026-04-14 09:18:29"/>
        <s v="2026-08-11 01:43:57"/>
        <s v="2026-04-15 12:55:26"/>
        <s v="2026-01-02 14:58:24"/>
        <s v="2026-06-12 21:17:53"/>
        <s v="2026-03-09 18:10:44"/>
        <s v="2026-08-09 22:22:58"/>
        <s v="2026-03-26 15:32:05"/>
        <s v="2026-08-10 13:38:50"/>
        <s v="2026-01-08 22:00:18"/>
        <s v="2026-06-24 07:40:05"/>
        <s v="2026-05-26 16:03:45"/>
        <s v="2026-01-22 04:59:33"/>
        <s v="2026-06-05 23:16:40"/>
        <s v="2026-03-09 15:54:00"/>
        <s v="2026-02-24 02:55:25"/>
        <s v="2026-03-08 13:28:30"/>
        <s v="2026-04-20 03:12:14"/>
        <s v="2026-08-09 10:21:53"/>
        <s v="2026-04-11 17:15:13"/>
        <s v="2026-03-19 07:30:01"/>
        <s v="2026-01-11 04:30:50"/>
        <s v="2026-08-04 21:53:10"/>
        <s v="2026-03-15 02:28:17"/>
        <s v="2026-06-03 10:16:38"/>
        <s v="2026-04-22 17:13:08"/>
        <s v="2026-06-07 17:35:59"/>
        <s v="2026-06-30 17:31:19"/>
        <s v="2026-05-21 04:30:03"/>
        <s v="2026-05-29 03:34:55"/>
        <s v="2026-08-08 22:09:12"/>
        <s v="2026-04-15 16:21:31"/>
        <s v="2026-04-25 18:33:50"/>
        <s v="2026-06-01 03:30:59"/>
        <s v="2026-03-04 21:12:02"/>
        <s v="2026-06-05 16:47:04"/>
        <s v="2026-03-11 18:09:35"/>
        <s v="2026-05-11 08:36:20"/>
        <s v="2026-03-11 12:41:55"/>
        <s v="2026-05-26 07:28:42"/>
        <s v="2026-01-02 00:33:48"/>
        <s v="2026-04-04 07:35:24"/>
        <s v="2026-02-25 05:41:58"/>
        <s v="2026-01-06 21:59:09"/>
        <s v="2026-01-11 06:52:50"/>
        <s v="2026-03-22 18:12:37"/>
        <s v="2026-03-19 19:32:38"/>
        <s v="2026-06-01 20:43:06"/>
        <s v="2026-06-17 11:32:49"/>
        <s v="2026-06-01 01:09:24"/>
        <s v="2026-03-25 22:32:39"/>
        <s v="2026-03-24 18:21:40"/>
        <s v="2026-04-06 00:34:13"/>
        <s v="2026-04-14 01:28:07"/>
        <s v="2026-07-26 04:17:22"/>
        <s v="2026-07-28 08:04:27"/>
        <s v="2026-07-01 05:09:42"/>
        <s v="2026-07-30 15:14:11"/>
        <s v="2026-07-23 20:54:30"/>
        <s v="2026-04-19 10:28:00"/>
        <s v="2026-03-13 05:30:24"/>
        <s v="2026-03-03 14:49:59"/>
        <s v="2026-07-11 20:26:26"/>
        <s v="2026-02-26 16:39:37"/>
        <s v="2026-03-25 12:40:19"/>
        <s v="2026-08-11 20:52:03"/>
        <s v="2026-05-30 13:40:11"/>
        <s v="2026-03-27 18:04:46"/>
        <s v="2026-04-03 16:24:46"/>
        <s v="2026-01-17 12:55:44"/>
        <s v="2026-06-29 01:30:15"/>
        <s v="2026-05-21 22:06:02"/>
        <s v="2026-05-30 05:12:15"/>
        <s v="2026-03-28 06:01:43"/>
        <s v="2026-01-05 11:55:25"/>
        <s v="2026-04-07 12:41:01"/>
        <s v="2026-01-30 14:10:15"/>
        <s v="2026-03-10 02:32:27"/>
        <s v="2026-06-14 04:23:11"/>
        <s v="2026-05-05 20:10:23"/>
        <s v="2026-03-11 20:27:46"/>
        <s v="2026-08-14 06:48:24"/>
        <s v="2026-03-24 16:13:42"/>
        <s v="2026-06-08 03:48:56"/>
        <s v="2026-01-06 23:51:13"/>
        <s v="2026-01-06 01:57:08"/>
        <s v="2026-03-13 12:47:37"/>
        <s v="2026-01-03 14:25:52"/>
        <s v="2026-06-22 08:26:43"/>
        <s v="2026-06-04 16:46:37"/>
        <s v="2026-03-14 09:52:36"/>
        <s v="2026-03-15 02:41:45"/>
        <s v="2026-01-10 07:04:56"/>
        <s v="2026-01-16 14:20:12"/>
        <s v="2026-01-23 23:07:13"/>
        <s v="2026-02-04 01:29:54"/>
        <s v="2026-03-04 01:50:05"/>
        <s v="2026-01-22 18:13:21"/>
        <s v="2026-01-20 08:08:40"/>
        <s v="2026-05-27 03:14:03"/>
        <s v="2026-01-23 22:09:24"/>
        <s v="2026-02-26 08:52:24"/>
        <s v="2026-06-22 16:51:48"/>
        <s v="2026-02-15 01:09:18"/>
        <s v="2026-04-27 03:51:07"/>
        <s v="2026-02-03 08:50:59"/>
        <s v="2026-06-09 17:58:55"/>
        <s v="2026-03-16 07:56:40"/>
        <s v="2026-06-22 15:29:35"/>
        <s v="2026-03-23 18:35:20"/>
        <s v="2026-01-14 06:19:22"/>
        <s v="2026-03-23 12:28:26"/>
        <s v="2026-06-06 20:18:17"/>
        <s v="2026-01-09 16:05:29"/>
        <s v="2026-08-02 23:36:51"/>
        <s v="2026-02-26 10:20:40"/>
        <s v="2026-01-26 23:18:10"/>
        <s v="2026-08-08 08:25:14"/>
        <s v="2026-05-30 09:06:36"/>
        <s v="2026-02-07 13:53:21"/>
        <s v="2026-07-19 19:46:51"/>
        <s v="2026-03-04 22:00:50"/>
        <s v="2026-02-16 05:30:41"/>
        <s v="2026-02-09 12:15:04"/>
        <s v="2026-01-19 12:24:52"/>
        <s v="2026-04-27 18:49:58"/>
        <s v="2026-05-04 01:45:16"/>
        <s v="2026-06-20 08:52:24"/>
        <s v="2026-03-30 15:51:58"/>
        <s v="2026-05-28 17:45:23"/>
        <s v="2026-06-22 09:55:26"/>
        <s v="2026-02-04 02:07:19"/>
        <s v="2026-03-30 23:46:36"/>
        <s v="2026-02-06 15:12:28"/>
        <s v="2026-07-21 00:27:12"/>
        <s v="2026-08-12 01:13:13"/>
        <s v="2026-06-14 05:16:38"/>
        <s v="2026-01-25 02:59:13"/>
        <s v="2026-01-13 14:33:46"/>
        <s v="2026-06-25 14:53:21"/>
        <s v="2026-03-23 20:18:28"/>
        <s v="2026-06-30 14:30:44"/>
        <s v="2026-07-09 06:33:12"/>
        <s v="2026-04-19 18:28:45"/>
        <s v="2026-07-19 06:30:21"/>
        <s v="2026-05-12 18:13:10"/>
        <s v="2026-05-13 19:19:27"/>
        <s v="2026-07-03 13:30:50"/>
        <s v="2026-01-16 08:28:58"/>
        <s v="2026-07-31 06:42:28"/>
        <s v="2026-03-17 09:38:39"/>
        <s v="2026-07-02 19:12:49"/>
        <s v="2026-03-04 21:03:48"/>
        <s v="2026-02-04 20:22:35"/>
        <s v="2026-01-24 03:11:06"/>
        <s v="2026-07-27 12:01:56"/>
        <s v="2026-05-09 05:08:18"/>
        <s v="2026-02-23 12:31:56"/>
        <s v="2026-08-02 14:51:00"/>
        <s v="2026-01-12 13:33:41"/>
        <s v="2026-04-24 21:27:05"/>
        <s v="2026-07-15 02:19:49"/>
        <s v="2026-01-04 03:27:31"/>
        <s v="2026-01-09 07:06:25"/>
        <s v="2026-06-21 05:22:01"/>
        <s v="2026-04-26 04:25:05"/>
        <s v="2026-01-28 12:20:21"/>
        <s v="2026-03-23 08:59:04"/>
        <s v="2026-07-25 10:34:34"/>
        <s v="2026-05-14 22:35:53"/>
        <s v="2026-06-15 00:25:53"/>
        <s v="2026-02-01 04:35:01"/>
        <s v="2026-06-30 02:28:23"/>
        <s v="2026-04-16 05:49:58"/>
        <s v="2026-04-21 01:34:42"/>
        <s v="2026-06-11 13:54:26"/>
        <s v="2026-03-16 15:10:49"/>
        <s v="2026-07-05 17:20:51"/>
        <s v="2026-02-21 02:02:44"/>
        <s v="2026-01-17 21:08:21"/>
        <s v="2026-02-28 10:08:58"/>
        <s v="2026-05-28 08:17:55"/>
        <s v="2026-02-28 00:12:35"/>
        <s v="2026-03-19 19:53:22"/>
        <s v="2026-08-04 12:54:05"/>
        <s v="2026-07-21 04:28:25"/>
        <s v="2026-01-16 17:21:02"/>
        <s v="2026-07-20 15:52:49"/>
        <s v="2026-08-09 05:09:35"/>
        <s v="2026-03-16 04:16:12"/>
        <s v="2026-05-04 23:07:43"/>
        <s v="2026-08-08 13:32:07"/>
        <s v="2026-03-24 22:13:43"/>
        <s v="2026-01-21 19:55:12"/>
        <s v="2026-02-25 07:19:40"/>
        <s v="2026-06-26 06:29:43"/>
        <s v="2026-01-19 09:55:48"/>
        <s v="2026-07-18 01:47:12"/>
        <s v="2026-03-05 07:24:38"/>
        <s v="2026-01-03 22:07:27"/>
        <s v="2026-07-20 02:48:05"/>
        <s v="2026-05-08 10:15:28"/>
        <s v="2026-02-26 08:23:23"/>
        <s v="2026-07-14 17:42:24"/>
        <s v="2026-02-15 04:42:06"/>
        <s v="2026-05-19 02:24:37"/>
        <s v="2026-06-26 10:48:22"/>
        <s v="2026-01-12 16:03:24"/>
        <s v="2026-04-14 04:03:54"/>
        <s v="2026-01-15 18:10:59"/>
        <s v="2026-08-17 08:27:04"/>
        <s v="2026-02-16 07:55:48"/>
        <s v="2026-08-17 02:03:25"/>
        <s v="2026-02-27 06:12:26"/>
        <s v="2026-04-03 07:18:23"/>
        <s v="2026-07-07 14:38:40"/>
        <s v="2026-08-01 16:53:31"/>
        <s v="2026-07-18 01:16:20"/>
        <s v="2026-06-17 02:27:44"/>
        <s v="2026-08-17 14:21:41"/>
        <s v="2026-03-17 08:45:58"/>
        <s v="2026-03-04 13:46:15"/>
        <s v="2026-01-08 13:44:17"/>
        <s v="2026-07-26 02:18:06"/>
        <s v="2026-06-09 09:32:58"/>
        <s v="2026-04-09 06:24:27"/>
        <s v="2026-02-20 03:43:01"/>
        <s v="2026-03-19 05:33:34"/>
        <s v="2026-07-27 17:11:18"/>
        <s v="2026-08-08 01:40:57"/>
        <s v="2026-06-03 11:53:55"/>
        <s v="2026-04-27 14:59:17"/>
        <s v="2026-08-08 04:01:55"/>
        <s v="2026-03-28 20:30:53"/>
        <s v="2026-07-06 05:11:13"/>
        <s v="2026-04-16 06:36:50"/>
        <s v="2026-07-25 22:07:19"/>
        <s v="2026-06-11 21:48:48"/>
        <s v="2026-07-17 10:54:48"/>
        <s v="2026-07-01 23:29:22"/>
        <s v="2026-04-15 00:49:38"/>
        <s v="2026-02-26 11:56:28"/>
        <s v="2026-05-23 03:31:52"/>
        <s v="2026-04-28 16:56:52"/>
        <s v="2026-03-31 14:19:05"/>
        <s v="2026-04-12 19:46:32"/>
        <s v="2026-04-16 21:02:40"/>
        <s v="2026-01-22 03:44:48"/>
        <s v="2026-03-12 20:27:04"/>
        <s v="2026-06-16 20:35:56"/>
        <s v="2026-01-02 07:11:36"/>
        <s v="2026-01-24 01:24:24"/>
        <s v="2026-07-31 12:00:12"/>
        <s v="2026-07-12 05:44:48"/>
        <s v="2026-08-19 21:49:20"/>
        <s v="2026-01-16 02:33:19"/>
        <s v="2026-03-22 01:48:36"/>
        <s v="2026-02-10 11:44:38"/>
        <s v="2026-01-23 17:46:25"/>
        <s v="2026-04-24 01:05:42"/>
        <s v="2026-08-15 17:07:50"/>
        <s v="2026-01-06 21:06:58"/>
        <s v="2026-04-18 00:59:08"/>
        <s v="2026-05-09 02:51:59"/>
        <s v="2026-06-30 14:10:09"/>
        <s v="2026-02-18 06:51:02"/>
        <s v="2026-01-04 21:50:22"/>
        <s v="2026-04-22 20:44:16"/>
        <s v="2026-04-20 06:58:39"/>
        <s v="2026-08-11 14:35:24"/>
        <s v="2026-08-09 00:37:51"/>
        <s v="2026-02-03 01:15:37"/>
        <s v="2026-07-15 00:25:52"/>
        <s v="2026-05-18 08:48:48"/>
        <s v="2026-05-08 00:01:39"/>
        <s v="2026-05-03 18:57:22"/>
        <s v="2026-06-25 13:27:28"/>
        <s v="2026-04-22 17:56:07"/>
        <s v="2026-01-29 20:50:12"/>
        <s v="2026-06-03 13:30:24"/>
        <s v="2026-05-22 08:04:53"/>
        <s v="2026-03-05 02:09:57"/>
        <s v="2026-06-28 17:39:36"/>
        <s v="2026-08-14 19:20:46"/>
        <s v="2026-05-04 04:32:17"/>
        <s v="2026-04-27 23:23:23"/>
        <s v="2026-07-14 15:33:49"/>
        <s v="2026-07-01 14:40:53"/>
        <s v="2026-01-14 23:25:44"/>
        <s v="2026-07-16 17:39:16"/>
        <s v="2026-07-08 04:31:19"/>
        <s v="2026-06-23 07:37:50"/>
        <s v="2026-06-13 11:49:12"/>
        <s v="2026-04-25 04:45:06"/>
        <s v="2026-02-25 23:18:23"/>
        <s v="2026-01-10 20:29:36"/>
        <s v="2026-07-19 15:42:35"/>
        <s v="2026-01-12 23:03:29"/>
        <s v="2026-08-08 17:10:31"/>
        <s v="2026-05-14 08:12:45"/>
        <s v="2026-06-21 21:15:57"/>
        <s v="2026-07-25 13:04:16"/>
        <s v="2026-07-14 18:28:16"/>
        <s v="2026-06-28 18:05:13"/>
        <s v="2026-05-12 17:49:06"/>
        <s v="2026-01-25 11:11:28"/>
        <s v="2026-05-04 21:06:34"/>
        <s v="2026-05-21 00:54:33"/>
        <s v="2026-03-08 03:27:29"/>
        <s v="2026-05-26 07:45:48"/>
        <s v="2026-05-27 11:12:25"/>
        <s v="2026-07-19 18:10:25"/>
        <s v="2026-03-01 14:49:23"/>
        <s v="2026-03-06 20:36:13"/>
        <s v="2026-05-31 06:30:36"/>
        <s v="2026-04-26 09:57:36"/>
        <s v="2026-05-24 16:07:48"/>
        <s v="2026-07-25 06:29:43"/>
        <s v="2026-08-18 16:55:21"/>
        <s v="2026-08-08 18:54:18"/>
        <s v="2026-05-28 23:25:19"/>
        <s v="2026-06-24 08:48:13"/>
        <s v="2026-06-17 06:55:26"/>
        <s v="2026-02-23 02:36:57"/>
        <s v="2026-04-02 11:08:35"/>
        <s v="2026-02-26 03:37:59"/>
        <s v="2026-04-14 03:22:41"/>
        <s v="2026-08-09 16:16:33"/>
        <s v="2026-03-31 17:57:09"/>
        <s v="2026-04-26 01:25:01"/>
        <s v="2026-02-24 02:49:36"/>
        <s v="2026-05-28 11:30:58"/>
        <s v="2026-05-15 23:19:21"/>
        <s v="2026-05-09 03:08:42"/>
        <s v="2026-07-31 09:14:55"/>
        <s v="2026-05-23 14:25:34"/>
        <s v="2026-06-12 22:00:06"/>
        <s v="2026-05-22 07:46:22"/>
        <s v="2026-05-19 04:58:23"/>
        <s v="2026-08-08 11:50:19"/>
        <s v="2026-07-22 23:46:28"/>
        <s v="2026-02-13 03:55:24"/>
        <s v="2026-02-27 16:59:34"/>
        <s v="2026-05-03 21:08:18"/>
        <s v="2026-06-11 09:58:06"/>
        <s v="2026-07-21 08:56:00"/>
        <s v="2026-08-03 04:48:20"/>
        <s v="2026-07-09 17:29:46"/>
        <s v="2026-08-05 04:19:19"/>
        <s v="2026-06-03 12:46:45"/>
        <s v="2026-06-22 02:55:11"/>
        <s v="2026-03-29 15:40:57"/>
        <s v="2026-02-10 09:15:14"/>
        <s v="2026-01-15 02:17:40"/>
        <s v="2026-03-02 00:51:52"/>
        <s v="2026-03-07 10:39:45"/>
        <s v="2026-03-13 21:15:01"/>
        <s v="2026-07-19 08:29:27"/>
        <s v="2026-06-25 14:44:27"/>
        <s v="2026-05-10 01:06:34"/>
        <s v="2026-04-01 10:33:52"/>
        <s v="2026-05-03 12:45:31"/>
        <s v="2026-07-02 08:34:14"/>
        <s v="2026-03-08 20:30:16"/>
        <s v="2026-01-12 19:42:38"/>
        <s v="2026-08-02 19:27:21"/>
        <s v="2026-03-15 01:30:43"/>
        <s v="2026-05-11 07:46:02"/>
        <s v="2026-07-23 17:15:33"/>
        <s v="2026-05-27 02:41:26"/>
        <s v="2026-04-14 09:00:10"/>
        <s v="2026-05-14 02:47:02"/>
        <s v="2026-02-02 23:33:35"/>
        <s v="2026-08-08 17:19:19"/>
        <s v="2026-03-18 19:02:14"/>
        <s v="2026-04-09 10:01:16"/>
        <s v="2026-07-05 23:26:35"/>
        <s v="2026-03-29 10:44:45"/>
        <s v="2026-04-09 22:06:18"/>
        <s v="2026-03-26 05:30:38"/>
        <s v="2026-03-06 03:06:45"/>
        <s v="2026-01-18 06:41:35"/>
        <s v="2026-04-12 09:24:59"/>
        <s v="2026-03-07 00:04:29"/>
        <s v="2026-03-23 02:58:19"/>
        <s v="2026-01-24 16:18:18"/>
        <s v="2026-03-01 02:06:30"/>
        <s v="2026-07-04 20:45:07"/>
        <s v="2026-02-21 07:51:35"/>
        <s v="2026-03-13 02:12:50"/>
        <s v="2026-07-03 11:24:08"/>
        <s v="2026-03-18 05:40:41"/>
        <s v="2026-02-08 19:20:08"/>
        <s v="2026-01-22 18:27:04"/>
        <s v="2026-05-24 00:08:41"/>
        <s v="2026-01-19 09:16:42"/>
        <s v="2026-02-05 12:04:49"/>
        <s v="2026-07-03 15:53:01"/>
        <s v="2026-03-12 08:53:15"/>
        <s v="2026-01-27 13:24:56"/>
        <s v="2026-03-20 05:33:17"/>
        <s v="2026-03-25 01:31:30"/>
        <s v="2026-02-13 19:36:06"/>
        <s v="2026-03-18 10:34:50"/>
        <s v="2026-05-07 02:20:48"/>
        <s v="2026-05-16 21:09:22"/>
        <s v="2026-03-05 09:47:32"/>
        <s v="2026-02-21 10:10:40"/>
        <s v="2026-02-06 01:30:16"/>
        <s v="2026-01-05 08:23:56"/>
        <s v="2026-04-26 12:08:15"/>
        <s v="2026-05-28 11:27:49"/>
        <s v="2026-06-23 17:00:15"/>
        <s v="2026-07-08 18:35:01"/>
        <s v="2026-01-06 04:39:51"/>
        <s v="2026-07-24 01:59:03"/>
        <s v="2026-03-30 07:55:43"/>
        <s v="2026-05-23 01:11:25"/>
        <s v="2026-06-01 23:07:53"/>
        <s v="2026-02-16 09:20:47"/>
        <s v="2026-03-26 22:26:09"/>
        <s v="2026-04-01 05:59:10"/>
        <s v="2026-06-13 02:56:33"/>
        <s v="2026-05-29 03:08:29"/>
        <s v="2026-04-05 07:41:35"/>
        <s v="2026-01-04 04:00:30"/>
        <s v="2026-08-11 17:17:07"/>
        <s v="2026-04-11 08:59:51"/>
        <s v="2026-07-21 02:27:23"/>
        <s v="2026-03-21 05:02:31"/>
        <s v="2026-05-12 01:13:24"/>
        <s v="2026-06-24 09:46:11"/>
        <s v="2026-02-18 12:08:15"/>
        <s v="2026-02-08 09:02:26"/>
        <s v="2026-06-20 03:05:40"/>
        <s v="2026-01-07 19:24:18"/>
        <s v="2026-03-27 21:00:31"/>
        <s v="2026-01-09 00:11:44"/>
        <s v="2026-04-24 19:21:43"/>
        <s v="2026-02-23 16:19:39"/>
        <s v="2026-08-03 10:47:38"/>
        <s v="2026-05-11 15:41:29"/>
        <s v="2026-01-16 20:12:09"/>
        <s v="2026-08-14 16:31:26"/>
        <s v="2026-05-21 22:44:16"/>
        <s v="2026-06-08 00:32:38"/>
        <s v="2026-04-07 16:07:28"/>
        <s v="2026-06-14 20:24:19"/>
        <s v="2026-06-23 05:17:05"/>
        <s v="2026-04-13 23:55:57"/>
        <s v="2026-06-02 20:28:44"/>
        <s v="2026-07-08 19:01:46"/>
        <s v="2026-06-22 13:39:57"/>
        <s v="2026-04-27 07:19:16"/>
        <s v="2026-04-23 17:02:50"/>
        <s v="2026-04-25 20:34:07"/>
        <s v="2026-05-11 10:17:17"/>
        <s v="2026-05-26 03:36:35"/>
        <s v="2026-07-25 06:55:04"/>
        <s v="2026-02-01 00:42:13"/>
        <s v="2026-05-08 05:59:08"/>
        <s v="2026-08-07 17:30:43"/>
        <s v="2026-07-23 13:05:16"/>
        <s v="2026-06-09 00:33:41"/>
        <s v="2026-06-06 12:46:59"/>
        <s v="2026-03-06 00:38:01"/>
        <s v="2026-04-13 12:45:08"/>
        <s v="2026-03-18 15:15:03"/>
        <s v="2026-01-17 11:08:40"/>
        <s v="2026-08-10 00:21:32"/>
        <s v="2026-02-14 05:33:45"/>
        <s v="2026-02-11 06:53:34"/>
        <s v="2026-08-10 13:13:47"/>
        <s v="2026-07-19 18:11:30"/>
        <s v="2026-04-15 13:42:34"/>
        <s v="2026-08-03 22:31:41"/>
        <s v="2026-05-21 19:52:59"/>
        <s v="2026-05-29 22:57:58"/>
        <s v="2026-06-15 22:14:33"/>
        <s v="2026-06-09 10:44:10"/>
        <s v="2026-08-05 02:43:53"/>
        <s v="2026-05-11 08:44:07"/>
        <s v="2026-06-22 08:07:23"/>
        <s v="2026-04-05 03:27:42"/>
        <s v="2026-06-16 15:44:40"/>
        <s v="2026-06-19 19:09:51"/>
        <s v="2026-07-01 17:20:09"/>
        <s v="2026-04-04 05:54:15"/>
        <s v="2026-02-16 06:05:52"/>
        <s v="2026-02-05 04:15:57"/>
        <s v="2026-05-10 06:23:30"/>
        <s v="2026-02-13 03:05:56"/>
        <s v="2026-05-29 20:43:26"/>
        <s v="2026-07-30 06:13:06"/>
        <s v="2026-02-26 06:35:57"/>
        <s v="2026-03-05 16:51:16"/>
        <s v="2026-07-02 04:29:09"/>
        <s v="2026-01-15 18:49:56"/>
        <s v="2026-04-13 05:38:15"/>
        <s v="2026-05-24 21:12:15"/>
        <s v="2026-02-13 15:29:21"/>
        <s v="2026-08-11 11:13:39"/>
        <s v="2026-08-14 02:53:40"/>
        <s v="2026-07-02 16:06:25"/>
        <s v="2026-05-12 11:07:47"/>
        <s v="2026-01-08 14:56:24"/>
        <s v="2026-03-05 20:32:48"/>
        <s v="2026-06-22 21:50:27"/>
        <s v="2026-03-11 05:08:44"/>
        <s v="2026-05-30 14:16:01"/>
        <s v="2026-03-13 00:40:16"/>
        <s v="2026-02-01 17:51:11"/>
        <s v="2026-04-01 21:08:30"/>
        <s v="2026-05-30 05:50:18"/>
        <s v="2026-06-26 05:54:02"/>
        <s v="2026-01-11 16:55:49"/>
        <s v="2026-07-22 01:12:40"/>
        <s v="2026-06-13 22:45:30"/>
        <s v="2026-07-04 08:31:46"/>
        <s v="2026-07-15 02:29:23"/>
        <s v="2026-07-05 05:30:18"/>
        <s v="2026-07-18 01:53:01"/>
        <s v="2026-02-23 01:13:53"/>
        <s v="2026-05-01 08:53:48"/>
        <s v="2026-05-29 15:10:02"/>
        <s v="2026-04-15 19:03:54"/>
        <s v="2026-05-31 16:31:30"/>
        <s v="2026-07-10 20:42:57"/>
        <s v="2026-02-28 18:05:27"/>
        <s v="2026-01-07 09:46:51"/>
        <s v="2026-02-11 00:14:29"/>
        <s v="2026-05-21 06:37:19"/>
        <s v="2026-05-17 16:23:25"/>
        <s v="2026-01-30 23:26:36"/>
        <s v="2026-04-30 03:42:10"/>
        <s v="2026-07-05 12:33:35"/>
        <s v="2026-02-12 11:38:32"/>
        <s v="2026-04-15 04:42:49"/>
        <s v="2026-07-06 03:05:56"/>
        <s v="2026-05-28 05:26:14"/>
        <s v="2026-04-05 14:04:30"/>
        <s v="2026-07-10 13:22:47"/>
        <s v="2026-05-29 11:02:38"/>
        <s v="2026-05-24 02:40:44"/>
        <s v="2026-04-17 17:58:49"/>
        <s v="2026-03-02 01:28:49"/>
        <s v="2026-08-17 17:47:28"/>
        <s v="2026-03-24 09:09:15"/>
        <s v="2026-02-15 11:11:52"/>
        <s v="2026-05-31 09:13:30"/>
        <s v="2026-07-13 15:46:36"/>
        <s v="2026-02-26 14:13:23"/>
        <s v="2026-05-13 08:06:56"/>
        <s v="2026-05-27 02:07:12"/>
        <s v="2026-07-24 05:31:04"/>
        <s v="2026-08-05 19:01:31"/>
        <s v="2026-08-09 16:02:42"/>
        <s v="2026-02-16 21:50:47"/>
        <s v="2026-08-02 04:04:34"/>
        <s v="2026-07-16 23:37:46"/>
        <s v="2026-01-07 02:45:24"/>
        <s v="2026-07-18 11:44:56"/>
        <s v="2026-05-22 15:17:27"/>
        <s v="2026-06-27 22:16:21"/>
        <s v="2026-06-09 05:01:18"/>
        <s v="2026-07-26 19:12:02"/>
        <s v="2026-07-21 05:24:08"/>
        <s v="2026-04-14 01:38:58"/>
        <s v="2026-02-03 14:05:45"/>
        <s v="2026-06-03 20:56:04"/>
        <s v="2026-03-11 19:58:26"/>
        <s v="2026-03-09 07:14:46"/>
        <s v="2026-04-30 23:37:48"/>
        <s v="2026-08-20 07:33:05"/>
        <s v="2026-04-22 14:43:21"/>
        <s v="2026-05-08 04:09:20"/>
        <s v="2026-03-05 16:21:23"/>
        <s v="2026-05-07 17:20:45"/>
        <s v="2026-01-27 19:49:48"/>
        <s v="2026-07-26 20:05:17"/>
        <s v="2026-01-25 11:43:54"/>
        <s v="2026-03-19 15:18:19"/>
        <s v="2026-05-12 20:03:45"/>
        <s v="2026-02-24 11:10:10"/>
        <s v="2026-05-15 14:51:25"/>
        <s v="2026-06-22 22:24:45"/>
        <s v="2026-05-18 13:30:35"/>
        <s v="2026-02-13 05:48:02"/>
        <s v="2026-05-30 01:05:07"/>
        <s v="2026-03-21 01:45:46"/>
        <s v="2026-02-12 10:39:15"/>
        <s v="2026-04-05 02:13:23"/>
        <s v="2026-07-24 17:11:27"/>
        <s v="2026-03-27 17:33:00"/>
        <s v="2026-04-11 11:51:59"/>
        <s v="2026-04-08 22:39:36"/>
        <s v="2026-06-22 13:03:23"/>
        <s v="2026-06-08 14:10:49"/>
        <s v="2026-01-03 02:27:32"/>
        <s v="2026-05-09 20:30:55"/>
        <s v="2026-08-15 19:38:25"/>
        <s v="2026-03-03 16:54:28"/>
        <s v="2026-05-16 03:25:20"/>
        <s v="2026-02-21 07:34:23"/>
        <s v="2026-02-26 22:13:03"/>
        <s v="2026-05-13 15:55:34"/>
        <s v="2026-03-05 14:54:54"/>
        <s v="2026-06-10 23:27:02"/>
        <s v="2026-08-02 08:27:05"/>
        <s v="2026-07-17 04:43:11"/>
        <s v="2026-02-11 03:11:15"/>
        <s v="2026-03-05 23:26:59"/>
        <s v="2026-07-29 21:17:02"/>
        <s v="2026-03-31 22:13:27"/>
        <s v="2026-05-10 15:50:42"/>
        <s v="2026-08-19 18:47:37"/>
        <s v="2026-04-03 13:13:53"/>
        <s v="2026-03-04 08:28:38"/>
        <s v="2026-05-23 18:00:01"/>
        <s v="2026-02-02 06:02:36"/>
        <s v="2026-02-08 16:53:45"/>
        <s v="2026-05-31 19:55:06"/>
        <s v="2026-05-12 11:36:27"/>
        <s v="2026-08-16 06:54:20"/>
        <s v="2026-04-02 03:44:51"/>
        <s v="2026-03-11 19:36:55"/>
        <s v="2026-03-14 18:57:23"/>
        <s v="2026-04-19 05:54:31"/>
        <s v="2026-07-18 12:31:09"/>
        <s v="2026-03-14 19:21:35"/>
        <s v="2026-04-07 05:30:44"/>
        <s v="2026-03-17 14:05:30"/>
        <s v="2026-06-24 15:55:04"/>
        <s v="2026-02-14 09:10:25"/>
        <s v="2026-08-16 15:34:35"/>
        <s v="2026-03-06 07:56:17"/>
        <s v="2026-08-06 08:16:29"/>
        <s v="2026-07-31 17:17:39"/>
        <s v="2026-03-25 18:51:27"/>
        <s v="2026-03-11 02:24:24"/>
        <s v="2026-03-10 20:35:31"/>
        <s v="2026-07-01 00:20:31"/>
        <s v="2026-07-22 19:52:51"/>
        <s v="2026-03-09 14:26:58"/>
        <s v="2026-05-11 21:28:16"/>
        <s v="2026-06-10 11:15:14"/>
        <s v="2026-02-22 13:54:31"/>
        <s v="2026-01-10 19:09:08"/>
        <s v="2026-02-03 23:01:45"/>
        <s v="2026-07-08 07:46:23"/>
        <s v="2026-04-25 15:53:09"/>
        <s v="2026-04-16 19:21:32"/>
        <s v="2026-04-28 07:20:07"/>
        <s v="2026-04-28 06:38:12"/>
        <s v="2026-08-11 21:21:30"/>
        <s v="2026-06-25 18:47:07"/>
        <s v="2026-02-26 14:18:25"/>
        <s v="2026-08-19 17:07:25"/>
        <s v="2026-08-13 03:10:35"/>
        <s v="2026-07-09 15:44:49"/>
        <s v="2026-06-16 10:31:37"/>
        <s v="2026-07-31 12:47:21"/>
        <s v="2026-03-24 21:09:41"/>
        <s v="2026-01-07 07:07:01"/>
        <s v="2026-04-15 05:10:33"/>
        <s v="2026-01-28 02:21:27"/>
        <s v="2026-02-12 12:02:22"/>
        <s v="2026-01-13 23:22:06"/>
        <s v="2026-03-14 23:28:38"/>
        <s v="2026-01-22 03:12:03"/>
        <s v="2026-06-10 10:15:48"/>
        <s v="2026-04-20 06:10:03"/>
        <s v="2026-04-05 11:28:14"/>
        <s v="2026-07-27 22:23:53"/>
        <s v="2026-03-23 14:22:15"/>
        <s v="2026-04-09 02:44:54"/>
        <s v="2026-05-18 18:20:01"/>
        <s v="2026-07-12 02:30:16"/>
        <s v="2026-06-10 04:07:13"/>
        <s v="2026-03-18 22:23:25"/>
        <s v="2026-07-01 16:50:24"/>
        <s v="2026-07-26 03:59:21"/>
        <s v="2026-01-28 20:12:21"/>
        <s v="2026-03-07 05:53:05"/>
        <s v="2026-04-22 06:48:56"/>
        <s v="2026-01-23 02:55:07"/>
        <s v="2026-05-29 11:18:54"/>
        <s v="2026-06-29 17:27:39"/>
        <s v="2026-08-17 05:20:38"/>
        <s v="2026-03-22 12:13:06"/>
        <s v="2026-04-11 23:53:05"/>
        <s v="2026-03-21 12:39:58"/>
        <s v="2026-02-04 10:02:28"/>
        <s v="2026-08-09 23:58:09"/>
        <s v="2026-04-23 07:48:45"/>
        <s v="2026-06-10 13:49:53"/>
        <s v="2026-05-15 03:38:23"/>
        <s v="2026-07-28 23:54:41"/>
        <s v="2026-04-27 20:32:26"/>
        <s v="2026-02-11 19:37:21"/>
        <s v="2026-01-26 08:38:26"/>
        <s v="2026-05-06 15:31:56"/>
        <s v="2026-02-14 14:40:52"/>
        <s v="2026-08-08 07:20:56"/>
        <s v="2026-03-03 11:57:01"/>
        <s v="2026-05-17 11:32:51"/>
        <s v="2026-01-23 22:02:08"/>
        <s v="2026-08-07 08:13:42"/>
        <s v="2026-03-17 20:00:04"/>
        <s v="2026-06-23 15:38:22"/>
        <s v="2026-08-06 22:31:27"/>
        <s v="2026-06-12 13:02:17"/>
        <s v="2026-08-02 07:14:17"/>
        <s v="2026-03-24 00:21:39"/>
        <s v="2026-05-25 18:16:01"/>
        <s v="2026-01-16 05:57:22"/>
        <s v="2026-05-01 06:32:55"/>
        <s v="2026-03-12 08:49:48"/>
        <s v="2026-06-27 17:35:27"/>
        <s v="2026-04-17 23:05:07"/>
        <s v="2026-02-04 17:53:24"/>
        <s v="2026-04-29 22:39:38"/>
        <s v="2026-04-20 17:15:08"/>
        <s v="2026-03-03 22:17:12"/>
        <s v="2026-07-30 18:16:06"/>
        <s v="2026-01-21 05:19:16"/>
        <s v="2026-06-22 03:36:45"/>
        <s v="2026-02-09 20:33:08"/>
        <s v="2026-06-01 15:52:22"/>
        <s v="2026-07-04 05:32:05"/>
        <s v="2026-03-13 02:24:16"/>
        <s v="2026-07-10 05:29:23"/>
        <s v="2026-08-15 16:01:29"/>
        <s v="2026-07-10 16:29:01"/>
        <s v="2026-01-17 04:52:14"/>
        <s v="2026-01-24 23:37:58"/>
        <s v="2026-04-26 07:12:46"/>
        <s v="2026-02-25 03:13:25"/>
        <s v="2026-01-21 13:35:24"/>
        <s v="2026-03-29 02:22:10"/>
        <s v="2026-04-27 14:46:50"/>
        <s v="2026-01-18 16:12:57"/>
        <s v="2026-01-03 01:36:35"/>
        <s v="2026-02-04 03:30:12"/>
        <s v="2026-05-15 12:26:34"/>
        <s v="2026-03-30 13:15:38"/>
        <s v="2026-04-26 03:01:12"/>
        <s v="2026-01-07 09:28:32"/>
        <s v="2026-03-27 09:18:39"/>
        <s v="2026-01-11 17:50:58"/>
        <s v="2026-05-27 17:06:27"/>
        <s v="2026-05-17 18:28:17"/>
        <s v="2026-04-27 01:39:57"/>
        <s v="2026-08-17 16:15:59"/>
        <s v="2026-02-15 21:57:44"/>
        <s v="2026-02-17 10:09:54"/>
        <s v="2026-01-03 02:34:50"/>
        <s v="2026-06-17 14:08:37"/>
        <s v="2026-04-20 09:01:31"/>
        <s v="2026-03-14 14:24:35"/>
        <s v="2026-07-09 18:16:23"/>
        <s v="2026-07-06 07:38:32"/>
        <s v="2026-08-04 13:07:20"/>
        <s v="2026-04-27 23:04:23"/>
        <s v="2026-03-21 19:28:41"/>
        <s v="2026-01-04 00:42:47"/>
        <s v="2026-05-09 23:09:29"/>
        <s v="2026-06-23 15:41:33"/>
        <s v="2026-01-24 01:44:12"/>
        <s v="2026-04-06 12:44:18"/>
        <s v="2026-05-28 01:12:41"/>
        <s v="2026-05-20 06:51:36"/>
        <s v="2026-07-19 07:27:08"/>
        <s v="2026-08-03 11:31:37"/>
        <s v="2026-01-16 05:50:39"/>
        <s v="2026-04-02 07:50:24"/>
        <s v="2026-05-14 12:18:12"/>
        <s v="2026-01-18 05:17:57"/>
        <s v="2026-02-18 00:03:54"/>
        <s v="2026-02-14 15:43:21"/>
        <s v="2026-03-22 01:59:06"/>
        <s v="2026-01-14 12:04:22"/>
        <s v="2026-03-15 22:30:12"/>
        <s v="2026-07-21 19:20:29"/>
        <s v="2026-01-23 09:00:45"/>
        <s v="2026-02-11 06:48:59"/>
        <s v="2026-04-26 01:20:42"/>
        <s v="2026-05-13 07:55:27"/>
        <s v="2026-06-13 14:14:11"/>
        <s v="2026-03-22 23:13:20"/>
        <s v="2026-01-04 09:50:59"/>
        <s v="2026-01-25 07:16:21"/>
        <s v="2026-01-15 13:39:54"/>
        <s v="2026-06-21 14:38:09"/>
        <s v="2026-06-16 05:37:51"/>
        <s v="2026-05-10 12:19:19"/>
        <s v="2026-02-11 05:47:22"/>
        <s v="2026-07-19 12:20:28"/>
        <s v="2026-07-20 05:43:15"/>
        <s v="2026-07-29 01:24:48"/>
        <s v="2026-01-23 00:27:39"/>
        <s v="2026-05-30 07:12:17"/>
        <s v="2026-07-19 05:56:10"/>
        <s v="2026-07-28 20:40:48"/>
        <s v="2026-06-09 19:38:01"/>
        <s v="2026-01-21 22:24:55"/>
        <s v="2026-03-19 21:39:07"/>
        <s v="2026-07-08 07:33:00"/>
        <s v="2026-03-10 06:04:34"/>
        <s v="2026-07-05 17:10:33"/>
        <s v="2026-04-17 07:08:38"/>
        <s v="2026-05-05 05:51:59"/>
        <s v="2026-03-23 08:33:16"/>
        <s v="2026-06-18 07:14:01"/>
        <s v="2026-04-24 15:59:46"/>
        <s v="2026-02-20 20:34:01"/>
        <s v="2026-07-04 10:29:03"/>
        <s v="2026-04-26 07:42:38"/>
        <s v="2026-07-30 18:44:26"/>
        <s v="2026-04-26 21:19:21"/>
        <s v="2026-06-18 12:20:55"/>
        <s v="2026-02-14 03:38:56"/>
        <s v="2026-02-21 06:38:51"/>
        <s v="2026-03-04 03:04:35"/>
        <s v="2026-06-11 13:03:54"/>
        <s v="2026-08-12 21:13:25"/>
        <s v="2026-03-20 14:17:55"/>
        <s v="2026-05-18 06:19:11"/>
        <s v="2026-04-10 17:11:37"/>
        <s v="2026-04-03 15:54:00"/>
        <s v="2026-03-28 22:52:56"/>
        <s v="2026-06-24 20:10:19"/>
        <s v="2026-07-11 22:58:19"/>
        <s v="2026-05-29 08:06:06"/>
        <s v="2026-05-19 21:50:55"/>
        <s v="2026-06-08 20:48:24"/>
        <s v="2026-02-27 23:10:15"/>
        <s v="2026-05-02 06:27:13"/>
        <s v="2026-05-01 17:46:40"/>
        <s v="2026-04-23 07:01:55"/>
        <s v="2026-05-05 18:54:05"/>
        <s v="2026-03-13 19:37:18"/>
        <s v="2026-04-26 07:57:26"/>
        <s v="2026-07-30 07:35:53"/>
        <s v="2026-05-26 05:48:54"/>
        <s v="2026-03-28 16:02:28"/>
        <s v="2026-05-20 18:04:45"/>
        <s v="2026-01-06 20:50:15"/>
        <s v="2026-06-18 14:44:32"/>
        <s v="2026-03-16 17:05:33"/>
        <s v="2026-02-11 05:58:04"/>
        <s v="2026-03-21 19:22:19"/>
        <s v="2026-02-05 20:39:13"/>
        <s v="2026-01-18 17:41:33"/>
        <s v="2026-02-02 07:52:19"/>
        <s v="2026-08-18 02:29:15"/>
        <s v="2026-06-08 14:29:29"/>
        <s v="2026-04-02 10:24:43"/>
        <s v="2026-08-01 02:00:01"/>
        <s v="2026-05-01 23:38:43"/>
        <s v="2026-07-10 12:58:32"/>
        <s v="2026-01-26 15:42:19"/>
        <s v="2026-06-20 14:55:08"/>
        <s v="2026-04-30 11:44:20"/>
        <s v="2026-01-04 18:36:56"/>
        <s v="2026-02-08 19:25:38"/>
        <s v="2026-05-06 01:19:33"/>
        <s v="2026-02-16 13:48:22"/>
        <s v="2026-01-29 03:05:36"/>
        <s v="2026-02-18 19:26:30"/>
        <s v="2026-01-10 14:54:47"/>
        <s v="2026-07-05 15:50:21"/>
        <s v="2026-04-16 12:42:04"/>
        <s v="2026-02-24 04:25:27"/>
        <s v="2026-01-03 14:12:43"/>
        <s v="2026-02-21 12:45:16"/>
        <s v="2026-04-28 01:03:29"/>
        <s v="2026-05-11 00:57:10"/>
        <s v="2026-02-06 00:57:10"/>
        <s v="2026-02-19 05:54:47"/>
        <s v="2026-01-10 06:57:37"/>
        <s v="2026-06-01 14:24:51"/>
        <s v="2026-04-23 12:00:42"/>
        <s v="2026-02-11 08:12:41"/>
        <s v="2026-08-08 18:31:51"/>
        <s v="2026-03-29 16:27:57"/>
        <s v="2026-02-05 02:51:11"/>
        <s v="2026-08-01 18:38:50"/>
        <s v="2026-06-11 17:46:31"/>
        <s v="2026-05-15 15:09:06"/>
        <s v="2026-02-20 19:38:19"/>
        <s v="2026-02-05 15:35:34"/>
        <s v="2026-08-01 17:01:41"/>
        <s v="2026-05-27 05:13:40"/>
        <s v="2026-02-26 15:52:55"/>
        <s v="2026-06-05 12:48:02"/>
        <s v="2026-05-07 00:30:07"/>
        <s v="2026-03-09 06:23:06"/>
        <s v="2026-02-06 07:26:41"/>
        <s v="2026-05-20 19:04:20"/>
        <s v="2026-02-23 10:55:37"/>
        <s v="2026-06-26 15:54:13"/>
        <s v="2026-06-13 12:25:12"/>
        <s v="2026-07-17 13:45:59"/>
        <s v="2026-03-13 23:35:48"/>
        <s v="2026-02-15 06:14:08"/>
        <s v="2026-03-24 01:57:33"/>
        <s v="2026-06-06 08:19:28"/>
        <s v="2026-05-15 21:11:54"/>
        <s v="2026-02-13 19:34:28"/>
        <s v="2026-02-11 07:25:57"/>
        <s v="2026-04-21 15:16:54"/>
        <s v="2026-03-23 17:04:18"/>
        <s v="2026-04-20 10:02:24"/>
        <s v="2026-06-13 03:06:58"/>
        <s v="2026-01-20 21:22:03"/>
        <s v="2026-07-13 13:39:33"/>
        <s v="2026-06-18 14:49:07"/>
        <s v="2026-05-29 13:10:00"/>
        <s v="2026-07-28 13:26:38"/>
        <s v="2026-01-14 15:52:44"/>
        <s v="2026-06-23 15:30:41"/>
        <s v="2026-07-30 11:18:35"/>
        <s v="2026-08-03 18:07:35"/>
        <s v="2026-03-07 06:00:01"/>
        <s v="2026-06-03 20:25:24"/>
        <s v="2026-05-14 03:13:32"/>
        <s v="2026-02-04 06:58:27"/>
        <s v="2026-03-04 23:24:56"/>
        <s v="2026-01-12 00:41:34"/>
        <s v="2026-04-27 18:17:46"/>
        <s v="2026-08-09 18:36:30"/>
        <s v="2026-05-29 11:59:03"/>
        <s v="2026-08-19 05:32:42"/>
        <s v="2026-01-31 09:16:34"/>
        <s v="2026-05-31 11:10:54"/>
        <s v="2026-06-24 01:49:21"/>
        <s v="2026-07-30 11:27:48"/>
        <s v="2026-02-08 15:49:55"/>
        <s v="2026-08-18 18:47:50"/>
        <s v="2026-06-02 23:44:12"/>
        <s v="2026-06-20 23:58:04"/>
        <s v="2026-01-28 23:18:59"/>
        <s v="2026-05-03 08:28:07"/>
        <s v="2026-01-08 06:18:13"/>
        <s v="2026-01-19 20:40:14"/>
        <s v="2026-06-17 09:43:13"/>
        <s v="2026-06-09 23:14:05"/>
        <s v="2026-06-16 11:44:55"/>
        <s v="2026-05-13 09:21:28"/>
        <s v="2026-03-22 11:01:28"/>
        <s v="2026-07-17 14:21:59"/>
        <s v="2026-02-17 18:42:22"/>
        <s v="2026-02-25 10:53:11"/>
        <s v="2026-07-15 10:25:17"/>
        <s v="2026-01-12 07:43:32"/>
        <s v="2026-03-06 15:28:49"/>
        <s v="2026-08-07 08:20:32"/>
        <s v="2026-01-10 01:53:47"/>
        <s v="2026-03-02 10:06:26"/>
        <s v="2026-02-07 00:07:09"/>
        <s v="2026-06-03 10:54:11"/>
        <s v="2026-04-18 20:22:31"/>
        <s v="2026-04-01 09:33:24"/>
        <s v="2026-03-07 11:58:11"/>
        <s v="2026-08-15 09:33:14"/>
        <s v="2026-06-06 14:11:23"/>
        <s v="2026-07-10 03:45:48"/>
        <s v="2026-04-27 23:05:43"/>
        <s v="2026-08-15 04:18:44"/>
        <s v="2026-01-13 21:27:40"/>
        <s v="2026-07-09 22:54:35"/>
        <s v="2026-03-25 14:37:14"/>
        <s v="2026-01-29 05:51:33"/>
        <s v="2026-07-17 01:31:34"/>
        <s v="2026-07-23 03:19:28"/>
        <s v="2026-04-19 06:42:45"/>
        <s v="2026-07-11 10:55:14"/>
        <s v="2026-06-11 18:40:03"/>
        <s v="2026-05-26 03:56:31"/>
        <s v="2026-02-16 00:52:26"/>
        <s v="2026-04-24 11:40:44"/>
        <s v="2026-08-14 07:44:37"/>
        <s v="2026-06-17 14:55:58"/>
        <s v="2026-08-02 18:34:54"/>
        <s v="2026-06-10 13:55:32"/>
        <s v="2026-08-19 07:05:29"/>
        <s v="2026-05-27 19:45:09"/>
        <s v="2026-06-26 15:41:38"/>
        <s v="2026-03-02 11:49:36"/>
        <s v="2026-02-25 08:03:41"/>
        <s v="2026-07-28 06:54:41"/>
        <s v="2026-03-06 03:26:23"/>
        <s v="2026-07-17 09:30:05"/>
        <s v="2026-02-26 06:52:06"/>
        <s v="2026-02-05 07:38:04"/>
        <s v="2026-02-09 15:44:23"/>
        <s v="2026-02-27 15:22:09"/>
        <s v="2026-08-07 07:31:17"/>
        <s v="2026-01-14 00:34:03"/>
        <s v="2026-01-02 01:57:41"/>
        <s v="2026-02-19 20:50:40"/>
        <s v="2026-07-24 06:27:58"/>
        <s v="2026-06-03 17:00:20"/>
        <s v="2026-04-15 20:01:36"/>
        <s v="2026-04-01 00:28:51"/>
        <s v="2026-07-06 03:59:24"/>
        <s v="2026-04-05 20:57:52"/>
        <s v="2026-01-16 18:37:00"/>
        <s v="2026-04-15 12:55:42"/>
        <s v="2026-06-06 23:20:59"/>
        <s v="2026-03-26 04:30:32"/>
        <s v="2026-08-05 20:26:01"/>
        <s v="2026-01-12 22:45:08"/>
        <s v="2026-04-02 12:28:33"/>
        <s v="2026-07-18 07:50:28"/>
        <s v="2026-07-02 18:48:12"/>
        <s v="2026-01-07 19:05:51"/>
        <s v="2026-05-14 18:14:28"/>
        <s v="2026-08-02 00:23:33"/>
        <s v="2026-06-20 21:02:59"/>
        <s v="2026-06-14 05:56:28"/>
        <s v="2026-03-23 18:33:28"/>
        <s v="2026-01-16 22:47:59"/>
        <s v="2026-03-02 04:18:01"/>
        <s v="2026-04-15 02:39:43"/>
        <s v="2026-04-11 14:35:13"/>
        <s v="2026-07-17 17:55:41"/>
        <s v="2026-06-30 07:35:55"/>
        <s v="2026-01-19 23:52:00"/>
        <s v="2026-05-21 11:23:03"/>
        <s v="2026-05-09 22:25:11"/>
        <s v="2026-04-30 15:41:14"/>
        <s v="2026-01-10 16:16:49"/>
        <s v="2026-03-07 10:42:43"/>
        <s v="2026-06-02 20:59:20"/>
        <s v="2026-04-23 06:07:12"/>
        <s v="2026-08-10 06:23:22"/>
        <s v="2026-05-11 16:41:56"/>
        <s v="2026-01-28 07:50:15"/>
        <s v="2026-07-24 00:55:07"/>
        <s v="2026-04-17 23:22:40"/>
        <s v="2026-05-09 14:48:11"/>
        <s v="2026-05-17 15:12:12"/>
        <s v="2026-05-10 00:53:44"/>
        <s v="2026-08-09 18:37:51"/>
        <s v="2026-02-14 12:19:55"/>
        <s v="2026-07-22 15:21:02"/>
        <s v="2026-05-15 10:02:36"/>
        <s v="2026-07-28 05:59:10"/>
        <s v="2026-08-17 12:01:58"/>
        <s v="2026-06-10 00:45:34"/>
        <s v="2026-06-22 05:11:49"/>
        <s v="2026-05-11 01:25:50"/>
        <s v="2026-06-04 00:15:30"/>
        <s v="2026-06-08 02:03:46"/>
        <s v="2026-04-07 05:26:37"/>
        <s v="2026-04-22 13:11:51"/>
        <s v="2026-05-21 12:12:06"/>
        <s v="2026-04-03 08:35:04"/>
        <s v="2026-04-21 15:23:11"/>
        <s v="2026-03-18 02:10:12"/>
        <s v="2026-06-08 23:44:50"/>
        <s v="2026-08-09 15:06:30"/>
        <s v="2026-01-21 05:59:13"/>
        <s v="2026-05-03 07:52:00"/>
        <s v="2026-06-22 12:28:13"/>
        <s v="2026-03-08 08:01:04"/>
        <s v="2026-03-16 10:07:26"/>
        <s v="2026-03-13 00:09:08"/>
        <s v="2026-01-27 04:44:21"/>
        <s v="2026-04-21 16:37:50"/>
        <s v="2026-03-17 04:27:47"/>
        <s v="2026-05-24 00:14:00"/>
        <s v="2026-06-18 03:30:15"/>
        <s v="2026-01-13 16:00:50"/>
        <s v="2026-05-25 08:20:46"/>
        <s v="2026-06-06 03:40:57"/>
        <s v="2026-05-06 00:41:57"/>
        <s v="2026-06-04 12:56:35"/>
        <s v="2026-04-20 11:27:11"/>
        <s v="2026-02-16 11:43:57"/>
        <s v="2026-03-29 09:55:42"/>
        <s v="2026-05-08 03:51:45"/>
        <s v="2026-01-19 12:37:09"/>
        <s v="2026-08-11 16:25:36"/>
        <s v="2026-07-12 18:56:45"/>
        <s v="2026-06-08 13:07:14"/>
        <s v="2026-08-05 01:19:17"/>
        <s v="2026-04-25 09:42:16"/>
        <s v="2026-05-11 00:08:54"/>
        <s v="2026-07-07 01:17:31"/>
        <s v="2026-03-02 14:47:02"/>
        <s v="2026-01-19 06:27:44"/>
        <s v="2026-04-30 08:49:13"/>
        <s v="2026-02-06 11:25:11"/>
        <s v="2026-05-29 05:38:01"/>
        <s v="2026-06-04 08:54:14"/>
        <s v="2026-06-30 22:47:44"/>
        <s v="2026-04-18 23:51:17"/>
        <s v="2026-08-11 04:05:19"/>
        <s v="2026-01-04 09:56:18"/>
        <s v="2026-01-05 17:57:35"/>
        <s v="2026-05-10 11:10:42"/>
        <s v="2026-08-03 10:49:31"/>
        <s v="2026-01-12 06:57:14"/>
        <s v="2026-07-15 04:32:38"/>
        <s v="2026-03-12 07:43:43"/>
        <s v="2026-05-28 17:01:56"/>
        <s v="2026-08-05 00:31:35"/>
        <s v="2026-08-08 12:22:07"/>
        <s v="2026-06-28 03:05:37"/>
        <s v="2026-01-05 00:50:22"/>
        <s v="2026-01-13 05:19:54"/>
        <s v="2026-01-22 19:23:18"/>
        <s v="2026-03-11 07:35:17"/>
        <s v="2026-03-27 08:36:57"/>
        <s v="2026-05-23 23:03:45"/>
        <s v="2026-07-19 22:27:43"/>
        <s v="2026-01-27 21:22:14"/>
        <s v="2026-08-08 05:30:51"/>
        <s v="2026-01-12 08:33:04"/>
        <s v="2026-06-09 17:06:35"/>
        <s v="2026-01-18 11:34:09"/>
        <s v="2026-01-16 19:38:24"/>
        <s v="2026-08-15 13:33:32"/>
        <s v="2026-07-22 12:43:50"/>
        <s v="2026-06-23 06:32:15"/>
        <s v="2026-05-15 21:28:10"/>
        <s v="2026-06-08 20:20:11"/>
        <s v="2026-02-05 03:49:51"/>
        <s v="2026-05-30 14:23:13"/>
        <s v="2026-07-03 10:42:44"/>
        <s v="2026-08-06 22:13:29"/>
        <s v="2026-06-07 13:58:55"/>
        <s v="2026-03-11 15:21:34"/>
        <s v="2026-07-01 11:36:20"/>
        <s v="2026-04-17 09:54:20"/>
        <s v="2026-06-28 00:26:48"/>
        <s v="2026-05-23 08:04:36"/>
        <s v="2026-03-18 16:47:08"/>
        <s v="2026-06-18 21:49:56"/>
        <s v="2026-01-02 22:24:42"/>
        <s v="2026-04-30 20:26:47"/>
        <s v="2026-01-30 06:47:34"/>
        <s v="2026-05-05 12:44:05"/>
        <s v="2026-02-16 07:23:39"/>
        <s v="2026-06-02 02:51:17"/>
        <s v="2026-04-17 11:47:00"/>
        <s v="2026-04-28 09:14:57"/>
        <s v="2026-03-31 01:55:25"/>
        <s v="2026-01-13 01:58:01"/>
        <s v="2026-05-18 14:40:56"/>
        <s v="2026-03-01 08:48:00"/>
        <s v="2026-05-26 05:15:30"/>
        <s v="2026-06-18 00:36:01"/>
        <s v="2026-03-25 23:21:19"/>
        <s v="2026-02-17 08:23:44"/>
        <s v="2026-07-18 19:00:46"/>
        <s v="2026-07-31 08:31:16"/>
        <s v="2026-08-18 02:16:28"/>
        <s v="2026-04-23 10:09:19"/>
        <s v="2026-02-18 21:19:13"/>
        <s v="2026-01-10 01:37:20"/>
        <s v="2026-02-02 14:00:17"/>
        <s v="2026-05-07 08:16:00"/>
        <s v="2026-04-18 21:12:26"/>
        <s v="2026-06-06 02:34:10"/>
        <s v="2026-08-19 21:53:12"/>
        <s v="2026-05-15 10:56:58"/>
        <s v="2026-06-02 12:10:40"/>
        <s v="2026-08-06 19:56:46"/>
        <s v="2026-06-27 22:58:47"/>
        <s v="2026-08-16 02:30:40"/>
        <s v="2026-01-28 12:26:47"/>
        <s v="2026-01-20 17:52:10"/>
        <s v="2026-02-28 07:51:02"/>
        <s v="2026-03-27 22:28:18"/>
        <s v="2026-03-09 18:35:50"/>
        <s v="2026-03-22 16:06:14"/>
        <s v="2026-04-10 12:09:22"/>
        <s v="2026-03-21 14:31:41"/>
        <s v="2026-04-11 04:52:02"/>
        <s v="2026-03-28 17:59:46"/>
        <s v="2026-01-03 04:20:11"/>
        <s v="2026-08-15 11:02:47"/>
        <s v="2026-04-15 16:11:09"/>
        <s v="2026-02-19 17:31:56"/>
        <s v="2026-04-03 03:40:57"/>
        <s v="2026-02-12 15:03:51"/>
        <s v="2026-02-08 02:44:19"/>
        <s v="2026-07-04 16:58:39"/>
        <s v="2026-04-25 01:18:18"/>
        <s v="2026-07-18 09:58:55"/>
        <s v="2026-03-31 20:22:07"/>
        <s v="2026-03-27 03:41:18"/>
        <s v="2026-04-11 17:40:09"/>
        <s v="2026-04-24 08:39:23"/>
        <s v="2026-01-01 23:38:33"/>
        <s v="2026-06-16 14:39:37"/>
        <s v="2026-04-03 22:45:56"/>
        <s v="2026-03-14 22:54:51"/>
        <s v="2026-03-18 23:21:57"/>
        <s v="2026-04-19 17:42:39"/>
        <s v="2026-06-16 21:12:06"/>
        <s v="2026-05-08 17:43:53"/>
        <s v="2026-02-05 05:01:28"/>
        <s v="2026-03-23 05:36:48"/>
        <s v="2026-08-07 15:42:40"/>
        <s v="2026-06-18 01:27:28"/>
        <s v="2026-07-23 08:05:46"/>
        <s v="2026-08-06 04:54:49"/>
        <s v="2026-07-23 07:09:15"/>
        <s v="2026-08-06 22:14:53"/>
        <s v="2026-06-16 20:07:22"/>
        <s v="2026-08-05 02:40:54"/>
        <s v="2026-04-18 10:55:09"/>
        <s v="2026-02-25 22:22:39"/>
        <s v="2026-05-27 06:28:04"/>
        <s v="2026-01-17 18:24:28"/>
        <s v="2026-03-03 22:05:26"/>
        <s v="2026-02-27 11:56:41"/>
        <s v="2026-03-20 17:38:16"/>
        <s v="2026-06-10 05:10:27"/>
        <s v="2026-08-19 04:27:55"/>
        <s v="2026-07-10 00:47:22"/>
        <s v="2026-03-01 09:12:05"/>
        <s v="2026-06-15 11:39:17"/>
        <s v="2026-08-02 12:09:28"/>
        <s v="2026-03-08 01:50:11"/>
        <s v="2026-05-20 19:23:51"/>
        <s v="2026-02-07 16:15:16"/>
        <s v="2026-01-05 08:26:45"/>
        <s v="2026-04-05 07:22:33"/>
        <s v="2026-05-15 09:23:22"/>
        <s v="2026-08-06 12:40:28"/>
        <s v="2026-04-24 02:37:34"/>
        <s v="2026-07-18 15:42:55"/>
        <s v="2026-04-09 12:10:09"/>
        <s v="2026-04-25 10:35:43"/>
        <s v="2026-06-07 12:04:24"/>
        <s v="2026-04-03 20:38:21"/>
        <s v="2026-06-24 01:56:32"/>
        <s v="2026-04-17 00:01:32"/>
        <s v="2026-05-07 23:54:26"/>
        <s v="2026-05-26 23:21:49"/>
        <s v="2026-07-03 06:57:14"/>
        <s v="2026-07-12 08:19:11"/>
        <s v="2026-02-03 22:10:56"/>
        <s v="2026-04-13 04:10:09"/>
        <s v="2026-01-20 16:24:39"/>
        <s v="2026-05-22 08:27:47"/>
        <s v="2026-01-31 23:15:02"/>
        <s v="2026-03-17 08:30:19"/>
        <s v="2026-06-04 11:37:20"/>
        <s v="2026-02-01 16:25:23"/>
        <s v="2026-01-27 00:06:48"/>
        <s v="2026-08-07 23:49:22"/>
        <s v="2026-06-19 12:43:40"/>
        <s v="2026-02-06 08:16:54"/>
        <s v="2026-08-10 07:30:07"/>
        <s v="2026-04-21 07:37:22"/>
        <s v="2026-05-26 00:10:16"/>
        <s v="2026-01-04 13:11:23"/>
        <s v="2026-05-06 19:17:43"/>
        <s v="2026-04-15 03:40:57"/>
        <s v="2026-04-15 23:24:16"/>
        <s v="2026-05-28 02:36:09"/>
        <s v="2026-02-09 18:43:21"/>
        <s v="2026-01-10 19:11:33"/>
        <s v="2026-01-28 07:27:40"/>
        <s v="2026-04-01 23:18:58"/>
        <s v="2026-07-18 06:59:40"/>
        <s v="2026-03-09 15:31:48"/>
        <s v="2026-02-18 08:57:28"/>
        <s v="2026-07-05 04:05:37"/>
        <s v="2026-01-21 00:16:12"/>
        <s v="2026-02-13 08:28:13"/>
        <s v="2026-02-19 10:41:06"/>
        <s v="2026-01-12 11:19:35"/>
        <s v="2026-01-11 05:08:18"/>
        <s v="2026-04-22 14:05:16"/>
        <s v="2026-02-28 08:49:57"/>
        <s v="2026-01-25 14:56:14"/>
        <s v="2026-05-17 15:02:59"/>
        <s v="2026-05-07 17:38:00"/>
        <s v="2026-04-25 03:40:14"/>
        <s v="2026-01-25 16:27:36"/>
        <s v="2026-04-17 11:55:43"/>
        <s v="2026-01-20 12:35:56"/>
        <s v="2026-02-17 14:52:28"/>
        <s v="2026-08-14 04:43:21"/>
        <s v="2026-06-22 15:30:47"/>
        <s v="2026-03-01 21:04:34"/>
        <s v="2026-02-16 19:53:54"/>
        <s v="2026-07-05 08:14:28"/>
        <s v="2026-07-31 01:00:32"/>
        <s v="2026-02-23 03:50:13"/>
        <s v="2026-03-23 23:19:33"/>
        <s v="2026-03-22 23:13:33"/>
        <s v="2026-01-21 22:24:25"/>
        <s v="2026-06-08 22:21:29"/>
        <s v="2026-03-22 03:45:37"/>
        <s v="2026-06-13 08:12:26"/>
        <s v="2026-07-11 03:13:56"/>
        <s v="2026-06-02 08:58:02"/>
        <s v="2026-02-20 22:44:04"/>
        <s v="2026-07-04 12:17:55"/>
        <s v="2026-03-10 05:01:59"/>
        <s v="2026-05-05 16:49:34"/>
        <s v="2026-03-25 02:02:47"/>
        <s v="2026-05-24 21:04:03"/>
        <s v="2026-01-02 15:28:34"/>
        <s v="2026-08-18 07:30:22"/>
        <s v="2026-07-18 05:51:25"/>
        <s v="2026-05-24 20:13:50"/>
        <s v="2026-07-27 16:36:31"/>
        <s v="2026-04-08 13:03:57"/>
        <s v="2026-04-01 15:54:24"/>
        <s v="2026-02-04 17:00:17"/>
        <s v="2026-07-07 02:47:54"/>
        <s v="2026-04-18 06:42:11"/>
        <s v="2026-06-13 21:23:52"/>
        <s v="2026-04-16 22:43:11"/>
        <s v="2026-07-31 18:13:21"/>
        <s v="2026-08-02 15:50:32"/>
        <s v="2026-08-15 12:42:16"/>
        <s v="2026-07-04 19:49:37"/>
        <s v="2026-08-17 12:35:01"/>
        <s v="2026-08-14 18:43:12"/>
        <s v="2026-04-05 06:23:45"/>
        <s v="2026-05-29 17:13:04"/>
        <s v="2026-08-06 02:21:30"/>
        <s v="2026-04-15 04:44:46"/>
        <s v="2026-05-10 22:22:33"/>
        <s v="2026-02-24 02:01:40"/>
        <s v="2026-03-03 04:06:36"/>
        <s v="2026-07-27 04:16:59"/>
        <s v="2026-06-30 06:01:34"/>
        <s v="2026-08-03 23:18:04"/>
        <s v="2026-08-06 17:24:53"/>
        <s v="2026-03-07 11:34:07"/>
        <s v="2026-07-08 19:49:25"/>
        <s v="2026-08-12 07:20:40"/>
        <s v="2026-03-15 01:45:54"/>
        <s v="2026-07-21 22:54:02"/>
        <s v="2026-02-24 00:08:21"/>
        <s v="2026-08-10 08:34:49"/>
        <s v="2026-01-16 20:20:43"/>
        <s v="2026-08-19 21:14:58"/>
        <s v="2026-04-21 16:26:47"/>
        <s v="2026-04-24 20:34:37"/>
        <s v="2026-06-18 23:47:53"/>
        <s v="2026-04-09 07:42:40"/>
        <s v="2026-03-31 05:43:40"/>
        <s v="2026-01-23 18:46:44"/>
        <s v="2026-04-15 15:20:27"/>
        <s v="2026-04-29 20:09:06"/>
        <s v="2026-01-08 03:46:40"/>
        <s v="2026-02-27 11:55:59"/>
        <s v="2026-08-11 07:16:16"/>
        <s v="2026-01-19 22:06:15"/>
        <s v="2026-07-02 00:02:31"/>
        <s v="2026-03-16 01:11:40"/>
        <s v="2026-04-20 06:53:22"/>
        <s v="2026-08-16 10:40:10"/>
        <s v="2026-05-07 06:06:58"/>
        <s v="2026-05-15 08:42:12"/>
        <s v="2026-05-25 15:29:26"/>
        <s v="2026-01-05 01:00:23"/>
        <s v="2026-04-13 00:47:30"/>
        <s v="2026-04-08 04:25:10"/>
        <s v="2026-06-19 13:53:52"/>
        <s v="2026-06-14 01:31:41"/>
        <s v="2026-02-09 00:41:14"/>
        <s v="2026-06-12 12:37:26"/>
        <s v="2026-07-20 00:39:43"/>
        <s v="2026-03-12 02:16:02"/>
        <s v="2026-05-24 04:42:01"/>
        <s v="2026-03-26 19:52:57"/>
        <s v="2026-08-08 12:17:45"/>
        <s v="2026-06-27 16:49:27"/>
        <s v="2026-02-24 18:28:08"/>
        <s v="2026-05-10 08:52:16"/>
        <s v="2026-07-12 13:59:32"/>
        <s v="2026-07-15 20:17:32"/>
        <s v="2026-03-05 15:18:28"/>
        <s v="2026-06-21 07:24:13"/>
        <s v="2026-06-07 19:20:36"/>
        <s v="2026-07-04 10:05:33"/>
        <s v="2026-02-09 22:06:16"/>
        <s v="2026-04-12 04:47:05"/>
        <s v="2026-06-27 22:53:36"/>
        <s v="2026-03-19 18:39:23"/>
        <s v="2026-01-29 00:44:44"/>
        <s v="2026-07-11 13:18:22"/>
        <s v="2026-02-21 12:31:44"/>
        <s v="2026-08-01 17:17:13"/>
        <s v="2026-06-02 01:42:31"/>
        <s v="2026-02-21 05:24:59"/>
        <s v="2026-06-17 23:09:56"/>
        <s v="2026-06-18 00:58:38"/>
        <s v="2026-04-02 20:15:32"/>
        <s v="2026-07-03 19:31:45"/>
        <s v="2026-01-07 11:29:51"/>
        <s v="2026-08-12 02:31:55"/>
        <s v="2026-08-03 11:47:54"/>
        <s v="2026-02-04 12:13:10"/>
        <s v="2026-01-06 12:14:44"/>
        <s v="2026-05-26 11:45:59"/>
        <s v="2026-05-05 20:18:03"/>
        <s v="2026-08-18 15:24:03"/>
        <s v="2026-03-25 03:42:34"/>
        <s v="2026-02-17 13:33:54"/>
        <s v="2026-08-10 06:18:58"/>
        <s v="2026-06-16 02:14:36"/>
        <s v="2026-07-30 07:56:59"/>
        <s v="2026-07-10 16:21:35"/>
        <s v="2026-01-03 01:26:55"/>
        <s v="2026-04-05 04:24:55"/>
        <s v="2026-04-06 04:42:45"/>
        <s v="2026-08-19 04:32:01"/>
        <s v="2026-07-03 12:01:27"/>
        <s v="2026-02-23 23:04:22"/>
        <s v="2026-01-21 07:11:10"/>
        <s v="2026-08-11 15:02:29"/>
        <s v="2026-03-18 12:06:07"/>
        <s v="2026-06-26 10:46:53"/>
        <s v="2026-03-13 05:13:04"/>
        <s v="2026-01-30 16:07:16"/>
        <s v="2026-05-19 20:07:06"/>
        <s v="2026-08-08 21:20:00"/>
        <s v="2026-06-15 17:20:52"/>
        <s v="2026-05-31 07:41:39"/>
        <s v="2026-06-09 22:45:07"/>
        <s v="2026-03-10 04:12:19"/>
        <s v="2026-08-13 10:02:21"/>
        <s v="2026-05-10 10:00:31"/>
        <s v="2026-04-01 22:36:11"/>
        <s v="2026-07-07 11:43:08"/>
        <s v="2026-06-19 04:42:30"/>
        <s v="2026-06-14 23:27:00"/>
        <s v="2026-06-02 00:53:02"/>
        <s v="2026-02-17 03:40:48"/>
        <s v="2026-03-10 03:00:15"/>
        <s v="2026-01-11 16:12:52"/>
        <s v="2026-03-06 01:25:02"/>
        <s v="2026-08-16 18:15:16"/>
        <s v="2026-01-30 08:15:40"/>
        <s v="2026-07-23 19:07:56"/>
        <s v="2026-04-14 06:04:27"/>
        <s v="2026-01-06 07:54:11"/>
        <s v="2026-06-10 02:57:13"/>
        <s v="2026-03-07 15:46:45"/>
        <s v="2026-01-28 00:45:13"/>
        <s v="2026-06-18 10:20:04"/>
        <s v="2026-05-10 05:10:45"/>
        <s v="2026-06-10 18:01:44"/>
        <s v="2026-06-06 00:25:02"/>
        <s v="2026-08-18 03:51:06"/>
        <s v="2026-03-12 18:04:11"/>
        <s v="2026-07-01 17:09:56"/>
        <s v="2026-04-25 18:21:00"/>
        <s v="2026-01-18 16:11:16"/>
        <s v="2026-07-24 06:10:44"/>
        <s v="2026-04-11 08:05:31"/>
        <s v="2026-06-04 04:58:27"/>
        <s v="2026-03-30 11:56:12"/>
        <s v="2026-06-20 20:30:23"/>
        <s v="2026-06-04 22:23:39"/>
        <s v="2026-04-03 00:56:45"/>
        <s v="2026-03-27 07:09:55"/>
        <s v="2026-08-20 06:15:35"/>
        <s v="2026-08-17 04:39:45"/>
        <s v="2026-05-21 22:12:30"/>
        <s v="2026-02-20 10:18:01"/>
        <s v="2026-06-15 07:27:30"/>
        <s v="2026-04-19 22:02:43"/>
        <s v="2026-02-09 03:32:03"/>
        <s v="2026-03-30 18:33:11"/>
        <s v="2026-02-20 11:13:06"/>
        <s v="2026-07-09 07:46:11"/>
        <s v="2026-08-07 22:30:02"/>
        <s v="2026-04-05 20:51:58"/>
        <s v="2026-06-19 20:59:12"/>
        <s v="2026-07-13 10:05:39"/>
        <s v="2026-05-03 12:55:07"/>
        <s v="2026-07-20 05:49:43"/>
        <s v="2026-08-07 08:00:55"/>
        <s v="2026-02-20 13:06:47"/>
        <s v="2026-08-05 03:51:42"/>
        <s v="2026-06-12 14:50:25"/>
        <s v="2026-02-24 03:19:23"/>
        <s v="2026-04-02 15:11:50"/>
        <s v="2026-06-02 23:02:16"/>
        <s v="2026-04-27 05:50:18"/>
        <s v="2026-01-08 03:55:43"/>
        <s v="2026-07-23 00:43:42"/>
        <s v="2026-02-24 22:30:13"/>
        <s v="2026-07-25 14:16:01"/>
        <s v="2026-01-01 09:17:32"/>
        <s v="2026-03-25 13:20:20"/>
        <s v="2026-04-25 09:04:58"/>
        <s v="2026-07-13 06:02:38"/>
        <s v="2026-01-20 10:10:45"/>
        <s v="2026-06-15 14:24:32"/>
        <s v="2026-06-23 07:36:49"/>
        <s v="2026-05-06 13:05:01"/>
        <s v="2026-05-28 00:47:53"/>
        <s v="2026-02-20 12:35:19"/>
        <s v="2026-07-18 11:41:41"/>
        <s v="2026-04-06 15:03:13"/>
        <s v="2026-06-24 05:01:54"/>
        <s v="2026-05-03 03:37:47"/>
        <s v="2026-06-09 03:24:28"/>
        <s v="2026-07-19 19:40:11"/>
        <s v="2026-02-27 15:41:45"/>
        <s v="2026-06-23 17:58:56"/>
        <s v="2026-04-27 12:15:37"/>
        <s v="2026-07-25 00:34:46"/>
        <s v="2026-01-17 10:56:52"/>
        <s v="2026-07-31 14:25:24"/>
        <s v="2026-04-24 04:14:18"/>
        <s v="2026-05-14 00:06:20"/>
        <s v="2026-07-05 22:38:50"/>
        <s v="2026-04-01 02:11:06"/>
        <s v="2026-03-16 04:34:22"/>
        <s v="2026-01-14 16:04:00"/>
        <s v="2026-06-09 21:28:14"/>
        <s v="2026-07-07 08:27:46"/>
        <s v="2026-05-29 16:04:06"/>
        <s v="2026-02-01 06:53:29"/>
        <s v="2026-08-19 13:11:02"/>
        <s v="2026-05-26 14:46:25"/>
        <s v="2026-01-31 11:04:51"/>
        <s v="2026-07-24 00:51:01"/>
        <s v="2026-07-06 07:23:20"/>
        <s v="2026-07-14 09:19:30"/>
        <s v="2026-05-06 22:55:02"/>
        <s v="2026-03-12 20:42:17"/>
        <s v="2026-06-22 20:31:38"/>
        <s v="2026-07-15 12:08:56"/>
        <s v="2026-02-11 05:16:55"/>
        <s v="2026-02-25 20:54:40"/>
        <s v="2026-02-17 12:31:23"/>
        <s v="2026-02-25 23:18:28"/>
        <s v="2026-07-09 12:39:15"/>
        <s v="2026-06-20 21:58:04"/>
        <s v="2026-07-19 17:21:53"/>
        <s v="2026-03-31 15:09:20"/>
        <s v="2026-04-19 08:34:25"/>
        <s v="2026-04-14 20:47:19"/>
        <s v="2026-04-13 18:59:23"/>
        <s v="2026-04-02 03:39:48"/>
        <s v="2026-06-25 11:54:18"/>
        <s v="2026-07-15 16:45:57"/>
        <s v="2026-07-08 05:36:01"/>
        <s v="2026-02-13 23:06:01"/>
        <s v="2026-06-05 05:40:04"/>
        <s v="2026-03-24 17:06:31"/>
        <s v="2026-02-15 00:59:19"/>
        <s v="2026-06-04 14:06:58"/>
        <s v="2026-04-20 08:20:17"/>
        <s v="2026-04-06 15:51:04"/>
        <s v="2026-02-14 03:12:04"/>
        <s v="2026-07-19 11:38:52"/>
        <s v="2026-03-11 09:14:38"/>
        <s v="2026-06-07 19:25:12"/>
        <s v="2026-07-30 17:12:59"/>
        <s v="2026-05-28 12:09:21"/>
        <s v="2026-03-30 03:48:21"/>
        <s v="2026-01-17 03:36:46"/>
        <s v="2026-06-30 11:16:10"/>
        <s v="2026-01-09 17:01:49"/>
        <s v="2026-04-27 05:56:28"/>
        <s v="2026-05-05 13:52:51"/>
        <s v="2026-01-24 06:13:39"/>
        <s v="2026-04-05 18:08:15"/>
        <s v="2026-03-01 14:13:52"/>
        <s v="2026-01-11 11:27:50"/>
        <s v="2026-05-06 05:30:47"/>
        <s v="2026-08-07 01:10:05"/>
        <s v="2026-01-08 01:51:59"/>
        <s v="2026-04-02 21:19:17"/>
        <s v="2026-02-10 15:32:44"/>
        <s v="2026-07-16 23:08:33"/>
        <s v="2026-03-23 14:48:18"/>
        <s v="2026-01-07 10:00:43"/>
        <s v="2026-08-08 22:00:12"/>
        <s v="2026-02-23 13:00:44"/>
        <s v="2026-04-25 18:22:56"/>
        <s v="2026-03-31 11:29:24"/>
        <s v="2026-06-09 19:25:59"/>
        <s v="2026-05-08 19:58:13"/>
        <s v="2026-05-08 21:26:37"/>
        <s v="2026-03-13 18:04:06"/>
        <s v="2026-04-02 09:54:46"/>
        <s v="2026-01-27 21:09:48"/>
        <s v="2026-07-04 17:16:44"/>
        <s v="2026-06-02 18:17:23"/>
        <s v="2026-01-18 21:37:22"/>
        <s v="2026-03-20 02:29:15"/>
        <s v="2026-07-12 18:38:48"/>
        <s v="2026-07-08 16:10:05"/>
        <s v="2026-05-21 22:11:20"/>
        <s v="2026-08-07 22:53:50"/>
        <s v="2026-08-10 01:13:24"/>
        <s v="2026-01-29 19:24:36"/>
        <s v="2026-06-09 16:23:37"/>
        <s v="2026-05-27 00:44:46"/>
        <s v="2026-06-24 10:07:46"/>
        <s v="2026-01-26 12:31:32"/>
        <s v="2026-01-14 00:09:11"/>
        <s v="2026-05-02 11:51:48"/>
        <s v="2026-05-20 04:53:14"/>
        <s v="2026-06-13 10:31:14"/>
        <s v="2026-05-22 19:18:25"/>
        <s v="2026-04-21 17:46:40"/>
        <s v="2026-05-20 06:56:52"/>
        <s v="2026-05-30 16:47:38"/>
        <s v="2026-04-03 21:14:36"/>
        <s v="2026-02-10 18:08:45"/>
        <s v="2026-02-09 10:15:38"/>
        <s v="2026-03-06 12:10:16"/>
        <s v="2026-02-07 09:28:19"/>
        <s v="2026-05-06 22:13:14"/>
        <s v="2026-02-10 10:33:38"/>
        <s v="2026-06-05 03:17:11"/>
        <s v="2026-03-28 14:51:19"/>
        <s v="2026-03-12 14:52:40"/>
        <s v="2026-05-08 13:19:16"/>
      </sharedItems>
    </cacheField>
    <cacheField name="Platform" numFmtId="0">
      <sharedItems count="5">
        <s v="TikTok"/>
        <s v="LinkedIn"/>
        <s v="X (Twitter)"/>
        <s v="YouTube"/>
        <s v="Instagram"/>
      </sharedItems>
    </cacheField>
    <cacheField name="Account / Creator" numFmtId="0">
      <sharedItems count="25">
        <s v="@quick_bytes"/>
        <s v="Career Mobility"/>
        <s v="@crypto_pulse"/>
        <s v="@ai_innovator"/>
        <s v="Daily Digest"/>
        <s v="@market_watch"/>
        <s v="@future_tech"/>
        <s v="Data Science Today"/>
        <s v="Global Marketing Insights"/>
        <s v="Digital Mastery"/>
        <s v="@tech_insider"/>
        <s v="Tech Vision"/>
        <s v="@lifestyle_daily"/>
        <s v="@life_hacks_101"/>
        <s v="@growth_hacks"/>
        <s v="Code &amp; Build"/>
        <s v="@saas_guru"/>
        <s v="Tech Pulse Inc."/>
        <s v="Studio Underground"/>
        <s v="@tech_cruncher"/>
        <s v="@design_hub"/>
        <s v="@fitness_edge"/>
        <s v="@trend_wave"/>
        <s v="@creative_labs"/>
        <s v="Startup Founders Network"/>
      </sharedItems>
    </cacheField>
    <cacheField name="Content Category" numFmtId="0">
      <sharedItems count="6">
        <s v="Business &amp; Finance"/>
        <s v="Entertainment &amp; Humor"/>
        <s v="Tech &amp; AI"/>
        <s v="Education &amp; How-To"/>
        <s v="Design &amp; Creative"/>
        <s v="Lifestyle &amp; Wellness"/>
      </sharedItems>
    </cacheField>
    <cacheField name="Post Type" numFmtId="0">
      <sharedItems count="18">
        <s v="Short Video"/>
        <s v="Text Only"/>
        <s v="Video Tweet"/>
        <s v="Image Tweet"/>
        <s v="Long Video"/>
        <s v="Thread"/>
        <s v="Text + Image"/>
        <s v="Duet / Stitch"/>
        <s v="Video"/>
        <s v="Shorts"/>
        <s v="Live Stream Clip"/>
        <s v="Single Image"/>
        <s v="Reel"/>
        <s v="Story"/>
        <s v="Community Post"/>
        <s v="Tweet"/>
        <s v="Document / PDF"/>
        <s v="Carousel"/>
      </sharedItems>
    </cacheField>
    <cacheField name="Follower Count" numFmtId="3">
      <sharedItems containsSemiMixedTypes="0" containsString="0" containsNumber="1" containsInteger="1" minValue="2928" maxValue="849955"/>
    </cacheField>
    <cacheField name="Impressions" numFmtId="3">
      <sharedItems containsSemiMixedTypes="0" containsString="0" containsNumber="1" containsInteger="1" minValue="415" maxValue="4914110"/>
    </cacheField>
    <cacheField name="Reach" numFmtId="3">
      <sharedItems containsSemiMixedTypes="0" containsString="0" containsNumber="1" containsInteger="1" minValue="358" maxValue="4055154"/>
    </cacheField>
    <cacheField name="Likes" numFmtId="3">
      <sharedItems containsSemiMixedTypes="0" containsString="0" containsNumber="1" containsInteger="1" minValue="15" maxValue="269922"/>
    </cacheField>
    <cacheField name="Comments" numFmtId="3">
      <sharedItems containsSemiMixedTypes="0" containsString="0" containsNumber="1" containsInteger="1" minValue="2" maxValue="36865"/>
    </cacheField>
    <cacheField name="Shares / Retweets" numFmtId="3">
      <sharedItems containsSemiMixedTypes="0" containsString="0" containsNumber="1" containsInteger="1" minValue="0" maxValue="35271"/>
    </cacheField>
    <cacheField name="Saves / Bookmarks" numFmtId="3">
      <sharedItems containsSemiMixedTypes="0" containsString="0" containsNumber="1" containsInteger="1" minValue="0" maxValue="53689"/>
    </cacheField>
    <cacheField name="Clicks" numFmtId="3">
      <sharedItems containsSemiMixedTypes="0" containsString="0" containsNumber="1" containsInteger="1" minValue="6" maxValue="105407"/>
    </cacheField>
    <cacheField name="Engagement Rate (%)" numFmtId="10">
      <sharedItems containsSemiMixedTypes="0" containsString="0" containsNumber="1" minValue="2.5331533391566744E-2" maxValue="0.18156424581005587"/>
    </cacheField>
    <cacheField name="Sentiment" numFmtId="0">
      <sharedItems count="3">
        <s v="Positive"/>
        <s v="Neutral"/>
        <s v="Negative"/>
      </sharedItems>
    </cacheField>
  </cacheFields>
  <extLst>
    <ext xmlns:x14="http://schemas.microsoft.com/office/spreadsheetml/2009/9/main" uri="{725AE2AE-9491-48be-B2B4-4EB974FC3084}">
      <x14:pivotCacheDefinition pivotCacheId="18823414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8.349572222221" createdVersion="7" refreshedVersion="7" minRefreshableVersion="3" recordCount="511" xr:uid="{79262F38-E9A5-4149-918E-C6D77C1FDFBF}">
  <cacheSource type="worksheet">
    <worksheetSource name="Table1"/>
  </cacheSource>
  <cacheFields count="12">
    <cacheField name="Content Category" numFmtId="0">
      <sharedItems count="1">
        <s v="Business &amp; Finance"/>
      </sharedItems>
    </cacheField>
    <cacheField name="Post Type" numFmtId="0">
      <sharedItems count="18">
        <s v="Short Video"/>
        <s v="Tweet"/>
        <s v="Single Image"/>
        <s v="Reel"/>
        <s v="Community Post"/>
        <s v="Video Tweet"/>
        <s v="Duet / Stitch"/>
        <s v="Image Tweet"/>
        <s v="Live Stream Clip"/>
        <s v="Carousel"/>
        <s v="Story"/>
        <s v="Text + Image"/>
        <s v="Long Video"/>
        <s v="Video"/>
        <s v="Thread"/>
        <s v="Document / PDF"/>
        <s v="Text Only"/>
        <s v="Shorts"/>
      </sharedItems>
    </cacheField>
    <cacheField name="Follower Count" numFmtId="0">
      <sharedItems containsSemiMixedTypes="0" containsString="0" containsNumber="1" containsInteger="1" minValue="5178" maxValue="849776"/>
    </cacheField>
    <cacheField name="Impressions" numFmtId="0">
      <sharedItems containsSemiMixedTypes="0" containsString="0" containsNumber="1" containsInteger="1" minValue="833" maxValue="2843758"/>
    </cacheField>
    <cacheField name="Reach" numFmtId="0">
      <sharedItems containsSemiMixedTypes="0" containsString="0" containsNumber="1" containsInteger="1" minValue="756" maxValue="2263224"/>
    </cacheField>
    <cacheField name="Likes" numFmtId="0">
      <sharedItems containsSemiMixedTypes="0" containsString="0" containsNumber="1" containsInteger="1" minValue="46" maxValue="201009"/>
    </cacheField>
    <cacheField name="Comments" numFmtId="0">
      <sharedItems containsSemiMixedTypes="0" containsString="0" containsNumber="1" containsInteger="1" minValue="2" maxValue="30900"/>
    </cacheField>
    <cacheField name="Shares / Retweets" numFmtId="0">
      <sharedItems containsSemiMixedTypes="0" containsString="0" containsNumber="1" containsInteger="1" minValue="1" maxValue="20937"/>
    </cacheField>
    <cacheField name="Saves / Bookmarks" numFmtId="0">
      <sharedItems containsSemiMixedTypes="0" containsString="0" containsNumber="1" containsInteger="1" minValue="0" maxValue="34947"/>
    </cacheField>
    <cacheField name="Clicks" numFmtId="0">
      <sharedItems containsSemiMixedTypes="0" containsString="0" containsNumber="1" containsInteger="1" minValue="6" maxValue="90051"/>
    </cacheField>
    <cacheField name="Engagement Rate (%)" numFmtId="0">
      <sharedItems containsSemiMixedTypes="0" containsString="0" containsNumber="1" minValue="2.5959615666000097E-2" maxValue="0.15120020213930768"/>
    </cacheField>
    <cacheField name="Sentiment" numFmtId="0">
      <sharedItems count="3">
        <s v="Positive"/>
        <s v="Neutral"/>
        <s v="Negativ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x v="0"/>
    <n v="774746"/>
    <n v="389062"/>
    <n v="279784"/>
    <n v="17630"/>
    <n v="607"/>
    <n v="853"/>
    <n v="2663"/>
    <n v="2255"/>
    <n v="7.7749263717725101E-2"/>
    <x v="0"/>
  </r>
  <r>
    <x v="1"/>
    <x v="1"/>
    <x v="1"/>
    <x v="1"/>
    <x v="1"/>
    <x v="1"/>
    <n v="9314"/>
    <n v="1592"/>
    <n v="1233"/>
    <n v="46"/>
    <n v="7"/>
    <n v="2"/>
    <n v="3"/>
    <n v="12"/>
    <n v="4.7039740470397405E-2"/>
    <x v="1"/>
  </r>
  <r>
    <x v="2"/>
    <x v="2"/>
    <x v="2"/>
    <x v="2"/>
    <x v="2"/>
    <x v="2"/>
    <n v="85127"/>
    <n v="47054"/>
    <n v="42103"/>
    <n v="1962"/>
    <n v="115"/>
    <n v="56"/>
    <n v="42"/>
    <n v="556"/>
    <n v="5.1659026672683656E-2"/>
    <x v="0"/>
  </r>
  <r>
    <x v="3"/>
    <x v="3"/>
    <x v="2"/>
    <x v="3"/>
    <x v="3"/>
    <x v="3"/>
    <n v="173055"/>
    <n v="34510"/>
    <n v="29485"/>
    <n v="2105"/>
    <n v="85"/>
    <n v="215"/>
    <n v="34"/>
    <n v="927"/>
    <n v="8.2720027132440227E-2"/>
    <x v="0"/>
  </r>
  <r>
    <x v="4"/>
    <x v="4"/>
    <x v="3"/>
    <x v="4"/>
    <x v="4"/>
    <x v="4"/>
    <n v="808135"/>
    <n v="170158"/>
    <n v="149247"/>
    <n v="7498"/>
    <n v="299"/>
    <n v="1040"/>
    <n v="36"/>
    <n v="5324"/>
    <n v="5.945178127533552E-2"/>
    <x v="0"/>
  </r>
  <r>
    <x v="5"/>
    <x v="5"/>
    <x v="2"/>
    <x v="5"/>
    <x v="5"/>
    <x v="5"/>
    <n v="261107"/>
    <n v="101105"/>
    <n v="83776"/>
    <n v="7468"/>
    <n v="671"/>
    <n v="362"/>
    <n v="8"/>
    <n v="2050"/>
    <n v="0.10156846829640948"/>
    <x v="0"/>
  </r>
  <r>
    <x v="6"/>
    <x v="6"/>
    <x v="1"/>
    <x v="1"/>
    <x v="1"/>
    <x v="6"/>
    <n v="405957"/>
    <n v="262974"/>
    <n v="198627"/>
    <n v="13988"/>
    <n v="2397"/>
    <n v="1516"/>
    <n v="1019"/>
    <n v="8295"/>
    <n v="9.5253918148086619E-2"/>
    <x v="1"/>
  </r>
  <r>
    <x v="7"/>
    <x v="7"/>
    <x v="0"/>
    <x v="6"/>
    <x v="0"/>
    <x v="7"/>
    <n v="5902"/>
    <n v="3418"/>
    <n v="3123"/>
    <n v="224"/>
    <n v="23"/>
    <n v="7"/>
    <n v="39"/>
    <n v="103"/>
    <n v="9.3820044828690358E-2"/>
    <x v="0"/>
  </r>
  <r>
    <x v="8"/>
    <x v="8"/>
    <x v="1"/>
    <x v="7"/>
    <x v="1"/>
    <x v="6"/>
    <n v="630538"/>
    <n v="57443"/>
    <n v="51314"/>
    <n v="4015"/>
    <n v="305"/>
    <n v="110"/>
    <n v="905"/>
    <n v="1919"/>
    <n v="0.10396772810539034"/>
    <x v="0"/>
  </r>
  <r>
    <x v="9"/>
    <x v="9"/>
    <x v="1"/>
    <x v="8"/>
    <x v="4"/>
    <x v="8"/>
    <n v="579010"/>
    <n v="220471"/>
    <n v="174853"/>
    <n v="7211"/>
    <n v="799"/>
    <n v="828"/>
    <n v="650"/>
    <n v="3164"/>
    <n v="5.4262723544920594E-2"/>
    <x v="2"/>
  </r>
  <r>
    <x v="10"/>
    <x v="10"/>
    <x v="3"/>
    <x v="9"/>
    <x v="2"/>
    <x v="9"/>
    <n v="238112"/>
    <n v="21903"/>
    <n v="16440"/>
    <n v="727"/>
    <n v="29"/>
    <n v="74"/>
    <n v="14"/>
    <n v="153"/>
    <n v="5.1338199513381998E-2"/>
    <x v="0"/>
  </r>
  <r>
    <x v="11"/>
    <x v="11"/>
    <x v="0"/>
    <x v="6"/>
    <x v="0"/>
    <x v="10"/>
    <n v="141239"/>
    <n v="82336"/>
    <n v="66197"/>
    <n v="5522"/>
    <n v="834"/>
    <n v="247"/>
    <n v="383"/>
    <n v="1476"/>
    <n v="0.10553348339048597"/>
    <x v="0"/>
  </r>
  <r>
    <x v="12"/>
    <x v="12"/>
    <x v="4"/>
    <x v="10"/>
    <x v="3"/>
    <x v="11"/>
    <n v="841982"/>
    <n v="186696"/>
    <n v="152714"/>
    <n v="5304"/>
    <n v="305"/>
    <n v="425"/>
    <n v="1192"/>
    <n v="1355"/>
    <n v="4.7317207328732139E-2"/>
    <x v="1"/>
  </r>
  <r>
    <x v="13"/>
    <x v="13"/>
    <x v="3"/>
    <x v="11"/>
    <x v="2"/>
    <x v="9"/>
    <n v="176889"/>
    <n v="62684"/>
    <n v="56323"/>
    <n v="1872"/>
    <n v="56"/>
    <n v="132"/>
    <n v="50"/>
    <n v="1789"/>
    <n v="3.7462493120039769E-2"/>
    <x v="0"/>
  </r>
  <r>
    <x v="14"/>
    <x v="14"/>
    <x v="2"/>
    <x v="5"/>
    <x v="0"/>
    <x v="3"/>
    <n v="230775"/>
    <n v="94648"/>
    <n v="67522"/>
    <n v="3673"/>
    <n v="137"/>
    <n v="301"/>
    <n v="33"/>
    <n v="920"/>
    <n v="6.1372589674476466E-2"/>
    <x v="2"/>
  </r>
  <r>
    <x v="15"/>
    <x v="15"/>
    <x v="4"/>
    <x v="12"/>
    <x v="3"/>
    <x v="12"/>
    <n v="599847"/>
    <n v="251261"/>
    <n v="180414"/>
    <n v="14935"/>
    <n v="1714"/>
    <n v="912"/>
    <n v="1525"/>
    <n v="6304"/>
    <n v="0.10579001629585287"/>
    <x v="0"/>
  </r>
  <r>
    <x v="16"/>
    <x v="16"/>
    <x v="0"/>
    <x v="6"/>
    <x v="5"/>
    <x v="0"/>
    <n v="12267"/>
    <n v="7962"/>
    <n v="5701"/>
    <n v="261"/>
    <n v="18"/>
    <n v="36"/>
    <n v="59"/>
    <n v="249"/>
    <n v="6.5602525872653916E-2"/>
    <x v="0"/>
  </r>
  <r>
    <x v="17"/>
    <x v="17"/>
    <x v="0"/>
    <x v="13"/>
    <x v="4"/>
    <x v="10"/>
    <n v="10703"/>
    <n v="4239"/>
    <n v="3063"/>
    <n v="308"/>
    <n v="21"/>
    <n v="41"/>
    <n v="61"/>
    <n v="40"/>
    <n v="0.1407117205354228"/>
    <x v="0"/>
  </r>
  <r>
    <x v="18"/>
    <x v="18"/>
    <x v="0"/>
    <x v="13"/>
    <x v="3"/>
    <x v="7"/>
    <n v="55766"/>
    <n v="17925"/>
    <n v="12721"/>
    <n v="717"/>
    <n v="35"/>
    <n v="105"/>
    <n v="59"/>
    <n v="327"/>
    <n v="7.2006917695149747E-2"/>
    <x v="1"/>
  </r>
  <r>
    <x v="19"/>
    <x v="19"/>
    <x v="1"/>
    <x v="7"/>
    <x v="2"/>
    <x v="1"/>
    <n v="613305"/>
    <n v="199310"/>
    <n v="153033"/>
    <n v="14736"/>
    <n v="2201"/>
    <n v="1943"/>
    <n v="3386"/>
    <n v="2252"/>
    <n v="0.14549802983670188"/>
    <x v="0"/>
  </r>
  <r>
    <x v="20"/>
    <x v="20"/>
    <x v="2"/>
    <x v="2"/>
    <x v="4"/>
    <x v="5"/>
    <n v="250737"/>
    <n v="159578"/>
    <n v="117920"/>
    <n v="7139"/>
    <n v="406"/>
    <n v="1000"/>
    <n v="50"/>
    <n v="5254"/>
    <n v="7.2888398914518315E-2"/>
    <x v="1"/>
  </r>
  <r>
    <x v="21"/>
    <x v="21"/>
    <x v="0"/>
    <x v="0"/>
    <x v="4"/>
    <x v="0"/>
    <n v="403624"/>
    <n v="229822"/>
    <n v="170965"/>
    <n v="17261"/>
    <n v="1423"/>
    <n v="2186"/>
    <n v="3871"/>
    <n v="2686"/>
    <n v="0.14471383031614657"/>
    <x v="1"/>
  </r>
  <r>
    <x v="22"/>
    <x v="22"/>
    <x v="4"/>
    <x v="14"/>
    <x v="5"/>
    <x v="13"/>
    <n v="715026"/>
    <n v="275744"/>
    <n v="200017"/>
    <n v="21569"/>
    <n v="1224"/>
    <n v="3130"/>
    <n v="2223"/>
    <n v="2275"/>
    <n v="0.14071803896668783"/>
    <x v="0"/>
  </r>
  <r>
    <x v="23"/>
    <x v="23"/>
    <x v="3"/>
    <x v="11"/>
    <x v="3"/>
    <x v="14"/>
    <n v="201812"/>
    <n v="97678"/>
    <n v="79547"/>
    <n v="6680"/>
    <n v="888"/>
    <n v="950"/>
    <n v="47"/>
    <n v="2453"/>
    <n v="0.10767219379737765"/>
    <x v="0"/>
  </r>
  <r>
    <x v="24"/>
    <x v="24"/>
    <x v="3"/>
    <x v="15"/>
    <x v="4"/>
    <x v="9"/>
    <n v="757217"/>
    <n v="279458"/>
    <n v="220728"/>
    <n v="12336"/>
    <n v="917"/>
    <n v="450"/>
    <n v="26"/>
    <n v="6971"/>
    <n v="6.2198724221666488E-2"/>
    <x v="0"/>
  </r>
  <r>
    <x v="25"/>
    <x v="25"/>
    <x v="0"/>
    <x v="6"/>
    <x v="1"/>
    <x v="0"/>
    <n v="321135"/>
    <n v="104380"/>
    <n v="86997"/>
    <n v="4105"/>
    <n v="395"/>
    <n v="442"/>
    <n v="624"/>
    <n v="3007"/>
    <n v="6.3979217674172667E-2"/>
    <x v="2"/>
  </r>
  <r>
    <x v="26"/>
    <x v="26"/>
    <x v="0"/>
    <x v="13"/>
    <x v="4"/>
    <x v="10"/>
    <n v="651842"/>
    <n v="356232"/>
    <n v="267769"/>
    <n v="13759"/>
    <n v="2077"/>
    <n v="538"/>
    <n v="815"/>
    <n v="12296"/>
    <n v="6.4193390571724129E-2"/>
    <x v="1"/>
  </r>
  <r>
    <x v="27"/>
    <x v="27"/>
    <x v="3"/>
    <x v="4"/>
    <x v="4"/>
    <x v="14"/>
    <n v="405130"/>
    <n v="88752"/>
    <n v="75552"/>
    <n v="6528"/>
    <n v="1038"/>
    <n v="882"/>
    <n v="49"/>
    <n v="1575"/>
    <n v="0.11246558661584075"/>
    <x v="0"/>
  </r>
  <r>
    <x v="28"/>
    <x v="28"/>
    <x v="3"/>
    <x v="4"/>
    <x v="2"/>
    <x v="4"/>
    <n v="142316"/>
    <n v="65539"/>
    <n v="54462"/>
    <n v="5046"/>
    <n v="826"/>
    <n v="502"/>
    <n v="46"/>
    <n v="2081"/>
    <n v="0.11788035694612757"/>
    <x v="0"/>
  </r>
  <r>
    <x v="29"/>
    <x v="29"/>
    <x v="2"/>
    <x v="16"/>
    <x v="5"/>
    <x v="5"/>
    <n v="671136"/>
    <n v="351188"/>
    <n v="294255"/>
    <n v="12809"/>
    <n v="533"/>
    <n v="731"/>
    <n v="17"/>
    <n v="5294"/>
    <n v="4.7883638340894805E-2"/>
    <x v="2"/>
  </r>
  <r>
    <x v="30"/>
    <x v="30"/>
    <x v="2"/>
    <x v="5"/>
    <x v="4"/>
    <x v="5"/>
    <n v="69848"/>
    <n v="18761"/>
    <n v="14848"/>
    <n v="608"/>
    <n v="56"/>
    <n v="83"/>
    <n v="37"/>
    <n v="626"/>
    <n v="5.2801724137931036E-2"/>
    <x v="0"/>
  </r>
  <r>
    <x v="31"/>
    <x v="31"/>
    <x v="4"/>
    <x v="14"/>
    <x v="5"/>
    <x v="13"/>
    <n v="441875"/>
    <n v="220381"/>
    <n v="183514"/>
    <n v="7323"/>
    <n v="460"/>
    <n v="561"/>
    <n v="408"/>
    <n v="3324"/>
    <n v="4.7691184323811808E-2"/>
    <x v="1"/>
  </r>
  <r>
    <x v="32"/>
    <x v="32"/>
    <x v="2"/>
    <x v="5"/>
    <x v="1"/>
    <x v="15"/>
    <n v="415660"/>
    <n v="190334"/>
    <n v="160147"/>
    <n v="5356"/>
    <n v="531"/>
    <n v="142"/>
    <n v="24"/>
    <n v="2820"/>
    <n v="3.7796524443167841E-2"/>
    <x v="0"/>
  </r>
  <r>
    <x v="33"/>
    <x v="33"/>
    <x v="2"/>
    <x v="3"/>
    <x v="2"/>
    <x v="2"/>
    <n v="22824"/>
    <n v="2503"/>
    <n v="1875"/>
    <n v="60"/>
    <n v="10"/>
    <n v="1"/>
    <n v="1"/>
    <n v="83"/>
    <n v="3.8399999999999997E-2"/>
    <x v="0"/>
  </r>
  <r>
    <x v="34"/>
    <x v="34"/>
    <x v="1"/>
    <x v="1"/>
    <x v="4"/>
    <x v="6"/>
    <n v="593864"/>
    <n v="204924"/>
    <n v="178021"/>
    <n v="6161"/>
    <n v="746"/>
    <n v="722"/>
    <n v="449"/>
    <n v="6061"/>
    <n v="4.5376669044663268E-2"/>
    <x v="2"/>
  </r>
  <r>
    <x v="35"/>
    <x v="35"/>
    <x v="0"/>
    <x v="13"/>
    <x v="4"/>
    <x v="7"/>
    <n v="418422"/>
    <n v="80775"/>
    <n v="68815"/>
    <n v="4655"/>
    <n v="210"/>
    <n v="560"/>
    <n v="1024"/>
    <n v="1858"/>
    <n v="9.3715033059652689E-2"/>
    <x v="0"/>
  </r>
  <r>
    <x v="36"/>
    <x v="36"/>
    <x v="2"/>
    <x v="3"/>
    <x v="2"/>
    <x v="3"/>
    <n v="15766"/>
    <n v="8651"/>
    <n v="6880"/>
    <n v="361"/>
    <n v="59"/>
    <n v="28"/>
    <n v="9"/>
    <n v="156"/>
    <n v="6.6424418604651161E-2"/>
    <x v="1"/>
  </r>
  <r>
    <x v="37"/>
    <x v="37"/>
    <x v="3"/>
    <x v="9"/>
    <x v="3"/>
    <x v="4"/>
    <n v="769036"/>
    <n v="202805"/>
    <n v="179028"/>
    <n v="5110"/>
    <n v="829"/>
    <n v="264"/>
    <n v="29"/>
    <n v="4481"/>
    <n v="3.4810197287575124E-2"/>
    <x v="1"/>
  </r>
  <r>
    <x v="38"/>
    <x v="38"/>
    <x v="0"/>
    <x v="0"/>
    <x v="3"/>
    <x v="0"/>
    <n v="374560"/>
    <n v="102626"/>
    <n v="87669"/>
    <n v="3753"/>
    <n v="118"/>
    <n v="537"/>
    <n v="251"/>
    <n v="2730"/>
    <n v="5.3143072237621054E-2"/>
    <x v="0"/>
  </r>
  <r>
    <x v="39"/>
    <x v="39"/>
    <x v="2"/>
    <x v="16"/>
    <x v="2"/>
    <x v="15"/>
    <n v="311028"/>
    <n v="147526"/>
    <n v="124817"/>
    <n v="6216"/>
    <n v="702"/>
    <n v="402"/>
    <n v="47"/>
    <n v="3173"/>
    <n v="5.9022408806492704E-2"/>
    <x v="0"/>
  </r>
  <r>
    <x v="40"/>
    <x v="40"/>
    <x v="1"/>
    <x v="17"/>
    <x v="4"/>
    <x v="16"/>
    <n v="333376"/>
    <n v="128497"/>
    <n v="109458"/>
    <n v="4046"/>
    <n v="569"/>
    <n v="226"/>
    <n v="679"/>
    <n v="3573"/>
    <n v="5.0430302033656747E-2"/>
    <x v="0"/>
  </r>
  <r>
    <x v="41"/>
    <x v="41"/>
    <x v="0"/>
    <x v="0"/>
    <x v="5"/>
    <x v="0"/>
    <n v="744911"/>
    <n v="176065"/>
    <n v="144679"/>
    <n v="10888"/>
    <n v="532"/>
    <n v="1447"/>
    <n v="1613"/>
    <n v="5489"/>
    <n v="0.10008363342295704"/>
    <x v="0"/>
  </r>
  <r>
    <x v="42"/>
    <x v="42"/>
    <x v="1"/>
    <x v="17"/>
    <x v="5"/>
    <x v="8"/>
    <n v="122129"/>
    <n v="37664"/>
    <n v="31146"/>
    <n v="2304"/>
    <n v="121"/>
    <n v="289"/>
    <n v="552"/>
    <n v="284"/>
    <n v="0.10486097733256276"/>
    <x v="0"/>
  </r>
  <r>
    <x v="43"/>
    <x v="43"/>
    <x v="3"/>
    <x v="4"/>
    <x v="1"/>
    <x v="4"/>
    <n v="474898"/>
    <n v="118482"/>
    <n v="108743"/>
    <n v="4540"/>
    <n v="559"/>
    <n v="450"/>
    <n v="47"/>
    <n v="945"/>
    <n v="5.1460783682627846E-2"/>
    <x v="1"/>
  </r>
  <r>
    <x v="44"/>
    <x v="44"/>
    <x v="4"/>
    <x v="12"/>
    <x v="0"/>
    <x v="17"/>
    <n v="581305"/>
    <n v="47390"/>
    <n v="40360"/>
    <n v="2283"/>
    <n v="79"/>
    <n v="131"/>
    <n v="243"/>
    <n v="1459"/>
    <n v="6.7789890981169471E-2"/>
    <x v="0"/>
  </r>
  <r>
    <x v="45"/>
    <x v="45"/>
    <x v="3"/>
    <x v="4"/>
    <x v="3"/>
    <x v="9"/>
    <n v="573515"/>
    <n v="94586"/>
    <n v="83411"/>
    <n v="2296"/>
    <n v="126"/>
    <n v="137"/>
    <n v="47"/>
    <n v="2811"/>
    <n v="3.1242881634316818E-2"/>
    <x v="2"/>
  </r>
  <r>
    <x v="46"/>
    <x v="46"/>
    <x v="0"/>
    <x v="6"/>
    <x v="5"/>
    <x v="10"/>
    <n v="568711"/>
    <n v="71573"/>
    <n v="64106"/>
    <n v="4585"/>
    <n v="552"/>
    <n v="107"/>
    <n v="439"/>
    <n v="1805"/>
    <n v="8.8650048357408043E-2"/>
    <x v="1"/>
  </r>
  <r>
    <x v="47"/>
    <x v="47"/>
    <x v="0"/>
    <x v="13"/>
    <x v="2"/>
    <x v="0"/>
    <n v="495855"/>
    <n v="164658"/>
    <n v="121835"/>
    <n v="9075"/>
    <n v="1136"/>
    <n v="761"/>
    <n v="619"/>
    <n v="2542"/>
    <n v="9.5136865432757414E-2"/>
    <x v="0"/>
  </r>
  <r>
    <x v="48"/>
    <x v="48"/>
    <x v="0"/>
    <x v="6"/>
    <x v="4"/>
    <x v="7"/>
    <n v="304718"/>
    <n v="93931"/>
    <n v="77119"/>
    <n v="4441"/>
    <n v="342"/>
    <n v="275"/>
    <n v="1083"/>
    <n v="1608"/>
    <n v="7.9630181926632862E-2"/>
    <x v="0"/>
  </r>
  <r>
    <x v="49"/>
    <x v="49"/>
    <x v="2"/>
    <x v="16"/>
    <x v="2"/>
    <x v="5"/>
    <n v="546123"/>
    <n v="279163"/>
    <n v="222562"/>
    <n v="6447"/>
    <n v="451"/>
    <n v="238"/>
    <n v="18"/>
    <n v="5064"/>
    <n v="3.2143852050215221E-2"/>
    <x v="1"/>
  </r>
  <r>
    <x v="50"/>
    <x v="50"/>
    <x v="1"/>
    <x v="8"/>
    <x v="5"/>
    <x v="6"/>
    <n v="581577"/>
    <n v="121014"/>
    <n v="96994"/>
    <n v="3273"/>
    <n v="506"/>
    <n v="277"/>
    <n v="632"/>
    <n v="2452"/>
    <n v="4.8332886570303317E-2"/>
    <x v="0"/>
  </r>
  <r>
    <x v="51"/>
    <x v="51"/>
    <x v="2"/>
    <x v="2"/>
    <x v="0"/>
    <x v="2"/>
    <n v="202369"/>
    <n v="74815"/>
    <n v="66591"/>
    <n v="2736"/>
    <n v="406"/>
    <n v="202"/>
    <n v="50"/>
    <n v="1513"/>
    <n v="5.0967848508056642E-2"/>
    <x v="1"/>
  </r>
  <r>
    <x v="52"/>
    <x v="52"/>
    <x v="3"/>
    <x v="18"/>
    <x v="4"/>
    <x v="4"/>
    <n v="158313"/>
    <n v="56371"/>
    <n v="46304"/>
    <n v="2965"/>
    <n v="291"/>
    <n v="183"/>
    <n v="12"/>
    <n v="1940"/>
    <n v="7.4529198341395986E-2"/>
    <x v="0"/>
  </r>
  <r>
    <x v="53"/>
    <x v="53"/>
    <x v="2"/>
    <x v="19"/>
    <x v="5"/>
    <x v="2"/>
    <n v="741985"/>
    <n v="220593"/>
    <n v="192870"/>
    <n v="13041"/>
    <n v="688"/>
    <n v="1896"/>
    <n v="8"/>
    <n v="4427"/>
    <n v="8.1054596360242648E-2"/>
    <x v="0"/>
  </r>
  <r>
    <x v="54"/>
    <x v="54"/>
    <x v="2"/>
    <x v="19"/>
    <x v="1"/>
    <x v="2"/>
    <n v="18593"/>
    <n v="5832"/>
    <n v="5326"/>
    <n v="142"/>
    <n v="20"/>
    <n v="7"/>
    <n v="39"/>
    <n v="150"/>
    <n v="3.9053698835899361E-2"/>
    <x v="1"/>
  </r>
  <r>
    <x v="55"/>
    <x v="55"/>
    <x v="3"/>
    <x v="9"/>
    <x v="5"/>
    <x v="14"/>
    <n v="756129"/>
    <n v="270792"/>
    <n v="191693"/>
    <n v="6527"/>
    <n v="813"/>
    <n v="911"/>
    <n v="14"/>
    <n v="7420"/>
    <n v="4.3115815392320012E-2"/>
    <x v="0"/>
  </r>
  <r>
    <x v="56"/>
    <x v="56"/>
    <x v="4"/>
    <x v="20"/>
    <x v="0"/>
    <x v="11"/>
    <n v="32853"/>
    <n v="17536"/>
    <n v="13658"/>
    <n v="803"/>
    <n v="53"/>
    <n v="59"/>
    <n v="149"/>
    <n v="182"/>
    <n v="7.7903060477375899E-2"/>
    <x v="0"/>
  </r>
  <r>
    <x v="57"/>
    <x v="57"/>
    <x v="1"/>
    <x v="1"/>
    <x v="1"/>
    <x v="16"/>
    <n v="245967"/>
    <n v="55285"/>
    <n v="46810"/>
    <n v="4087"/>
    <n v="407"/>
    <n v="234"/>
    <n v="651"/>
    <n v="398"/>
    <n v="0.11491134372997223"/>
    <x v="2"/>
  </r>
  <r>
    <x v="58"/>
    <x v="58"/>
    <x v="0"/>
    <x v="6"/>
    <x v="5"/>
    <x v="0"/>
    <n v="405880"/>
    <n v="57144"/>
    <n v="47190"/>
    <n v="3113"/>
    <n v="556"/>
    <n v="181"/>
    <n v="764"/>
    <n v="1414"/>
    <n v="9.7774952320406866E-2"/>
    <x v="0"/>
  </r>
  <r>
    <x v="59"/>
    <x v="59"/>
    <x v="4"/>
    <x v="21"/>
    <x v="4"/>
    <x v="13"/>
    <n v="302596"/>
    <n v="63898"/>
    <n v="49681"/>
    <n v="3718"/>
    <n v="457"/>
    <n v="401"/>
    <n v="721"/>
    <n v="1583"/>
    <n v="0.10662023711277953"/>
    <x v="1"/>
  </r>
  <r>
    <x v="60"/>
    <x v="60"/>
    <x v="4"/>
    <x v="14"/>
    <x v="3"/>
    <x v="12"/>
    <n v="610227"/>
    <n v="94527"/>
    <n v="72963"/>
    <n v="4247"/>
    <n v="255"/>
    <n v="519"/>
    <n v="956"/>
    <n v="1510"/>
    <n v="8.1918232528815971E-2"/>
    <x v="0"/>
  </r>
  <r>
    <x v="61"/>
    <x v="61"/>
    <x v="2"/>
    <x v="3"/>
    <x v="4"/>
    <x v="3"/>
    <n v="845798"/>
    <n v="531879"/>
    <n v="460561"/>
    <n v="17837"/>
    <n v="2344"/>
    <n v="1920"/>
    <n v="25"/>
    <n v="18093"/>
    <n v="4.8041410366922083E-2"/>
    <x v="1"/>
  </r>
  <r>
    <x v="62"/>
    <x v="62"/>
    <x v="4"/>
    <x v="14"/>
    <x v="1"/>
    <x v="12"/>
    <n v="479377"/>
    <n v="243013"/>
    <n v="201361"/>
    <n v="16851"/>
    <n v="2882"/>
    <n v="574"/>
    <n v="1630"/>
    <n v="1397"/>
    <n v="0.10894363853973708"/>
    <x v="2"/>
  </r>
  <r>
    <x v="63"/>
    <x v="63"/>
    <x v="1"/>
    <x v="17"/>
    <x v="4"/>
    <x v="8"/>
    <n v="737632"/>
    <n v="230678"/>
    <n v="163775"/>
    <n v="5128"/>
    <n v="919"/>
    <n v="179"/>
    <n v="497"/>
    <n v="4873"/>
    <n v="4.10502213402534E-2"/>
    <x v="0"/>
  </r>
  <r>
    <x v="64"/>
    <x v="64"/>
    <x v="3"/>
    <x v="9"/>
    <x v="1"/>
    <x v="14"/>
    <n v="764394"/>
    <n v="241918"/>
    <n v="213713"/>
    <n v="13774"/>
    <n v="2353"/>
    <n v="776"/>
    <n v="44"/>
    <n v="3898"/>
    <n v="7.9297936952829259E-2"/>
    <x v="0"/>
  </r>
  <r>
    <x v="65"/>
    <x v="65"/>
    <x v="0"/>
    <x v="13"/>
    <x v="4"/>
    <x v="7"/>
    <n v="65991"/>
    <n v="12418"/>
    <n v="11285"/>
    <n v="862"/>
    <n v="37"/>
    <n v="41"/>
    <n v="153"/>
    <n v="423"/>
    <n v="9.6854231280460792E-2"/>
    <x v="0"/>
  </r>
  <r>
    <x v="66"/>
    <x v="66"/>
    <x v="3"/>
    <x v="4"/>
    <x v="2"/>
    <x v="14"/>
    <n v="219720"/>
    <n v="119404"/>
    <n v="92213"/>
    <n v="3445"/>
    <n v="568"/>
    <n v="70"/>
    <n v="9"/>
    <n v="4134"/>
    <n v="4.4375521889538354E-2"/>
    <x v="0"/>
  </r>
  <r>
    <x v="67"/>
    <x v="67"/>
    <x v="4"/>
    <x v="12"/>
    <x v="2"/>
    <x v="11"/>
    <n v="830858"/>
    <n v="345342"/>
    <n v="254977"/>
    <n v="7992"/>
    <n v="1128"/>
    <n v="706"/>
    <n v="1591"/>
    <n v="6660"/>
    <n v="4.4776587692223223E-2"/>
    <x v="1"/>
  </r>
  <r>
    <x v="68"/>
    <x v="68"/>
    <x v="3"/>
    <x v="4"/>
    <x v="1"/>
    <x v="9"/>
    <n v="765069"/>
    <n v="439286"/>
    <n v="336650"/>
    <n v="25742"/>
    <n v="892"/>
    <n v="3856"/>
    <n v="25"/>
    <n v="7814"/>
    <n v="9.0643101143620966E-2"/>
    <x v="0"/>
  </r>
  <r>
    <x v="69"/>
    <x v="69"/>
    <x v="4"/>
    <x v="14"/>
    <x v="1"/>
    <x v="17"/>
    <n v="71372"/>
    <n v="31108"/>
    <n v="25528"/>
    <n v="1229"/>
    <n v="220"/>
    <n v="109"/>
    <n v="172"/>
    <n v="720"/>
    <n v="6.7768724537762462E-2"/>
    <x v="0"/>
  </r>
  <r>
    <x v="70"/>
    <x v="70"/>
    <x v="3"/>
    <x v="4"/>
    <x v="3"/>
    <x v="4"/>
    <n v="242092"/>
    <n v="133544"/>
    <n v="105702"/>
    <n v="3432"/>
    <n v="322"/>
    <n v="365"/>
    <n v="23"/>
    <n v="4488"/>
    <n v="3.9185635087320959E-2"/>
    <x v="1"/>
  </r>
  <r>
    <x v="71"/>
    <x v="71"/>
    <x v="4"/>
    <x v="10"/>
    <x v="3"/>
    <x v="12"/>
    <n v="783258"/>
    <n v="425080"/>
    <n v="303165"/>
    <n v="32900"/>
    <n v="3758"/>
    <n v="3523"/>
    <n v="4348"/>
    <n v="13265"/>
    <n v="0.14688041165701846"/>
    <x v="2"/>
  </r>
  <r>
    <x v="72"/>
    <x v="72"/>
    <x v="3"/>
    <x v="15"/>
    <x v="5"/>
    <x v="9"/>
    <n v="608491"/>
    <n v="102345"/>
    <n v="76690"/>
    <n v="2711"/>
    <n v="425"/>
    <n v="183"/>
    <n v="48"/>
    <n v="1367"/>
    <n v="4.3904029208501762E-2"/>
    <x v="0"/>
  </r>
  <r>
    <x v="73"/>
    <x v="73"/>
    <x v="3"/>
    <x v="18"/>
    <x v="4"/>
    <x v="14"/>
    <n v="586283"/>
    <n v="3330602"/>
    <n v="2839550"/>
    <n v="72397"/>
    <n v="5139"/>
    <n v="8623"/>
    <n v="21"/>
    <n v="51726"/>
    <n v="3.0349879382296489E-2"/>
    <x v="0"/>
  </r>
  <r>
    <x v="74"/>
    <x v="74"/>
    <x v="4"/>
    <x v="12"/>
    <x v="4"/>
    <x v="12"/>
    <n v="98714"/>
    <n v="20001"/>
    <n v="15996"/>
    <n v="588"/>
    <n v="45"/>
    <n v="36"/>
    <n v="140"/>
    <n v="457"/>
    <n v="5.0575143785946484E-2"/>
    <x v="2"/>
  </r>
  <r>
    <x v="75"/>
    <x v="75"/>
    <x v="4"/>
    <x v="10"/>
    <x v="5"/>
    <x v="13"/>
    <n v="696593"/>
    <n v="296771"/>
    <n v="225574"/>
    <n v="19378"/>
    <n v="912"/>
    <n v="1470"/>
    <n v="2066"/>
    <n v="7524"/>
    <n v="0.10562387509198755"/>
    <x v="0"/>
  </r>
  <r>
    <x v="76"/>
    <x v="76"/>
    <x v="2"/>
    <x v="2"/>
    <x v="2"/>
    <x v="15"/>
    <n v="216853"/>
    <n v="43458"/>
    <n v="37726"/>
    <n v="1623"/>
    <n v="77"/>
    <n v="137"/>
    <n v="27"/>
    <n v="446"/>
    <n v="4.9408895721783384E-2"/>
    <x v="0"/>
  </r>
  <r>
    <x v="77"/>
    <x v="77"/>
    <x v="0"/>
    <x v="22"/>
    <x v="3"/>
    <x v="10"/>
    <n v="46857"/>
    <n v="16027"/>
    <n v="14258"/>
    <n v="874"/>
    <n v="101"/>
    <n v="98"/>
    <n v="116"/>
    <n v="135"/>
    <n v="8.3391780053303402E-2"/>
    <x v="0"/>
  </r>
  <r>
    <x v="78"/>
    <x v="78"/>
    <x v="2"/>
    <x v="3"/>
    <x v="2"/>
    <x v="2"/>
    <n v="113505"/>
    <n v="47179"/>
    <n v="33841"/>
    <n v="3407"/>
    <n v="483"/>
    <n v="166"/>
    <n v="49"/>
    <n v="473"/>
    <n v="0.12130256198102893"/>
    <x v="0"/>
  </r>
  <r>
    <x v="79"/>
    <x v="79"/>
    <x v="0"/>
    <x v="23"/>
    <x v="4"/>
    <x v="10"/>
    <n v="157364"/>
    <n v="25724"/>
    <n v="18988"/>
    <n v="750"/>
    <n v="107"/>
    <n v="22"/>
    <n v="180"/>
    <n v="613"/>
    <n v="5.5772066568358966E-2"/>
    <x v="0"/>
  </r>
  <r>
    <x v="80"/>
    <x v="80"/>
    <x v="3"/>
    <x v="18"/>
    <x v="5"/>
    <x v="14"/>
    <n v="333995"/>
    <n v="39719"/>
    <n v="33320"/>
    <n v="2692"/>
    <n v="319"/>
    <n v="177"/>
    <n v="4"/>
    <n v="568"/>
    <n v="9.5798319327731099E-2"/>
    <x v="0"/>
  </r>
  <r>
    <x v="81"/>
    <x v="81"/>
    <x v="4"/>
    <x v="10"/>
    <x v="1"/>
    <x v="13"/>
    <n v="487688"/>
    <n v="304274"/>
    <n v="272962"/>
    <n v="14296"/>
    <n v="2165"/>
    <n v="1497"/>
    <n v="1634"/>
    <n v="5863"/>
    <n v="7.1775558502648718E-2"/>
    <x v="0"/>
  </r>
  <r>
    <x v="82"/>
    <x v="82"/>
    <x v="0"/>
    <x v="22"/>
    <x v="1"/>
    <x v="10"/>
    <n v="183441"/>
    <n v="859292"/>
    <n v="700576"/>
    <n v="48625"/>
    <n v="4112"/>
    <n v="6775"/>
    <n v="6198"/>
    <n v="24261"/>
    <n v="9.3794249303430319E-2"/>
    <x v="1"/>
  </r>
  <r>
    <x v="83"/>
    <x v="83"/>
    <x v="4"/>
    <x v="14"/>
    <x v="2"/>
    <x v="13"/>
    <n v="300449"/>
    <n v="169871"/>
    <n v="151545"/>
    <n v="6795"/>
    <n v="797"/>
    <n v="260"/>
    <n v="815"/>
    <n v="5780"/>
    <n v="5.7190933386122932E-2"/>
    <x v="1"/>
  </r>
  <r>
    <x v="84"/>
    <x v="84"/>
    <x v="4"/>
    <x v="14"/>
    <x v="1"/>
    <x v="13"/>
    <n v="677251"/>
    <n v="368096"/>
    <n v="314583"/>
    <n v="28279"/>
    <n v="5078"/>
    <n v="3919"/>
    <n v="1942"/>
    <n v="9244"/>
    <n v="0.12466662216330825"/>
    <x v="0"/>
  </r>
  <r>
    <x v="85"/>
    <x v="85"/>
    <x v="1"/>
    <x v="24"/>
    <x v="3"/>
    <x v="16"/>
    <n v="240047"/>
    <n v="40404"/>
    <n v="35788"/>
    <n v="1053"/>
    <n v="153"/>
    <n v="135"/>
    <n v="238"/>
    <n v="247"/>
    <n v="4.4120934391416115E-2"/>
    <x v="0"/>
  </r>
  <r>
    <x v="86"/>
    <x v="86"/>
    <x v="2"/>
    <x v="5"/>
    <x v="0"/>
    <x v="5"/>
    <n v="729001"/>
    <n v="394502"/>
    <n v="338743"/>
    <n v="8924"/>
    <n v="755"/>
    <n v="1013"/>
    <n v="28"/>
    <n v="9198"/>
    <n v="3.1646410405528673E-2"/>
    <x v="1"/>
  </r>
  <r>
    <x v="87"/>
    <x v="87"/>
    <x v="1"/>
    <x v="24"/>
    <x v="3"/>
    <x v="16"/>
    <n v="388209"/>
    <n v="157278"/>
    <n v="126069"/>
    <n v="5804"/>
    <n v="506"/>
    <n v="514"/>
    <n v="1411"/>
    <n v="4640"/>
    <n v="6.5321371629821767E-2"/>
    <x v="1"/>
  </r>
  <r>
    <x v="88"/>
    <x v="88"/>
    <x v="2"/>
    <x v="3"/>
    <x v="1"/>
    <x v="15"/>
    <n v="748457"/>
    <n v="423001"/>
    <n v="303906"/>
    <n v="12528"/>
    <n v="1220"/>
    <n v="1086"/>
    <n v="27"/>
    <n v="3278"/>
    <n v="4.8899988812330125E-2"/>
    <x v="2"/>
  </r>
  <r>
    <x v="89"/>
    <x v="89"/>
    <x v="4"/>
    <x v="20"/>
    <x v="2"/>
    <x v="13"/>
    <n v="528892"/>
    <n v="158728"/>
    <n v="124201"/>
    <n v="3443"/>
    <n v="584"/>
    <n v="444"/>
    <n v="619"/>
    <n v="4562"/>
    <n v="4.0981956667015561E-2"/>
    <x v="0"/>
  </r>
  <r>
    <x v="90"/>
    <x v="90"/>
    <x v="1"/>
    <x v="1"/>
    <x v="3"/>
    <x v="6"/>
    <n v="85574"/>
    <n v="211405"/>
    <n v="173507"/>
    <n v="13452"/>
    <n v="1468"/>
    <n v="463"/>
    <n v="1447"/>
    <n v="2966"/>
    <n v="9.6998968341334937E-2"/>
    <x v="0"/>
  </r>
  <r>
    <x v="91"/>
    <x v="91"/>
    <x v="2"/>
    <x v="19"/>
    <x v="2"/>
    <x v="2"/>
    <n v="628226"/>
    <n v="276554"/>
    <n v="208307"/>
    <n v="7913"/>
    <n v="746"/>
    <n v="790"/>
    <n v="15"/>
    <n v="6117"/>
    <n v="4.5432942723960305E-2"/>
    <x v="0"/>
  </r>
  <r>
    <x v="92"/>
    <x v="92"/>
    <x v="4"/>
    <x v="21"/>
    <x v="1"/>
    <x v="12"/>
    <n v="411920"/>
    <n v="43175"/>
    <n v="39540"/>
    <n v="1520"/>
    <n v="49"/>
    <n v="186"/>
    <n v="180"/>
    <n v="1165"/>
    <n v="4.8937784522003036E-2"/>
    <x v="1"/>
  </r>
  <r>
    <x v="93"/>
    <x v="93"/>
    <x v="0"/>
    <x v="0"/>
    <x v="2"/>
    <x v="7"/>
    <n v="575036"/>
    <n v="256692"/>
    <n v="223684"/>
    <n v="12289"/>
    <n v="1650"/>
    <n v="1255"/>
    <n v="2608"/>
    <n v="1769"/>
    <n v="7.9585486668693334E-2"/>
    <x v="1"/>
  </r>
  <r>
    <x v="94"/>
    <x v="94"/>
    <x v="4"/>
    <x v="12"/>
    <x v="2"/>
    <x v="11"/>
    <n v="327638"/>
    <n v="210933"/>
    <n v="169621"/>
    <n v="4682"/>
    <n v="594"/>
    <n v="267"/>
    <n v="1041"/>
    <n v="1357"/>
    <n v="3.8815948496943184E-2"/>
    <x v="1"/>
  </r>
  <r>
    <x v="95"/>
    <x v="95"/>
    <x v="2"/>
    <x v="16"/>
    <x v="4"/>
    <x v="2"/>
    <n v="407926"/>
    <n v="76072"/>
    <n v="61576"/>
    <n v="5740"/>
    <n v="619"/>
    <n v="712"/>
    <n v="46"/>
    <n v="1349"/>
    <n v="0.1155807457450955"/>
    <x v="0"/>
  </r>
  <r>
    <x v="96"/>
    <x v="96"/>
    <x v="0"/>
    <x v="22"/>
    <x v="2"/>
    <x v="7"/>
    <n v="695524"/>
    <n v="232424"/>
    <n v="184485"/>
    <n v="14267"/>
    <n v="1180"/>
    <n v="363"/>
    <n v="3195"/>
    <n v="3620"/>
    <n v="0.10301650540694365"/>
    <x v="2"/>
  </r>
  <r>
    <x v="97"/>
    <x v="97"/>
    <x v="4"/>
    <x v="20"/>
    <x v="5"/>
    <x v="17"/>
    <n v="35153"/>
    <n v="14986"/>
    <n v="11934"/>
    <n v="413"/>
    <n v="27"/>
    <n v="42"/>
    <n v="50"/>
    <n v="501"/>
    <n v="4.457851516675046E-2"/>
    <x v="0"/>
  </r>
  <r>
    <x v="98"/>
    <x v="98"/>
    <x v="0"/>
    <x v="6"/>
    <x v="2"/>
    <x v="10"/>
    <n v="146883"/>
    <n v="45075"/>
    <n v="34316"/>
    <n v="3499"/>
    <n v="118"/>
    <n v="154"/>
    <n v="537"/>
    <n v="1460"/>
    <n v="0.12553910712204219"/>
    <x v="0"/>
  </r>
  <r>
    <x v="99"/>
    <x v="99"/>
    <x v="1"/>
    <x v="7"/>
    <x v="5"/>
    <x v="8"/>
    <n v="212402"/>
    <n v="120243"/>
    <n v="88737"/>
    <n v="7551"/>
    <n v="1356"/>
    <n v="946"/>
    <n v="1838"/>
    <n v="4160"/>
    <n v="0.13174887589167991"/>
    <x v="1"/>
  </r>
  <r>
    <x v="100"/>
    <x v="100"/>
    <x v="0"/>
    <x v="23"/>
    <x v="0"/>
    <x v="10"/>
    <n v="746531"/>
    <n v="331078"/>
    <n v="258084"/>
    <n v="11076"/>
    <n v="1968"/>
    <n v="1361"/>
    <n v="1078"/>
    <n v="6562"/>
    <n v="5.9992095596782445E-2"/>
    <x v="0"/>
  </r>
  <r>
    <x v="101"/>
    <x v="101"/>
    <x v="3"/>
    <x v="4"/>
    <x v="1"/>
    <x v="9"/>
    <n v="71441"/>
    <n v="46420"/>
    <n v="37382"/>
    <n v="2072"/>
    <n v="189"/>
    <n v="196"/>
    <n v="8"/>
    <n v="1586"/>
    <n v="6.5940827136054786E-2"/>
    <x v="1"/>
  </r>
  <r>
    <x v="102"/>
    <x v="102"/>
    <x v="0"/>
    <x v="0"/>
    <x v="1"/>
    <x v="10"/>
    <n v="618838"/>
    <n v="390344"/>
    <n v="316424"/>
    <n v="28140"/>
    <n v="4353"/>
    <n v="2458"/>
    <n v="3118"/>
    <n v="3848"/>
    <n v="0.12031009025864031"/>
    <x v="2"/>
  </r>
  <r>
    <x v="103"/>
    <x v="103"/>
    <x v="0"/>
    <x v="22"/>
    <x v="5"/>
    <x v="0"/>
    <n v="668405"/>
    <n v="158035"/>
    <n v="121153"/>
    <n v="8219"/>
    <n v="866"/>
    <n v="344"/>
    <n v="1958"/>
    <n v="1521"/>
    <n v="9.3988592936204637E-2"/>
    <x v="1"/>
  </r>
  <r>
    <x v="104"/>
    <x v="104"/>
    <x v="3"/>
    <x v="11"/>
    <x v="2"/>
    <x v="9"/>
    <n v="50170"/>
    <n v="26062"/>
    <n v="21976"/>
    <n v="1720"/>
    <n v="159"/>
    <n v="177"/>
    <n v="31"/>
    <n v="825"/>
    <n v="9.49672369858027E-2"/>
    <x v="0"/>
  </r>
  <r>
    <x v="105"/>
    <x v="105"/>
    <x v="2"/>
    <x v="3"/>
    <x v="3"/>
    <x v="15"/>
    <n v="724563"/>
    <n v="239522"/>
    <n v="192139"/>
    <n v="9679"/>
    <n v="498"/>
    <n v="1277"/>
    <n v="20"/>
    <n v="6473"/>
    <n v="5.971718391372912E-2"/>
    <x v="1"/>
  </r>
  <r>
    <x v="106"/>
    <x v="106"/>
    <x v="3"/>
    <x v="18"/>
    <x v="2"/>
    <x v="4"/>
    <n v="255980"/>
    <n v="59504"/>
    <n v="43497"/>
    <n v="1370"/>
    <n v="235"/>
    <n v="181"/>
    <n v="26"/>
    <n v="740"/>
    <n v="4.1658045382440168E-2"/>
    <x v="1"/>
  </r>
  <r>
    <x v="107"/>
    <x v="107"/>
    <x v="0"/>
    <x v="0"/>
    <x v="0"/>
    <x v="7"/>
    <n v="542228"/>
    <n v="315074"/>
    <n v="222158"/>
    <n v="24170"/>
    <n v="2557"/>
    <n v="3520"/>
    <n v="2248"/>
    <n v="4911"/>
    <n v="0.14626977196409763"/>
    <x v="0"/>
  </r>
  <r>
    <x v="108"/>
    <x v="108"/>
    <x v="2"/>
    <x v="3"/>
    <x v="1"/>
    <x v="15"/>
    <n v="115218"/>
    <n v="67172"/>
    <n v="52425"/>
    <n v="2968"/>
    <n v="109"/>
    <n v="79"/>
    <n v="35"/>
    <n v="728"/>
    <n v="6.0867906533142585E-2"/>
    <x v="0"/>
  </r>
  <r>
    <x v="109"/>
    <x v="109"/>
    <x v="3"/>
    <x v="15"/>
    <x v="1"/>
    <x v="14"/>
    <n v="643225"/>
    <n v="408960"/>
    <n v="319849"/>
    <n v="32392"/>
    <n v="3682"/>
    <n v="2187"/>
    <n v="9"/>
    <n v="4487"/>
    <n v="0.11965020994281676"/>
    <x v="0"/>
  </r>
  <r>
    <x v="110"/>
    <x v="110"/>
    <x v="1"/>
    <x v="24"/>
    <x v="3"/>
    <x v="8"/>
    <n v="158675"/>
    <n v="59318"/>
    <n v="53676"/>
    <n v="2320"/>
    <n v="206"/>
    <n v="232"/>
    <n v="506"/>
    <n v="1353"/>
    <n v="6.0809300245919962E-2"/>
    <x v="0"/>
  </r>
  <r>
    <x v="111"/>
    <x v="111"/>
    <x v="3"/>
    <x v="15"/>
    <x v="3"/>
    <x v="9"/>
    <n v="388751"/>
    <n v="55387"/>
    <n v="45883"/>
    <n v="3755"/>
    <n v="521"/>
    <n v="410"/>
    <n v="1"/>
    <n v="1268"/>
    <n v="0.10215112350979666"/>
    <x v="0"/>
  </r>
  <r>
    <x v="112"/>
    <x v="112"/>
    <x v="4"/>
    <x v="21"/>
    <x v="3"/>
    <x v="17"/>
    <n v="552197"/>
    <n v="239239"/>
    <n v="175245"/>
    <n v="14556"/>
    <n v="505"/>
    <n v="2085"/>
    <n v="1047"/>
    <n v="1332"/>
    <n v="0.10381465947673257"/>
    <x v="0"/>
  </r>
  <r>
    <x v="113"/>
    <x v="113"/>
    <x v="2"/>
    <x v="2"/>
    <x v="1"/>
    <x v="2"/>
    <n v="774081"/>
    <n v="373332"/>
    <n v="278362"/>
    <n v="14747"/>
    <n v="1907"/>
    <n v="1302"/>
    <n v="20"/>
    <n v="12581"/>
    <n v="6.45777800130765E-2"/>
    <x v="0"/>
  </r>
  <r>
    <x v="114"/>
    <x v="114"/>
    <x v="0"/>
    <x v="13"/>
    <x v="3"/>
    <x v="0"/>
    <n v="260994"/>
    <n v="65286"/>
    <n v="56776"/>
    <n v="4066"/>
    <n v="542"/>
    <n v="339"/>
    <n v="593"/>
    <n v="1424"/>
    <n v="9.7576440749612511E-2"/>
    <x v="2"/>
  </r>
  <r>
    <x v="115"/>
    <x v="115"/>
    <x v="3"/>
    <x v="18"/>
    <x v="3"/>
    <x v="4"/>
    <n v="364399"/>
    <n v="196276"/>
    <n v="139209"/>
    <n v="15175"/>
    <n v="635"/>
    <n v="2126"/>
    <n v="41"/>
    <n v="2491"/>
    <n v="0.12913676558268503"/>
    <x v="0"/>
  </r>
  <r>
    <x v="116"/>
    <x v="116"/>
    <x v="3"/>
    <x v="15"/>
    <x v="0"/>
    <x v="9"/>
    <n v="648084"/>
    <n v="140239"/>
    <n v="118833"/>
    <n v="7273"/>
    <n v="914"/>
    <n v="195"/>
    <n v="26"/>
    <n v="2090"/>
    <n v="7.075475667533429E-2"/>
    <x v="0"/>
  </r>
  <r>
    <x v="117"/>
    <x v="117"/>
    <x v="1"/>
    <x v="1"/>
    <x v="4"/>
    <x v="8"/>
    <n v="503141"/>
    <n v="257039"/>
    <n v="198088"/>
    <n v="15102"/>
    <n v="2509"/>
    <n v="477"/>
    <n v="2489"/>
    <n v="5411"/>
    <n v="0.10387807439117967"/>
    <x v="1"/>
  </r>
  <r>
    <x v="118"/>
    <x v="118"/>
    <x v="1"/>
    <x v="17"/>
    <x v="3"/>
    <x v="8"/>
    <n v="197861"/>
    <n v="124338"/>
    <n v="111019"/>
    <n v="2555"/>
    <n v="294"/>
    <n v="86"/>
    <n v="630"/>
    <n v="1683"/>
    <n v="3.211162053342221E-2"/>
    <x v="2"/>
  </r>
  <r>
    <x v="119"/>
    <x v="119"/>
    <x v="1"/>
    <x v="7"/>
    <x v="3"/>
    <x v="1"/>
    <n v="204677"/>
    <n v="54953"/>
    <n v="44015"/>
    <n v="1947"/>
    <n v="112"/>
    <n v="225"/>
    <n v="405"/>
    <n v="1210"/>
    <n v="6.1092809269567193E-2"/>
    <x v="1"/>
  </r>
  <r>
    <x v="120"/>
    <x v="120"/>
    <x v="2"/>
    <x v="16"/>
    <x v="1"/>
    <x v="3"/>
    <n v="93451"/>
    <n v="12556"/>
    <n v="10108"/>
    <n v="956"/>
    <n v="29"/>
    <n v="66"/>
    <n v="28"/>
    <n v="346"/>
    <n v="0.10674713098535814"/>
    <x v="2"/>
  </r>
  <r>
    <x v="121"/>
    <x v="121"/>
    <x v="4"/>
    <x v="14"/>
    <x v="4"/>
    <x v="11"/>
    <n v="728920"/>
    <n v="335768"/>
    <n v="257701"/>
    <n v="14882"/>
    <n v="1568"/>
    <n v="2029"/>
    <n v="2838"/>
    <n v="4811"/>
    <n v="8.2719896313945232E-2"/>
    <x v="0"/>
  </r>
  <r>
    <x v="122"/>
    <x v="122"/>
    <x v="1"/>
    <x v="8"/>
    <x v="3"/>
    <x v="16"/>
    <n v="479579"/>
    <n v="203951"/>
    <n v="174261"/>
    <n v="15248"/>
    <n v="2189"/>
    <n v="1894"/>
    <n v="3280"/>
    <n v="5681"/>
    <n v="0.12975364539397799"/>
    <x v="1"/>
  </r>
  <r>
    <x v="123"/>
    <x v="123"/>
    <x v="3"/>
    <x v="15"/>
    <x v="2"/>
    <x v="14"/>
    <n v="120159"/>
    <n v="47121"/>
    <n v="35080"/>
    <n v="2459"/>
    <n v="134"/>
    <n v="322"/>
    <n v="28"/>
    <n v="399"/>
    <n v="8.3893956670467507E-2"/>
    <x v="0"/>
  </r>
  <r>
    <x v="124"/>
    <x v="124"/>
    <x v="3"/>
    <x v="9"/>
    <x v="2"/>
    <x v="4"/>
    <n v="140853"/>
    <n v="47942"/>
    <n v="39453"/>
    <n v="2894"/>
    <n v="220"/>
    <n v="66"/>
    <n v="16"/>
    <n v="1413"/>
    <n v="8.1007781410792595E-2"/>
    <x v="1"/>
  </r>
  <r>
    <x v="125"/>
    <x v="125"/>
    <x v="0"/>
    <x v="22"/>
    <x v="1"/>
    <x v="0"/>
    <n v="74871"/>
    <n v="26136"/>
    <n v="20646"/>
    <n v="1728"/>
    <n v="250"/>
    <n v="254"/>
    <n v="309"/>
    <n v="460"/>
    <n v="0.12307468759081662"/>
    <x v="2"/>
  </r>
  <r>
    <x v="126"/>
    <x v="126"/>
    <x v="2"/>
    <x v="16"/>
    <x v="2"/>
    <x v="5"/>
    <n v="687780"/>
    <n v="101530"/>
    <n v="79850"/>
    <n v="2806"/>
    <n v="496"/>
    <n v="360"/>
    <n v="48"/>
    <n v="576"/>
    <n v="4.6462116468378209E-2"/>
    <x v="0"/>
  </r>
  <r>
    <x v="127"/>
    <x v="127"/>
    <x v="3"/>
    <x v="9"/>
    <x v="0"/>
    <x v="9"/>
    <n v="485500"/>
    <n v="115121"/>
    <n v="99971"/>
    <n v="2524"/>
    <n v="325"/>
    <n v="252"/>
    <n v="1"/>
    <n v="1406"/>
    <n v="3.1028998409538766E-2"/>
    <x v="0"/>
  </r>
  <r>
    <x v="128"/>
    <x v="128"/>
    <x v="4"/>
    <x v="12"/>
    <x v="4"/>
    <x v="12"/>
    <n v="424305"/>
    <n v="164487"/>
    <n v="146396"/>
    <n v="3846"/>
    <n v="406"/>
    <n v="221"/>
    <n v="819"/>
    <n v="4432"/>
    <n v="3.6148528648323727E-2"/>
    <x v="0"/>
  </r>
  <r>
    <x v="129"/>
    <x v="129"/>
    <x v="1"/>
    <x v="24"/>
    <x v="0"/>
    <x v="16"/>
    <n v="436149"/>
    <n v="50046"/>
    <n v="44717"/>
    <n v="3738"/>
    <n v="463"/>
    <n v="282"/>
    <n v="557"/>
    <n v="1710"/>
    <n v="0.1127088132030324"/>
    <x v="2"/>
  </r>
  <r>
    <x v="130"/>
    <x v="130"/>
    <x v="0"/>
    <x v="6"/>
    <x v="3"/>
    <x v="0"/>
    <n v="316955"/>
    <n v="161652"/>
    <n v="121726"/>
    <n v="5418"/>
    <n v="859"/>
    <n v="210"/>
    <n v="772"/>
    <n v="1087"/>
    <n v="5.9633931945516978E-2"/>
    <x v="0"/>
  </r>
  <r>
    <x v="131"/>
    <x v="131"/>
    <x v="2"/>
    <x v="5"/>
    <x v="5"/>
    <x v="5"/>
    <n v="348805"/>
    <n v="211260"/>
    <n v="152179"/>
    <n v="13409"/>
    <n v="785"/>
    <n v="736"/>
    <n v="43"/>
    <n v="4890"/>
    <n v="9.8390710939091464E-2"/>
    <x v="0"/>
  </r>
  <r>
    <x v="132"/>
    <x v="132"/>
    <x v="3"/>
    <x v="18"/>
    <x v="0"/>
    <x v="4"/>
    <n v="221536"/>
    <n v="59768"/>
    <n v="44622"/>
    <n v="1876"/>
    <n v="264"/>
    <n v="219"/>
    <n v="48"/>
    <n v="1157"/>
    <n v="5.3942001703195734E-2"/>
    <x v="0"/>
  </r>
  <r>
    <x v="133"/>
    <x v="133"/>
    <x v="1"/>
    <x v="7"/>
    <x v="5"/>
    <x v="1"/>
    <n v="401652"/>
    <n v="180651"/>
    <n v="136851"/>
    <n v="9171"/>
    <n v="959"/>
    <n v="300"/>
    <n v="2258"/>
    <n v="3447"/>
    <n v="9.2713973591716542E-2"/>
    <x v="1"/>
  </r>
  <r>
    <x v="134"/>
    <x v="134"/>
    <x v="4"/>
    <x v="21"/>
    <x v="0"/>
    <x v="17"/>
    <n v="19507"/>
    <n v="11954"/>
    <n v="10261"/>
    <n v="450"/>
    <n v="26"/>
    <n v="22"/>
    <n v="73"/>
    <n v="147"/>
    <n v="5.5647597700029236E-2"/>
    <x v="0"/>
  </r>
  <r>
    <x v="135"/>
    <x v="135"/>
    <x v="2"/>
    <x v="16"/>
    <x v="3"/>
    <x v="5"/>
    <n v="770867"/>
    <n v="136043"/>
    <n v="111587"/>
    <n v="4223"/>
    <n v="690"/>
    <n v="628"/>
    <n v="3"/>
    <n v="2818"/>
    <n v="4.968320682516781E-2"/>
    <x v="1"/>
  </r>
  <r>
    <x v="136"/>
    <x v="136"/>
    <x v="4"/>
    <x v="20"/>
    <x v="0"/>
    <x v="17"/>
    <n v="73769"/>
    <n v="6285"/>
    <n v="5030"/>
    <n v="148"/>
    <n v="18"/>
    <n v="20"/>
    <n v="34"/>
    <n v="155"/>
    <n v="4.37375745526839E-2"/>
    <x v="0"/>
  </r>
  <r>
    <x v="137"/>
    <x v="137"/>
    <x v="4"/>
    <x v="21"/>
    <x v="4"/>
    <x v="11"/>
    <n v="564262"/>
    <n v="50654"/>
    <n v="43234"/>
    <n v="2321"/>
    <n v="396"/>
    <n v="100"/>
    <n v="542"/>
    <n v="1050"/>
    <n v="7.7693481981773602E-2"/>
    <x v="0"/>
  </r>
  <r>
    <x v="138"/>
    <x v="138"/>
    <x v="0"/>
    <x v="23"/>
    <x v="3"/>
    <x v="0"/>
    <n v="393672"/>
    <n v="134489"/>
    <n v="123440"/>
    <n v="4512"/>
    <n v="598"/>
    <n v="587"/>
    <n v="815"/>
    <n v="4135"/>
    <n v="5.2754374594944912E-2"/>
    <x v="1"/>
  </r>
  <r>
    <x v="139"/>
    <x v="139"/>
    <x v="3"/>
    <x v="9"/>
    <x v="2"/>
    <x v="14"/>
    <n v="12409"/>
    <n v="1577"/>
    <n v="1327"/>
    <n v="62"/>
    <n v="10"/>
    <n v="9"/>
    <n v="33"/>
    <n v="51"/>
    <n v="8.5908063300678225E-2"/>
    <x v="0"/>
  </r>
  <r>
    <x v="140"/>
    <x v="140"/>
    <x v="2"/>
    <x v="3"/>
    <x v="2"/>
    <x v="15"/>
    <n v="720175"/>
    <n v="426781"/>
    <n v="360537"/>
    <n v="13128"/>
    <n v="2068"/>
    <n v="289"/>
    <n v="13"/>
    <n v="9649"/>
    <n v="4.2985879396566791E-2"/>
    <x v="1"/>
  </r>
  <r>
    <x v="141"/>
    <x v="141"/>
    <x v="0"/>
    <x v="0"/>
    <x v="1"/>
    <x v="0"/>
    <n v="596723"/>
    <n v="180102"/>
    <n v="139215"/>
    <n v="11767"/>
    <n v="600"/>
    <n v="1747"/>
    <n v="2292"/>
    <n v="3606"/>
    <n v="0.11784649642639083"/>
    <x v="2"/>
  </r>
  <r>
    <x v="142"/>
    <x v="142"/>
    <x v="4"/>
    <x v="14"/>
    <x v="1"/>
    <x v="13"/>
    <n v="813631"/>
    <n v="359177"/>
    <n v="329856"/>
    <n v="17756"/>
    <n v="1480"/>
    <n v="2527"/>
    <n v="2421"/>
    <n v="9119"/>
    <n v="7.3316841288319751E-2"/>
    <x v="1"/>
  </r>
  <r>
    <x v="143"/>
    <x v="143"/>
    <x v="1"/>
    <x v="17"/>
    <x v="2"/>
    <x v="1"/>
    <n v="164212"/>
    <n v="86509"/>
    <n v="74633"/>
    <n v="3373"/>
    <n v="155"/>
    <n v="69"/>
    <n v="376"/>
    <n v="1366"/>
    <n v="5.3233824179652431E-2"/>
    <x v="0"/>
  </r>
  <r>
    <x v="144"/>
    <x v="144"/>
    <x v="2"/>
    <x v="2"/>
    <x v="1"/>
    <x v="2"/>
    <n v="110810"/>
    <n v="342692"/>
    <n v="284887"/>
    <n v="22983"/>
    <n v="3667"/>
    <n v="496"/>
    <n v="26"/>
    <n v="5700"/>
    <n v="9.5378167483949783E-2"/>
    <x v="0"/>
  </r>
  <r>
    <x v="145"/>
    <x v="145"/>
    <x v="3"/>
    <x v="18"/>
    <x v="0"/>
    <x v="14"/>
    <n v="401726"/>
    <n v="93716"/>
    <n v="75768"/>
    <n v="2230"/>
    <n v="212"/>
    <n v="166"/>
    <n v="30"/>
    <n v="2669"/>
    <n v="3.4816809207053108E-2"/>
    <x v="0"/>
  </r>
  <r>
    <x v="146"/>
    <x v="146"/>
    <x v="3"/>
    <x v="18"/>
    <x v="0"/>
    <x v="4"/>
    <n v="114668"/>
    <n v="9615"/>
    <n v="7433"/>
    <n v="550"/>
    <n v="82"/>
    <n v="34"/>
    <n v="21"/>
    <n v="172"/>
    <n v="9.242566931252523E-2"/>
    <x v="1"/>
  </r>
  <r>
    <x v="147"/>
    <x v="147"/>
    <x v="0"/>
    <x v="13"/>
    <x v="4"/>
    <x v="0"/>
    <n v="504778"/>
    <n v="317912"/>
    <n v="242922"/>
    <n v="19614"/>
    <n v="2033"/>
    <n v="1860"/>
    <n v="1931"/>
    <n v="5176"/>
    <n v="0.10471674035287047"/>
    <x v="1"/>
  </r>
  <r>
    <x v="148"/>
    <x v="148"/>
    <x v="3"/>
    <x v="4"/>
    <x v="1"/>
    <x v="14"/>
    <n v="191167"/>
    <n v="75235"/>
    <n v="60305"/>
    <n v="4702"/>
    <n v="450"/>
    <n v="272"/>
    <n v="44"/>
    <n v="532"/>
    <n v="9.0672415222618361E-2"/>
    <x v="1"/>
  </r>
  <r>
    <x v="149"/>
    <x v="149"/>
    <x v="1"/>
    <x v="24"/>
    <x v="0"/>
    <x v="1"/>
    <n v="693158"/>
    <n v="222630"/>
    <n v="159463"/>
    <n v="17686"/>
    <n v="1801"/>
    <n v="1275"/>
    <n v="2676"/>
    <n v="7260"/>
    <n v="0.14698080432451416"/>
    <x v="1"/>
  </r>
  <r>
    <x v="150"/>
    <x v="150"/>
    <x v="3"/>
    <x v="18"/>
    <x v="4"/>
    <x v="9"/>
    <n v="117182"/>
    <n v="53298"/>
    <n v="39259"/>
    <n v="3025"/>
    <n v="346"/>
    <n v="314"/>
    <n v="41"/>
    <n v="905"/>
    <n v="9.4908173921903261E-2"/>
    <x v="1"/>
  </r>
  <r>
    <x v="151"/>
    <x v="151"/>
    <x v="4"/>
    <x v="14"/>
    <x v="0"/>
    <x v="17"/>
    <n v="469932"/>
    <n v="161631"/>
    <n v="134071"/>
    <n v="8086"/>
    <n v="660"/>
    <n v="187"/>
    <n v="573"/>
    <n v="2825"/>
    <n v="7.0902730642719153E-2"/>
    <x v="2"/>
  </r>
  <r>
    <x v="152"/>
    <x v="152"/>
    <x v="0"/>
    <x v="23"/>
    <x v="3"/>
    <x v="0"/>
    <n v="548928"/>
    <n v="192900"/>
    <n v="165669"/>
    <n v="9094"/>
    <n v="364"/>
    <n v="234"/>
    <n v="1747"/>
    <n v="1095"/>
    <n v="6.9047317241004658E-2"/>
    <x v="0"/>
  </r>
  <r>
    <x v="153"/>
    <x v="153"/>
    <x v="1"/>
    <x v="7"/>
    <x v="0"/>
    <x v="16"/>
    <n v="349567"/>
    <n v="218942"/>
    <n v="191685"/>
    <n v="12651"/>
    <n v="733"/>
    <n v="1334"/>
    <n v="1633"/>
    <n v="5938"/>
    <n v="8.530140595247411E-2"/>
    <x v="2"/>
  </r>
  <r>
    <x v="154"/>
    <x v="154"/>
    <x v="4"/>
    <x v="12"/>
    <x v="0"/>
    <x v="11"/>
    <n v="791370"/>
    <n v="422373"/>
    <n v="305116"/>
    <n v="30545"/>
    <n v="1772"/>
    <n v="1905"/>
    <n v="4322"/>
    <n v="5436"/>
    <n v="0.12632572529791947"/>
    <x v="1"/>
  </r>
  <r>
    <x v="155"/>
    <x v="155"/>
    <x v="2"/>
    <x v="2"/>
    <x v="3"/>
    <x v="15"/>
    <n v="367325"/>
    <n v="125250"/>
    <n v="110097"/>
    <n v="7810"/>
    <n v="582"/>
    <n v="780"/>
    <n v="5"/>
    <n v="3151"/>
    <n v="8.335376985748931E-2"/>
    <x v="0"/>
  </r>
  <r>
    <x v="156"/>
    <x v="156"/>
    <x v="0"/>
    <x v="0"/>
    <x v="1"/>
    <x v="7"/>
    <n v="441055"/>
    <n v="179791"/>
    <n v="133201"/>
    <n v="10451"/>
    <n v="1400"/>
    <n v="1085"/>
    <n v="2612"/>
    <n v="3892"/>
    <n v="0.11672585040652848"/>
    <x v="0"/>
  </r>
  <r>
    <x v="157"/>
    <x v="157"/>
    <x v="2"/>
    <x v="2"/>
    <x v="2"/>
    <x v="3"/>
    <n v="12548"/>
    <n v="2399"/>
    <n v="2187"/>
    <n v="120"/>
    <n v="12"/>
    <n v="13"/>
    <n v="26"/>
    <n v="63"/>
    <n v="7.8189300411522639E-2"/>
    <x v="0"/>
  </r>
  <r>
    <x v="158"/>
    <x v="158"/>
    <x v="1"/>
    <x v="24"/>
    <x v="2"/>
    <x v="1"/>
    <n v="238265"/>
    <n v="41905"/>
    <n v="34548"/>
    <n v="2780"/>
    <n v="289"/>
    <n v="240"/>
    <n v="457"/>
    <n v="546"/>
    <n v="0.10900775732314461"/>
    <x v="0"/>
  </r>
  <r>
    <x v="159"/>
    <x v="159"/>
    <x v="4"/>
    <x v="20"/>
    <x v="1"/>
    <x v="17"/>
    <n v="448307"/>
    <n v="247976"/>
    <n v="187087"/>
    <n v="17975"/>
    <n v="626"/>
    <n v="973"/>
    <n v="3998"/>
    <n v="1886"/>
    <n v="0.12599485800723728"/>
    <x v="1"/>
  </r>
  <r>
    <x v="160"/>
    <x v="160"/>
    <x v="3"/>
    <x v="15"/>
    <x v="4"/>
    <x v="14"/>
    <n v="666008"/>
    <n v="287186"/>
    <n v="214084"/>
    <n v="9309"/>
    <n v="362"/>
    <n v="610"/>
    <n v="17"/>
    <n v="6578"/>
    <n v="4.8102613927243514E-2"/>
    <x v="0"/>
  </r>
  <r>
    <x v="161"/>
    <x v="161"/>
    <x v="0"/>
    <x v="13"/>
    <x v="4"/>
    <x v="0"/>
    <n v="144675"/>
    <n v="76365"/>
    <n v="70129"/>
    <n v="5500"/>
    <n v="269"/>
    <n v="729"/>
    <n v="549"/>
    <n v="2011"/>
    <n v="0.10048624677380256"/>
    <x v="1"/>
  </r>
  <r>
    <x v="162"/>
    <x v="162"/>
    <x v="1"/>
    <x v="7"/>
    <x v="4"/>
    <x v="1"/>
    <n v="660809"/>
    <n v="223112"/>
    <n v="195180"/>
    <n v="14755"/>
    <n v="1334"/>
    <n v="1733"/>
    <n v="2787"/>
    <n v="6987"/>
    <n v="0.10558971206066195"/>
    <x v="0"/>
  </r>
  <r>
    <x v="163"/>
    <x v="163"/>
    <x v="4"/>
    <x v="20"/>
    <x v="4"/>
    <x v="11"/>
    <n v="68907"/>
    <n v="21133"/>
    <n v="18628"/>
    <n v="1049"/>
    <n v="82"/>
    <n v="59"/>
    <n v="167"/>
    <n v="188"/>
    <n v="7.2847326605110591E-2"/>
    <x v="1"/>
  </r>
  <r>
    <x v="164"/>
    <x v="164"/>
    <x v="4"/>
    <x v="10"/>
    <x v="2"/>
    <x v="13"/>
    <n v="19572"/>
    <n v="11133"/>
    <n v="8911"/>
    <n v="885"/>
    <n v="83"/>
    <n v="132"/>
    <n v="205"/>
    <n v="350"/>
    <n v="0.14644821007743239"/>
    <x v="0"/>
  </r>
  <r>
    <x v="165"/>
    <x v="165"/>
    <x v="0"/>
    <x v="23"/>
    <x v="2"/>
    <x v="7"/>
    <n v="699287"/>
    <n v="121920"/>
    <n v="102124"/>
    <n v="7749"/>
    <n v="1110"/>
    <n v="587"/>
    <n v="528"/>
    <n v="957"/>
    <n v="9.7665583016724761E-2"/>
    <x v="0"/>
  </r>
  <r>
    <x v="166"/>
    <x v="166"/>
    <x v="3"/>
    <x v="9"/>
    <x v="2"/>
    <x v="9"/>
    <n v="731886"/>
    <n v="108859"/>
    <n v="92822"/>
    <n v="5297"/>
    <n v="340"/>
    <n v="167"/>
    <n v="6"/>
    <n v="881"/>
    <n v="6.2592919781948239E-2"/>
    <x v="0"/>
  </r>
  <r>
    <x v="167"/>
    <x v="167"/>
    <x v="1"/>
    <x v="8"/>
    <x v="2"/>
    <x v="6"/>
    <n v="642466"/>
    <n v="212564"/>
    <n v="158758"/>
    <n v="13794"/>
    <n v="2317"/>
    <n v="1380"/>
    <n v="1910"/>
    <n v="2448"/>
    <n v="0.12220486526663223"/>
    <x v="2"/>
  </r>
  <r>
    <x v="168"/>
    <x v="168"/>
    <x v="2"/>
    <x v="3"/>
    <x v="3"/>
    <x v="3"/>
    <n v="832004"/>
    <n v="197910"/>
    <n v="149342"/>
    <n v="11094"/>
    <n v="1532"/>
    <n v="632"/>
    <n v="44"/>
    <n v="1148"/>
    <n v="8.9070723574078289E-2"/>
    <x v="1"/>
  </r>
  <r>
    <x v="169"/>
    <x v="169"/>
    <x v="3"/>
    <x v="18"/>
    <x v="0"/>
    <x v="14"/>
    <n v="413280"/>
    <n v="45917"/>
    <n v="41785"/>
    <n v="2281"/>
    <n v="107"/>
    <n v="193"/>
    <n v="38"/>
    <n v="327"/>
    <n v="6.2677994495632411E-2"/>
    <x v="2"/>
  </r>
  <r>
    <x v="170"/>
    <x v="170"/>
    <x v="1"/>
    <x v="1"/>
    <x v="1"/>
    <x v="8"/>
    <n v="385662"/>
    <n v="68832"/>
    <n v="62635"/>
    <n v="4558"/>
    <n v="148"/>
    <n v="131"/>
    <n v="466"/>
    <n v="426"/>
    <n v="8.4665123333599421E-2"/>
    <x v="0"/>
  </r>
  <r>
    <x v="171"/>
    <x v="171"/>
    <x v="3"/>
    <x v="9"/>
    <x v="3"/>
    <x v="14"/>
    <n v="424318"/>
    <n v="163719"/>
    <n v="120102"/>
    <n v="4095"/>
    <n v="171"/>
    <n v="572"/>
    <n v="9"/>
    <n v="3453"/>
    <n v="4.0357362908194701E-2"/>
    <x v="0"/>
  </r>
  <r>
    <x v="172"/>
    <x v="172"/>
    <x v="4"/>
    <x v="14"/>
    <x v="4"/>
    <x v="13"/>
    <n v="767916"/>
    <n v="165887"/>
    <n v="119267"/>
    <n v="7642"/>
    <n v="748"/>
    <n v="757"/>
    <n v="854"/>
    <n v="4520"/>
    <n v="8.3853874080843827E-2"/>
    <x v="1"/>
  </r>
  <r>
    <x v="173"/>
    <x v="173"/>
    <x v="4"/>
    <x v="12"/>
    <x v="3"/>
    <x v="11"/>
    <n v="550910"/>
    <n v="302355"/>
    <n v="222754"/>
    <n v="8349"/>
    <n v="1228"/>
    <n v="458"/>
    <n v="1897"/>
    <n v="8509"/>
    <n v="5.3565816999919191E-2"/>
    <x v="0"/>
  </r>
  <r>
    <x v="174"/>
    <x v="174"/>
    <x v="4"/>
    <x v="14"/>
    <x v="4"/>
    <x v="12"/>
    <n v="522748"/>
    <n v="149124"/>
    <n v="132580"/>
    <n v="4475"/>
    <n v="239"/>
    <n v="539"/>
    <n v="1024"/>
    <n v="3761"/>
    <n v="4.7344999245738421E-2"/>
    <x v="0"/>
  </r>
  <r>
    <x v="175"/>
    <x v="175"/>
    <x v="4"/>
    <x v="12"/>
    <x v="2"/>
    <x v="13"/>
    <n v="384157"/>
    <n v="63596"/>
    <n v="52252"/>
    <n v="4759"/>
    <n v="671"/>
    <n v="354"/>
    <n v="544"/>
    <n v="1112"/>
    <n v="0.12110541223302457"/>
    <x v="1"/>
  </r>
  <r>
    <x v="176"/>
    <x v="176"/>
    <x v="4"/>
    <x v="21"/>
    <x v="4"/>
    <x v="12"/>
    <n v="190556"/>
    <n v="71266"/>
    <n v="64844"/>
    <n v="1720"/>
    <n v="171"/>
    <n v="97"/>
    <n v="376"/>
    <n v="1056"/>
    <n v="3.6456726913823949E-2"/>
    <x v="0"/>
  </r>
  <r>
    <x v="177"/>
    <x v="177"/>
    <x v="3"/>
    <x v="15"/>
    <x v="4"/>
    <x v="14"/>
    <n v="256867"/>
    <n v="107181"/>
    <n v="98554"/>
    <n v="7133"/>
    <n v="997"/>
    <n v="649"/>
    <n v="50"/>
    <n v="1324"/>
    <n v="8.9585404955658823E-2"/>
    <x v="0"/>
  </r>
  <r>
    <x v="178"/>
    <x v="178"/>
    <x v="0"/>
    <x v="22"/>
    <x v="5"/>
    <x v="0"/>
    <n v="798294"/>
    <n v="450184"/>
    <n v="345584"/>
    <n v="14546"/>
    <n v="2581"/>
    <n v="1084"/>
    <n v="3523"/>
    <n v="15385"/>
    <n v="6.2890643085328019E-2"/>
    <x v="0"/>
  </r>
  <r>
    <x v="179"/>
    <x v="179"/>
    <x v="1"/>
    <x v="7"/>
    <x v="3"/>
    <x v="1"/>
    <n v="483228"/>
    <n v="62043"/>
    <n v="50328"/>
    <n v="3612"/>
    <n v="322"/>
    <n v="350"/>
    <n v="225"/>
    <n v="1543"/>
    <n v="8.9592274678111594E-2"/>
    <x v="0"/>
  </r>
  <r>
    <x v="180"/>
    <x v="180"/>
    <x v="2"/>
    <x v="3"/>
    <x v="5"/>
    <x v="2"/>
    <n v="287666"/>
    <n v="177727"/>
    <n v="154904"/>
    <n v="9789"/>
    <n v="521"/>
    <n v="404"/>
    <n v="29"/>
    <n v="2563"/>
    <n v="6.9352631307132165E-2"/>
    <x v="0"/>
  </r>
  <r>
    <x v="181"/>
    <x v="181"/>
    <x v="2"/>
    <x v="3"/>
    <x v="2"/>
    <x v="15"/>
    <n v="167771"/>
    <n v="42513"/>
    <n v="36276"/>
    <n v="953"/>
    <n v="148"/>
    <n v="59"/>
    <n v="5"/>
    <n v="1119"/>
    <n v="3.2114896901532693E-2"/>
    <x v="2"/>
  </r>
  <r>
    <x v="182"/>
    <x v="182"/>
    <x v="0"/>
    <x v="23"/>
    <x v="0"/>
    <x v="0"/>
    <n v="426535"/>
    <n v="169289"/>
    <n v="127807"/>
    <n v="8078"/>
    <n v="1216"/>
    <n v="308"/>
    <n v="423"/>
    <n v="5063"/>
    <n v="7.8438583176195356E-2"/>
    <x v="2"/>
  </r>
  <r>
    <x v="183"/>
    <x v="183"/>
    <x v="0"/>
    <x v="22"/>
    <x v="1"/>
    <x v="10"/>
    <n v="273893"/>
    <n v="33618"/>
    <n v="24995"/>
    <n v="1975"/>
    <n v="299"/>
    <n v="63"/>
    <n v="433"/>
    <n v="983"/>
    <n v="0.11082216443288657"/>
    <x v="0"/>
  </r>
  <r>
    <x v="184"/>
    <x v="184"/>
    <x v="3"/>
    <x v="9"/>
    <x v="4"/>
    <x v="4"/>
    <n v="522726"/>
    <n v="2391188"/>
    <n v="1860027"/>
    <n v="178139"/>
    <n v="12691"/>
    <n v="13891"/>
    <n v="9"/>
    <n v="14441"/>
    <n v="0.11006829470754995"/>
    <x v="1"/>
  </r>
  <r>
    <x v="185"/>
    <x v="185"/>
    <x v="2"/>
    <x v="2"/>
    <x v="3"/>
    <x v="15"/>
    <n v="94482"/>
    <n v="14949"/>
    <n v="12577"/>
    <n v="1014"/>
    <n v="68"/>
    <n v="151"/>
    <n v="34"/>
    <n v="431"/>
    <n v="0.1007394450186849"/>
    <x v="2"/>
  </r>
  <r>
    <x v="186"/>
    <x v="186"/>
    <x v="3"/>
    <x v="9"/>
    <x v="5"/>
    <x v="14"/>
    <n v="529297"/>
    <n v="123934"/>
    <n v="95448"/>
    <n v="4107"/>
    <n v="675"/>
    <n v="497"/>
    <n v="3"/>
    <n v="3626"/>
    <n v="5.5339032771771018E-2"/>
    <x v="0"/>
  </r>
  <r>
    <x v="187"/>
    <x v="187"/>
    <x v="4"/>
    <x v="12"/>
    <x v="4"/>
    <x v="17"/>
    <n v="281973"/>
    <n v="149729"/>
    <n v="106651"/>
    <n v="11945"/>
    <n v="751"/>
    <n v="1553"/>
    <n v="2502"/>
    <n v="2342"/>
    <n v="0.15706369373001661"/>
    <x v="1"/>
  </r>
  <r>
    <x v="188"/>
    <x v="188"/>
    <x v="3"/>
    <x v="15"/>
    <x v="4"/>
    <x v="14"/>
    <n v="378711"/>
    <n v="36385"/>
    <n v="28284"/>
    <n v="1966"/>
    <n v="100"/>
    <n v="281"/>
    <n v="31"/>
    <n v="773"/>
    <n v="8.4075802573893368E-2"/>
    <x v="0"/>
  </r>
  <r>
    <x v="189"/>
    <x v="189"/>
    <x v="3"/>
    <x v="4"/>
    <x v="2"/>
    <x v="14"/>
    <n v="503707"/>
    <n v="2836138"/>
    <n v="2488478"/>
    <n v="114709"/>
    <n v="6494"/>
    <n v="14260"/>
    <n v="20"/>
    <n v="19247"/>
    <n v="5.4444122069795271E-2"/>
    <x v="0"/>
  </r>
  <r>
    <x v="190"/>
    <x v="190"/>
    <x v="3"/>
    <x v="15"/>
    <x v="2"/>
    <x v="4"/>
    <n v="741261"/>
    <n v="226447"/>
    <n v="175279"/>
    <n v="8912"/>
    <n v="1571"/>
    <n v="1026"/>
    <n v="27"/>
    <n v="6511"/>
    <n v="6.5815071970972E-2"/>
    <x v="2"/>
  </r>
  <r>
    <x v="191"/>
    <x v="191"/>
    <x v="3"/>
    <x v="18"/>
    <x v="5"/>
    <x v="9"/>
    <n v="700360"/>
    <n v="126030"/>
    <n v="108572"/>
    <n v="4747"/>
    <n v="268"/>
    <n v="96"/>
    <n v="44"/>
    <n v="4217"/>
    <n v="4.7480013263088088E-2"/>
    <x v="0"/>
  </r>
  <r>
    <x v="192"/>
    <x v="192"/>
    <x v="3"/>
    <x v="15"/>
    <x v="1"/>
    <x v="9"/>
    <n v="673218"/>
    <n v="413296"/>
    <n v="319418"/>
    <n v="10195"/>
    <n v="836"/>
    <n v="627"/>
    <n v="40"/>
    <n v="13043"/>
    <n v="3.6622857822664973E-2"/>
    <x v="0"/>
  </r>
  <r>
    <x v="193"/>
    <x v="193"/>
    <x v="0"/>
    <x v="6"/>
    <x v="2"/>
    <x v="7"/>
    <n v="222369"/>
    <n v="26382"/>
    <n v="23035"/>
    <n v="1667"/>
    <n v="62"/>
    <n v="128"/>
    <n v="223"/>
    <n v="263"/>
    <n v="9.0297373561970914E-2"/>
    <x v="0"/>
  </r>
  <r>
    <x v="194"/>
    <x v="194"/>
    <x v="2"/>
    <x v="19"/>
    <x v="3"/>
    <x v="5"/>
    <n v="173057"/>
    <n v="92679"/>
    <n v="70888"/>
    <n v="3625"/>
    <n v="626"/>
    <n v="107"/>
    <n v="10"/>
    <n v="2932"/>
    <n v="6.1618327502539219E-2"/>
    <x v="0"/>
  </r>
  <r>
    <x v="195"/>
    <x v="195"/>
    <x v="0"/>
    <x v="13"/>
    <x v="1"/>
    <x v="7"/>
    <n v="741226"/>
    <n v="4255371"/>
    <n v="3547319"/>
    <n v="195968"/>
    <n v="7453"/>
    <n v="12354"/>
    <n v="47988"/>
    <n v="73525"/>
    <n v="7.4355590799699722E-2"/>
    <x v="0"/>
  </r>
  <r>
    <x v="196"/>
    <x v="196"/>
    <x v="0"/>
    <x v="23"/>
    <x v="0"/>
    <x v="0"/>
    <n v="54546"/>
    <n v="21453"/>
    <n v="15741"/>
    <n v="893"/>
    <n v="84"/>
    <n v="52"/>
    <n v="162"/>
    <n v="493"/>
    <n v="7.5662283209453021E-2"/>
    <x v="0"/>
  </r>
  <r>
    <x v="197"/>
    <x v="197"/>
    <x v="0"/>
    <x v="22"/>
    <x v="3"/>
    <x v="0"/>
    <n v="325831"/>
    <n v="113532"/>
    <n v="86091"/>
    <n v="6642"/>
    <n v="585"/>
    <n v="453"/>
    <n v="838"/>
    <n v="1203"/>
    <n v="9.8941817379284716E-2"/>
    <x v="0"/>
  </r>
  <r>
    <x v="198"/>
    <x v="198"/>
    <x v="0"/>
    <x v="13"/>
    <x v="2"/>
    <x v="0"/>
    <n v="791275"/>
    <n v="106917"/>
    <n v="82928"/>
    <n v="5611"/>
    <n v="985"/>
    <n v="542"/>
    <n v="901"/>
    <n v="3231"/>
    <n v="9.6939513795099366E-2"/>
    <x v="1"/>
  </r>
  <r>
    <x v="199"/>
    <x v="199"/>
    <x v="2"/>
    <x v="2"/>
    <x v="0"/>
    <x v="2"/>
    <n v="315869"/>
    <n v="187810"/>
    <n v="132901"/>
    <n v="10193"/>
    <n v="1095"/>
    <n v="961"/>
    <n v="39"/>
    <n v="1769"/>
    <n v="9.2459800904432621E-2"/>
    <x v="2"/>
  </r>
  <r>
    <x v="200"/>
    <x v="200"/>
    <x v="1"/>
    <x v="8"/>
    <x v="2"/>
    <x v="8"/>
    <n v="84675"/>
    <n v="27788"/>
    <n v="23286"/>
    <n v="1946"/>
    <n v="133"/>
    <n v="269"/>
    <n v="453"/>
    <n v="194"/>
    <n v="0.12028686764579576"/>
    <x v="0"/>
  </r>
  <r>
    <x v="201"/>
    <x v="201"/>
    <x v="0"/>
    <x v="13"/>
    <x v="3"/>
    <x v="0"/>
    <n v="827258"/>
    <n v="343244"/>
    <n v="271955"/>
    <n v="15400"/>
    <n v="804"/>
    <n v="1485"/>
    <n v="3105"/>
    <n v="11392"/>
    <n v="7.6461179239212376E-2"/>
    <x v="2"/>
  </r>
  <r>
    <x v="202"/>
    <x v="202"/>
    <x v="3"/>
    <x v="15"/>
    <x v="3"/>
    <x v="4"/>
    <n v="404150"/>
    <n v="164106"/>
    <n v="116226"/>
    <n v="5993"/>
    <n v="309"/>
    <n v="594"/>
    <n v="44"/>
    <n v="2798"/>
    <n v="5.9711252215511157E-2"/>
    <x v="0"/>
  </r>
  <r>
    <x v="203"/>
    <x v="203"/>
    <x v="4"/>
    <x v="20"/>
    <x v="5"/>
    <x v="11"/>
    <n v="23715"/>
    <n v="12625"/>
    <n v="9616"/>
    <n v="624"/>
    <n v="83"/>
    <n v="20"/>
    <n v="139"/>
    <n v="114"/>
    <n v="9.0058236272878539E-2"/>
    <x v="2"/>
  </r>
  <r>
    <x v="204"/>
    <x v="204"/>
    <x v="2"/>
    <x v="2"/>
    <x v="4"/>
    <x v="15"/>
    <n v="199564"/>
    <n v="119869"/>
    <n v="103447"/>
    <n v="7859"/>
    <n v="1258"/>
    <n v="995"/>
    <n v="32"/>
    <n v="3445"/>
    <n v="9.8059876071804886E-2"/>
    <x v="0"/>
  </r>
  <r>
    <x v="205"/>
    <x v="205"/>
    <x v="3"/>
    <x v="18"/>
    <x v="2"/>
    <x v="9"/>
    <n v="204627"/>
    <n v="39782"/>
    <n v="30030"/>
    <n v="1885"/>
    <n v="316"/>
    <n v="210"/>
    <n v="17"/>
    <n v="638"/>
    <n v="8.0852480852480854E-2"/>
    <x v="0"/>
  </r>
  <r>
    <x v="206"/>
    <x v="206"/>
    <x v="4"/>
    <x v="12"/>
    <x v="5"/>
    <x v="13"/>
    <n v="625399"/>
    <n v="392435"/>
    <n v="325373"/>
    <n v="16084"/>
    <n v="877"/>
    <n v="2191"/>
    <n v="3213"/>
    <n v="10072"/>
    <n v="6.873649626736085E-2"/>
    <x v="0"/>
  </r>
  <r>
    <x v="207"/>
    <x v="207"/>
    <x v="3"/>
    <x v="4"/>
    <x v="0"/>
    <x v="14"/>
    <n v="238547"/>
    <n v="55671"/>
    <n v="45256"/>
    <n v="4001"/>
    <n v="700"/>
    <n v="434"/>
    <n v="30"/>
    <n v="1800"/>
    <n v="0.11412851334629662"/>
    <x v="1"/>
  </r>
  <r>
    <x v="208"/>
    <x v="208"/>
    <x v="3"/>
    <x v="15"/>
    <x v="4"/>
    <x v="14"/>
    <n v="676462"/>
    <n v="399400"/>
    <n v="319911"/>
    <n v="13217"/>
    <n v="995"/>
    <n v="1158"/>
    <n v="39"/>
    <n v="6755"/>
    <n v="4.8166521313740385E-2"/>
    <x v="0"/>
  </r>
  <r>
    <x v="209"/>
    <x v="209"/>
    <x v="0"/>
    <x v="13"/>
    <x v="4"/>
    <x v="10"/>
    <n v="641135"/>
    <n v="301407"/>
    <n v="215217"/>
    <n v="23902"/>
    <n v="3013"/>
    <n v="3154"/>
    <n v="2443"/>
    <n v="7936"/>
    <n v="0.15106613325155541"/>
    <x v="2"/>
  </r>
  <r>
    <x v="210"/>
    <x v="210"/>
    <x v="1"/>
    <x v="17"/>
    <x v="1"/>
    <x v="8"/>
    <n v="695116"/>
    <n v="111051"/>
    <n v="93747"/>
    <n v="8867"/>
    <n v="611"/>
    <n v="659"/>
    <n v="1131"/>
    <n v="672"/>
    <n v="0.12019584626708055"/>
    <x v="1"/>
  </r>
  <r>
    <x v="211"/>
    <x v="211"/>
    <x v="1"/>
    <x v="7"/>
    <x v="4"/>
    <x v="8"/>
    <n v="707005"/>
    <n v="177536"/>
    <n v="157108"/>
    <n v="12887"/>
    <n v="736"/>
    <n v="421"/>
    <n v="974"/>
    <n v="2265"/>
    <n v="9.5590294574432869E-2"/>
    <x v="1"/>
  </r>
  <r>
    <x v="212"/>
    <x v="212"/>
    <x v="0"/>
    <x v="22"/>
    <x v="0"/>
    <x v="7"/>
    <n v="236676"/>
    <n v="60361"/>
    <n v="54029"/>
    <n v="2553"/>
    <n v="300"/>
    <n v="204"/>
    <n v="187"/>
    <n v="399"/>
    <n v="6.0041829387921304E-2"/>
    <x v="1"/>
  </r>
  <r>
    <x v="213"/>
    <x v="213"/>
    <x v="1"/>
    <x v="7"/>
    <x v="2"/>
    <x v="8"/>
    <n v="558075"/>
    <n v="61843"/>
    <n v="45159"/>
    <n v="1980"/>
    <n v="180"/>
    <n v="186"/>
    <n v="458"/>
    <n v="1158"/>
    <n v="6.2091720365818552E-2"/>
    <x v="0"/>
  </r>
  <r>
    <x v="214"/>
    <x v="214"/>
    <x v="2"/>
    <x v="3"/>
    <x v="4"/>
    <x v="5"/>
    <n v="331138"/>
    <n v="27380"/>
    <n v="20427"/>
    <n v="1818"/>
    <n v="211"/>
    <n v="73"/>
    <n v="50"/>
    <n v="764"/>
    <n v="0.10535076124736868"/>
    <x v="0"/>
  </r>
  <r>
    <x v="215"/>
    <x v="215"/>
    <x v="2"/>
    <x v="16"/>
    <x v="3"/>
    <x v="2"/>
    <n v="7395"/>
    <n v="17728"/>
    <n v="16115"/>
    <n v="1303"/>
    <n v="187"/>
    <n v="116"/>
    <n v="1"/>
    <n v="448"/>
    <n v="9.9720757058641016E-2"/>
    <x v="1"/>
  </r>
  <r>
    <x v="216"/>
    <x v="216"/>
    <x v="0"/>
    <x v="23"/>
    <x v="0"/>
    <x v="0"/>
    <n v="404681"/>
    <n v="102985"/>
    <n v="90755"/>
    <n v="3902"/>
    <n v="287"/>
    <n v="447"/>
    <n v="660"/>
    <n v="1558"/>
    <n v="5.8354911575119829E-2"/>
    <x v="2"/>
  </r>
  <r>
    <x v="217"/>
    <x v="217"/>
    <x v="0"/>
    <x v="0"/>
    <x v="0"/>
    <x v="7"/>
    <n v="22553"/>
    <n v="11152"/>
    <n v="8324"/>
    <n v="237"/>
    <n v="25"/>
    <n v="8"/>
    <n v="45"/>
    <n v="320"/>
    <n v="3.7842383469485825E-2"/>
    <x v="0"/>
  </r>
  <r>
    <x v="218"/>
    <x v="218"/>
    <x v="3"/>
    <x v="11"/>
    <x v="1"/>
    <x v="9"/>
    <n v="696625"/>
    <n v="387733"/>
    <n v="330249"/>
    <n v="17450"/>
    <n v="1518"/>
    <n v="1590"/>
    <n v="30"/>
    <n v="10102"/>
    <n v="6.2340839790582254E-2"/>
    <x v="0"/>
  </r>
  <r>
    <x v="219"/>
    <x v="219"/>
    <x v="2"/>
    <x v="19"/>
    <x v="4"/>
    <x v="3"/>
    <n v="655550"/>
    <n v="103697"/>
    <n v="93088"/>
    <n v="5256"/>
    <n v="644"/>
    <n v="298"/>
    <n v="50"/>
    <n v="849"/>
    <n v="6.7119284977655555E-2"/>
    <x v="0"/>
  </r>
  <r>
    <x v="220"/>
    <x v="220"/>
    <x v="1"/>
    <x v="24"/>
    <x v="4"/>
    <x v="8"/>
    <n v="312198"/>
    <n v="122518"/>
    <n v="104312"/>
    <n v="5983"/>
    <n v="389"/>
    <n v="129"/>
    <n v="405"/>
    <n v="1018"/>
    <n v="6.6205230462458783E-2"/>
    <x v="0"/>
  </r>
  <r>
    <x v="221"/>
    <x v="221"/>
    <x v="3"/>
    <x v="11"/>
    <x v="4"/>
    <x v="14"/>
    <n v="108710"/>
    <n v="48622"/>
    <n v="44611"/>
    <n v="1836"/>
    <n v="182"/>
    <n v="60"/>
    <n v="11"/>
    <n v="1518"/>
    <n v="4.682701575844523E-2"/>
    <x v="1"/>
  </r>
  <r>
    <x v="222"/>
    <x v="222"/>
    <x v="4"/>
    <x v="10"/>
    <x v="2"/>
    <x v="12"/>
    <n v="147617"/>
    <n v="26156"/>
    <n v="23456"/>
    <n v="2021"/>
    <n v="141"/>
    <n v="233"/>
    <n v="251"/>
    <n v="399"/>
    <n v="0.11280695770804912"/>
    <x v="0"/>
  </r>
  <r>
    <x v="223"/>
    <x v="223"/>
    <x v="2"/>
    <x v="16"/>
    <x v="3"/>
    <x v="5"/>
    <n v="121048"/>
    <n v="59804"/>
    <n v="43227"/>
    <n v="4465"/>
    <n v="457"/>
    <n v="419"/>
    <n v="28"/>
    <n v="624"/>
    <n v="0.12420477942026974"/>
    <x v="0"/>
  </r>
  <r>
    <x v="224"/>
    <x v="224"/>
    <x v="1"/>
    <x v="1"/>
    <x v="3"/>
    <x v="6"/>
    <n v="433762"/>
    <n v="50360"/>
    <n v="38733"/>
    <n v="3136"/>
    <n v="412"/>
    <n v="375"/>
    <n v="518"/>
    <n v="1105"/>
    <n v="0.11465675263986781"/>
    <x v="2"/>
  </r>
  <r>
    <x v="225"/>
    <x v="225"/>
    <x v="3"/>
    <x v="11"/>
    <x v="3"/>
    <x v="14"/>
    <n v="764449"/>
    <n v="211811"/>
    <n v="178156"/>
    <n v="6125"/>
    <n v="943"/>
    <n v="832"/>
    <n v="39"/>
    <n v="1405"/>
    <n v="4.4562069197781717E-2"/>
    <x v="1"/>
  </r>
  <r>
    <x v="226"/>
    <x v="226"/>
    <x v="2"/>
    <x v="5"/>
    <x v="2"/>
    <x v="2"/>
    <n v="338708"/>
    <n v="214396"/>
    <n v="173987"/>
    <n v="11369"/>
    <n v="986"/>
    <n v="1435"/>
    <n v="5"/>
    <n v="4024"/>
    <n v="7.9287532976601696E-2"/>
    <x v="1"/>
  </r>
  <r>
    <x v="227"/>
    <x v="227"/>
    <x v="2"/>
    <x v="3"/>
    <x v="2"/>
    <x v="2"/>
    <n v="783939"/>
    <n v="108580"/>
    <n v="76861"/>
    <n v="5748"/>
    <n v="884"/>
    <n v="706"/>
    <n v="39"/>
    <n v="2619"/>
    <n v="9.5978454612872591E-2"/>
    <x v="2"/>
  </r>
  <r>
    <x v="228"/>
    <x v="228"/>
    <x v="2"/>
    <x v="3"/>
    <x v="5"/>
    <x v="15"/>
    <n v="236246"/>
    <n v="63603"/>
    <n v="53194"/>
    <n v="3077"/>
    <n v="395"/>
    <n v="347"/>
    <n v="7"/>
    <n v="503"/>
    <n v="7.1925405120878291E-2"/>
    <x v="1"/>
  </r>
  <r>
    <x v="229"/>
    <x v="229"/>
    <x v="0"/>
    <x v="13"/>
    <x v="1"/>
    <x v="7"/>
    <n v="738701"/>
    <n v="436734"/>
    <n v="319208"/>
    <n v="27519"/>
    <n v="3804"/>
    <n v="933"/>
    <n v="4737"/>
    <n v="4640"/>
    <n v="0.11588995263276609"/>
    <x v="2"/>
  </r>
  <r>
    <x v="230"/>
    <x v="230"/>
    <x v="1"/>
    <x v="24"/>
    <x v="2"/>
    <x v="8"/>
    <n v="51259"/>
    <n v="28569"/>
    <n v="20772"/>
    <n v="2099"/>
    <n v="206"/>
    <n v="202"/>
    <n v="316"/>
    <n v="968"/>
    <n v="0.13590410167533218"/>
    <x v="0"/>
  </r>
  <r>
    <x v="231"/>
    <x v="231"/>
    <x v="2"/>
    <x v="2"/>
    <x v="3"/>
    <x v="5"/>
    <n v="727923"/>
    <n v="361327"/>
    <n v="261160"/>
    <n v="21481"/>
    <n v="2597"/>
    <n v="1328"/>
    <n v="24"/>
    <n v="6344"/>
    <n v="9.7373257773012714E-2"/>
    <x v="1"/>
  </r>
  <r>
    <x v="232"/>
    <x v="232"/>
    <x v="0"/>
    <x v="23"/>
    <x v="3"/>
    <x v="0"/>
    <n v="147392"/>
    <n v="70601"/>
    <n v="57377"/>
    <n v="4983"/>
    <n v="558"/>
    <n v="303"/>
    <n v="983"/>
    <n v="1525"/>
    <n v="0.11898495912996497"/>
    <x v="0"/>
  </r>
  <r>
    <x v="233"/>
    <x v="233"/>
    <x v="0"/>
    <x v="0"/>
    <x v="4"/>
    <x v="10"/>
    <n v="188950"/>
    <n v="89894"/>
    <n v="76974"/>
    <n v="5901"/>
    <n v="674"/>
    <n v="565"/>
    <n v="1407"/>
    <n v="2364"/>
    <n v="0.11103749317951517"/>
    <x v="1"/>
  </r>
  <r>
    <x v="234"/>
    <x v="234"/>
    <x v="2"/>
    <x v="19"/>
    <x v="1"/>
    <x v="15"/>
    <n v="28999"/>
    <n v="3197"/>
    <n v="2378"/>
    <n v="207"/>
    <n v="11"/>
    <n v="11"/>
    <n v="16"/>
    <n v="30"/>
    <n v="0.1030277544154752"/>
    <x v="0"/>
  </r>
  <r>
    <x v="235"/>
    <x v="235"/>
    <x v="3"/>
    <x v="11"/>
    <x v="5"/>
    <x v="4"/>
    <n v="109958"/>
    <n v="51135"/>
    <n v="45523"/>
    <n v="3300"/>
    <n v="376"/>
    <n v="167"/>
    <n v="50"/>
    <n v="1478"/>
    <n v="8.5517211080113356E-2"/>
    <x v="1"/>
  </r>
  <r>
    <x v="236"/>
    <x v="236"/>
    <x v="2"/>
    <x v="16"/>
    <x v="3"/>
    <x v="3"/>
    <n v="581444"/>
    <n v="292984"/>
    <n v="245088"/>
    <n v="19587"/>
    <n v="3144"/>
    <n v="2505"/>
    <n v="40"/>
    <n v="7658"/>
    <n v="0.10313030421726074"/>
    <x v="1"/>
  </r>
  <r>
    <x v="237"/>
    <x v="237"/>
    <x v="3"/>
    <x v="4"/>
    <x v="4"/>
    <x v="9"/>
    <n v="310967"/>
    <n v="199195"/>
    <n v="147630"/>
    <n v="6061"/>
    <n v="648"/>
    <n v="418"/>
    <n v="27"/>
    <n v="2663"/>
    <n v="4.8458985301090565E-2"/>
    <x v="0"/>
  </r>
  <r>
    <x v="238"/>
    <x v="238"/>
    <x v="4"/>
    <x v="14"/>
    <x v="3"/>
    <x v="17"/>
    <n v="44380"/>
    <n v="11711"/>
    <n v="10190"/>
    <n v="673"/>
    <n v="105"/>
    <n v="39"/>
    <n v="139"/>
    <n v="251"/>
    <n v="9.3817468105986263E-2"/>
    <x v="0"/>
  </r>
  <r>
    <x v="239"/>
    <x v="239"/>
    <x v="1"/>
    <x v="7"/>
    <x v="2"/>
    <x v="16"/>
    <n v="438635"/>
    <n v="135953"/>
    <n v="101783"/>
    <n v="4459"/>
    <n v="355"/>
    <n v="298"/>
    <n v="417"/>
    <n v="3749"/>
    <n v="5.4321448571961917E-2"/>
    <x v="0"/>
  </r>
  <r>
    <x v="240"/>
    <x v="240"/>
    <x v="0"/>
    <x v="6"/>
    <x v="0"/>
    <x v="10"/>
    <n v="646012"/>
    <n v="141464"/>
    <n v="120267"/>
    <n v="5553"/>
    <n v="929"/>
    <n v="793"/>
    <n v="706"/>
    <n v="3000"/>
    <n v="6.6360680818512138E-2"/>
    <x v="0"/>
  </r>
  <r>
    <x v="241"/>
    <x v="241"/>
    <x v="3"/>
    <x v="9"/>
    <x v="3"/>
    <x v="9"/>
    <n v="313333"/>
    <n v="59449"/>
    <n v="42691"/>
    <n v="1531"/>
    <n v="269"/>
    <n v="184"/>
    <n v="34"/>
    <n v="310"/>
    <n v="4.7269916375816914E-2"/>
    <x v="0"/>
  </r>
  <r>
    <x v="242"/>
    <x v="242"/>
    <x v="2"/>
    <x v="19"/>
    <x v="0"/>
    <x v="2"/>
    <n v="680468"/>
    <n v="82410"/>
    <n v="60474"/>
    <n v="3918"/>
    <n v="312"/>
    <n v="122"/>
    <n v="3"/>
    <n v="852"/>
    <n v="7.2014419419916001E-2"/>
    <x v="0"/>
  </r>
  <r>
    <x v="243"/>
    <x v="243"/>
    <x v="0"/>
    <x v="6"/>
    <x v="3"/>
    <x v="7"/>
    <n v="663330"/>
    <n v="172698"/>
    <n v="146469"/>
    <n v="8995"/>
    <n v="1135"/>
    <n v="902"/>
    <n v="1809"/>
    <n v="3897"/>
    <n v="8.7670428554847787E-2"/>
    <x v="1"/>
  </r>
  <r>
    <x v="244"/>
    <x v="244"/>
    <x v="4"/>
    <x v="14"/>
    <x v="4"/>
    <x v="11"/>
    <n v="638530"/>
    <n v="329613"/>
    <n v="258387"/>
    <n v="22851"/>
    <n v="791"/>
    <n v="921"/>
    <n v="2147"/>
    <n v="9032"/>
    <n v="0.10337207367243709"/>
    <x v="1"/>
  </r>
  <r>
    <x v="245"/>
    <x v="245"/>
    <x v="1"/>
    <x v="24"/>
    <x v="4"/>
    <x v="1"/>
    <n v="14191"/>
    <n v="5625"/>
    <n v="3989"/>
    <n v="305"/>
    <n v="27"/>
    <n v="27"/>
    <n v="20"/>
    <n v="63"/>
    <n v="9.5011281022812741E-2"/>
    <x v="1"/>
  </r>
  <r>
    <x v="246"/>
    <x v="246"/>
    <x v="3"/>
    <x v="4"/>
    <x v="0"/>
    <x v="9"/>
    <n v="234012"/>
    <n v="52433"/>
    <n v="38795"/>
    <n v="3564"/>
    <n v="562"/>
    <n v="465"/>
    <n v="35"/>
    <n v="987"/>
    <n v="0.11924217038278129"/>
    <x v="0"/>
  </r>
  <r>
    <x v="247"/>
    <x v="247"/>
    <x v="4"/>
    <x v="12"/>
    <x v="4"/>
    <x v="13"/>
    <n v="349422"/>
    <n v="161656"/>
    <n v="116717"/>
    <n v="9242"/>
    <n v="1525"/>
    <n v="566"/>
    <n v="1295"/>
    <n v="3797"/>
    <n v="0.10819332230951789"/>
    <x v="0"/>
  </r>
  <r>
    <x v="248"/>
    <x v="248"/>
    <x v="0"/>
    <x v="23"/>
    <x v="3"/>
    <x v="0"/>
    <n v="7566"/>
    <n v="3993"/>
    <n v="3444"/>
    <n v="184"/>
    <n v="28"/>
    <n v="6"/>
    <n v="36"/>
    <n v="125"/>
    <n v="7.3751451800232293E-2"/>
    <x v="0"/>
  </r>
  <r>
    <x v="249"/>
    <x v="249"/>
    <x v="4"/>
    <x v="12"/>
    <x v="4"/>
    <x v="12"/>
    <n v="296747"/>
    <n v="47420"/>
    <n v="35243"/>
    <n v="3035"/>
    <n v="376"/>
    <n v="347"/>
    <n v="693"/>
    <n v="1445"/>
    <n v="0.12629458332151067"/>
    <x v="1"/>
  </r>
  <r>
    <x v="250"/>
    <x v="250"/>
    <x v="3"/>
    <x v="4"/>
    <x v="2"/>
    <x v="14"/>
    <n v="275776"/>
    <n v="179054"/>
    <n v="151096"/>
    <n v="5177"/>
    <n v="460"/>
    <n v="703"/>
    <n v="37"/>
    <n v="4833"/>
    <n v="4.2204955789696616E-2"/>
    <x v="0"/>
  </r>
  <r>
    <x v="251"/>
    <x v="251"/>
    <x v="2"/>
    <x v="3"/>
    <x v="1"/>
    <x v="15"/>
    <n v="697368"/>
    <n v="438979"/>
    <n v="373358"/>
    <n v="28723"/>
    <n v="1466"/>
    <n v="1168"/>
    <n v="36"/>
    <n v="14688"/>
    <n v="8.4082837383958553E-2"/>
    <x v="1"/>
  </r>
  <r>
    <x v="252"/>
    <x v="252"/>
    <x v="0"/>
    <x v="22"/>
    <x v="0"/>
    <x v="7"/>
    <n v="245507"/>
    <n v="71338"/>
    <n v="60429"/>
    <n v="3643"/>
    <n v="541"/>
    <n v="256"/>
    <n v="850"/>
    <n v="2243"/>
    <n v="8.7540750302007309E-2"/>
    <x v="0"/>
  </r>
  <r>
    <x v="253"/>
    <x v="253"/>
    <x v="3"/>
    <x v="15"/>
    <x v="4"/>
    <x v="4"/>
    <n v="609239"/>
    <n v="109111"/>
    <n v="85463"/>
    <n v="6029"/>
    <n v="993"/>
    <n v="181"/>
    <n v="16"/>
    <n v="1777"/>
    <n v="8.4469302505177674E-2"/>
    <x v="2"/>
  </r>
  <r>
    <x v="254"/>
    <x v="254"/>
    <x v="0"/>
    <x v="6"/>
    <x v="3"/>
    <x v="10"/>
    <n v="9418"/>
    <n v="1499"/>
    <n v="1125"/>
    <n v="76"/>
    <n v="5"/>
    <n v="3"/>
    <n v="6"/>
    <n v="34"/>
    <n v="0.08"/>
    <x v="1"/>
  </r>
  <r>
    <x v="255"/>
    <x v="255"/>
    <x v="0"/>
    <x v="22"/>
    <x v="3"/>
    <x v="10"/>
    <n v="504573"/>
    <n v="210281"/>
    <n v="185749"/>
    <n v="4488"/>
    <n v="163"/>
    <n v="424"/>
    <n v="369"/>
    <n v="5022"/>
    <n v="2.9308367743567935E-2"/>
    <x v="0"/>
  </r>
  <r>
    <x v="256"/>
    <x v="256"/>
    <x v="0"/>
    <x v="0"/>
    <x v="1"/>
    <x v="7"/>
    <n v="630971"/>
    <n v="279800"/>
    <n v="240671"/>
    <n v="19384"/>
    <n v="3335"/>
    <n v="933"/>
    <n v="3320"/>
    <n v="5356"/>
    <n v="0.11207000427970133"/>
    <x v="0"/>
  </r>
  <r>
    <x v="257"/>
    <x v="257"/>
    <x v="3"/>
    <x v="4"/>
    <x v="1"/>
    <x v="14"/>
    <n v="538117"/>
    <n v="265176"/>
    <n v="239432"/>
    <n v="14794"/>
    <n v="596"/>
    <n v="1023"/>
    <n v="8"/>
    <n v="2189"/>
    <n v="6.8583146780714352E-2"/>
    <x v="0"/>
  </r>
  <r>
    <x v="258"/>
    <x v="258"/>
    <x v="1"/>
    <x v="7"/>
    <x v="2"/>
    <x v="16"/>
    <n v="501485"/>
    <n v="211573"/>
    <n v="172837"/>
    <n v="13782"/>
    <n v="606"/>
    <n v="1457"/>
    <n v="3175"/>
    <n v="4480"/>
    <n v="0.11004588137956572"/>
    <x v="0"/>
  </r>
  <r>
    <x v="259"/>
    <x v="259"/>
    <x v="3"/>
    <x v="9"/>
    <x v="5"/>
    <x v="9"/>
    <n v="734031"/>
    <n v="154738"/>
    <n v="124729"/>
    <n v="10231"/>
    <n v="844"/>
    <n v="1274"/>
    <n v="48"/>
    <n v="4660"/>
    <n v="9.9391480730223122E-2"/>
    <x v="0"/>
  </r>
  <r>
    <x v="260"/>
    <x v="260"/>
    <x v="1"/>
    <x v="17"/>
    <x v="5"/>
    <x v="8"/>
    <n v="272828"/>
    <n v="132107"/>
    <n v="92681"/>
    <n v="6784"/>
    <n v="732"/>
    <n v="466"/>
    <n v="617"/>
    <n v="3848"/>
    <n v="9.2780613070640158E-2"/>
    <x v="0"/>
  </r>
  <r>
    <x v="261"/>
    <x v="261"/>
    <x v="3"/>
    <x v="15"/>
    <x v="5"/>
    <x v="14"/>
    <n v="446636"/>
    <n v="191505"/>
    <n v="150798"/>
    <n v="6170"/>
    <n v="696"/>
    <n v="570"/>
    <n v="11"/>
    <n v="3084"/>
    <n v="4.9383944084139049E-2"/>
    <x v="0"/>
  </r>
  <r>
    <x v="262"/>
    <x v="262"/>
    <x v="2"/>
    <x v="5"/>
    <x v="4"/>
    <x v="15"/>
    <n v="786640"/>
    <n v="414065"/>
    <n v="298980"/>
    <n v="20910"/>
    <n v="3092"/>
    <n v="2595"/>
    <n v="39"/>
    <n v="10729"/>
    <n v="8.9089571208776502E-2"/>
    <x v="1"/>
  </r>
  <r>
    <x v="263"/>
    <x v="263"/>
    <x v="4"/>
    <x v="12"/>
    <x v="3"/>
    <x v="13"/>
    <n v="94922"/>
    <n v="19592"/>
    <n v="16339"/>
    <n v="1243"/>
    <n v="210"/>
    <n v="89"/>
    <n v="225"/>
    <n v="266"/>
    <n v="0.10814615337535957"/>
    <x v="2"/>
  </r>
  <r>
    <x v="264"/>
    <x v="264"/>
    <x v="2"/>
    <x v="19"/>
    <x v="0"/>
    <x v="3"/>
    <n v="206706"/>
    <n v="867713"/>
    <n v="740730"/>
    <n v="49382"/>
    <n v="6474"/>
    <n v="3297"/>
    <n v="41"/>
    <n v="4346"/>
    <n v="7.9913058739351714E-2"/>
    <x v="0"/>
  </r>
  <r>
    <x v="265"/>
    <x v="265"/>
    <x v="2"/>
    <x v="16"/>
    <x v="1"/>
    <x v="5"/>
    <n v="545392"/>
    <n v="2544961"/>
    <n v="2089184"/>
    <n v="161778"/>
    <n v="18421"/>
    <n v="15495"/>
    <n v="22"/>
    <n v="86270"/>
    <n v="9.3680594911697584E-2"/>
    <x v="0"/>
  </r>
  <r>
    <x v="266"/>
    <x v="266"/>
    <x v="2"/>
    <x v="2"/>
    <x v="2"/>
    <x v="3"/>
    <n v="186037"/>
    <n v="26172"/>
    <n v="21217"/>
    <n v="1057"/>
    <n v="50"/>
    <n v="91"/>
    <n v="16"/>
    <n v="818"/>
    <n v="5.7218268369703541E-2"/>
    <x v="1"/>
  </r>
  <r>
    <x v="267"/>
    <x v="267"/>
    <x v="2"/>
    <x v="2"/>
    <x v="3"/>
    <x v="5"/>
    <n v="796768"/>
    <n v="415985"/>
    <n v="333353"/>
    <n v="22966"/>
    <n v="783"/>
    <n v="806"/>
    <n v="4"/>
    <n v="6855"/>
    <n v="7.3672653313454503E-2"/>
    <x v="1"/>
  </r>
  <r>
    <x v="268"/>
    <x v="268"/>
    <x v="0"/>
    <x v="6"/>
    <x v="5"/>
    <x v="10"/>
    <n v="564171"/>
    <n v="2958962"/>
    <n v="2258290"/>
    <n v="130004"/>
    <n v="18501"/>
    <n v="8379"/>
    <n v="20918"/>
    <n v="30638"/>
    <n v="7.8733023659494569E-2"/>
    <x v="0"/>
  </r>
  <r>
    <x v="269"/>
    <x v="269"/>
    <x v="1"/>
    <x v="1"/>
    <x v="4"/>
    <x v="16"/>
    <n v="248769"/>
    <n v="143654"/>
    <n v="107801"/>
    <n v="10069"/>
    <n v="1565"/>
    <n v="667"/>
    <n v="2072"/>
    <n v="1234"/>
    <n v="0.1333290043691617"/>
    <x v="0"/>
  </r>
  <r>
    <x v="270"/>
    <x v="270"/>
    <x v="3"/>
    <x v="11"/>
    <x v="3"/>
    <x v="4"/>
    <n v="653317"/>
    <n v="386717"/>
    <n v="344614"/>
    <n v="19122"/>
    <n v="3397"/>
    <n v="2659"/>
    <n v="17"/>
    <n v="6549"/>
    <n v="7.3110784820117583E-2"/>
    <x v="1"/>
  </r>
  <r>
    <x v="271"/>
    <x v="271"/>
    <x v="2"/>
    <x v="16"/>
    <x v="1"/>
    <x v="15"/>
    <n v="529383"/>
    <n v="301974"/>
    <n v="222994"/>
    <n v="23732"/>
    <n v="3197"/>
    <n v="1894"/>
    <n v="44"/>
    <n v="1586"/>
    <n v="0.12945191350439922"/>
    <x v="1"/>
  </r>
  <r>
    <x v="272"/>
    <x v="272"/>
    <x v="0"/>
    <x v="13"/>
    <x v="5"/>
    <x v="0"/>
    <n v="577710"/>
    <n v="134931"/>
    <n v="104636"/>
    <n v="4187"/>
    <n v="391"/>
    <n v="311"/>
    <n v="839"/>
    <n v="2152"/>
    <n v="5.474215375205474E-2"/>
    <x v="0"/>
  </r>
  <r>
    <x v="273"/>
    <x v="273"/>
    <x v="3"/>
    <x v="4"/>
    <x v="2"/>
    <x v="14"/>
    <n v="285562"/>
    <n v="113237"/>
    <n v="84150"/>
    <n v="7700"/>
    <n v="1084"/>
    <n v="627"/>
    <n v="0"/>
    <n v="1166"/>
    <n v="0.11183600713012477"/>
    <x v="0"/>
  </r>
  <r>
    <x v="274"/>
    <x v="274"/>
    <x v="0"/>
    <x v="6"/>
    <x v="5"/>
    <x v="7"/>
    <n v="591944"/>
    <n v="63453"/>
    <n v="54056"/>
    <n v="1497"/>
    <n v="227"/>
    <n v="122"/>
    <n v="263"/>
    <n v="1173"/>
    <n v="3.9015095456563564E-2"/>
    <x v="0"/>
  </r>
  <r>
    <x v="275"/>
    <x v="275"/>
    <x v="0"/>
    <x v="23"/>
    <x v="2"/>
    <x v="7"/>
    <n v="129626"/>
    <n v="60582"/>
    <n v="45059"/>
    <n v="3304"/>
    <n v="420"/>
    <n v="141"/>
    <n v="680"/>
    <n v="948"/>
    <n v="0.10086775117068732"/>
    <x v="1"/>
  </r>
  <r>
    <x v="276"/>
    <x v="276"/>
    <x v="4"/>
    <x v="20"/>
    <x v="1"/>
    <x v="11"/>
    <n v="488779"/>
    <n v="79457"/>
    <n v="66817"/>
    <n v="6016"/>
    <n v="561"/>
    <n v="599"/>
    <n v="787"/>
    <n v="2559"/>
    <n v="0.119176257539249"/>
    <x v="0"/>
  </r>
  <r>
    <x v="277"/>
    <x v="277"/>
    <x v="0"/>
    <x v="23"/>
    <x v="1"/>
    <x v="10"/>
    <n v="417164"/>
    <n v="139162"/>
    <n v="120310"/>
    <n v="7132"/>
    <n v="695"/>
    <n v="297"/>
    <n v="1575"/>
    <n v="1217"/>
    <n v="8.0616740088105723E-2"/>
    <x v="0"/>
  </r>
  <r>
    <x v="278"/>
    <x v="278"/>
    <x v="4"/>
    <x v="12"/>
    <x v="0"/>
    <x v="13"/>
    <n v="110513"/>
    <n v="67851"/>
    <n v="55682"/>
    <n v="1464"/>
    <n v="131"/>
    <n v="174"/>
    <n v="97"/>
    <n v="873"/>
    <n v="3.3511727308645524E-2"/>
    <x v="0"/>
  </r>
  <r>
    <x v="279"/>
    <x v="279"/>
    <x v="1"/>
    <x v="24"/>
    <x v="3"/>
    <x v="16"/>
    <n v="140154"/>
    <n v="24841"/>
    <n v="21015"/>
    <n v="1779"/>
    <n v="140"/>
    <n v="145"/>
    <n v="435"/>
    <n v="527"/>
    <n v="0.11891506067094933"/>
    <x v="0"/>
  </r>
  <r>
    <x v="280"/>
    <x v="280"/>
    <x v="1"/>
    <x v="7"/>
    <x v="1"/>
    <x v="8"/>
    <n v="664201"/>
    <n v="385274"/>
    <n v="314060"/>
    <n v="22489"/>
    <n v="1719"/>
    <n v="1464"/>
    <n v="3551"/>
    <n v="11227"/>
    <n v="9.3049098898299681E-2"/>
    <x v="0"/>
  </r>
  <r>
    <x v="281"/>
    <x v="281"/>
    <x v="0"/>
    <x v="22"/>
    <x v="2"/>
    <x v="10"/>
    <n v="797628"/>
    <n v="220156"/>
    <n v="180026"/>
    <n v="13488"/>
    <n v="1399"/>
    <n v="1594"/>
    <n v="1482"/>
    <n v="6159"/>
    <n v="9.9780031773188324E-2"/>
    <x v="1"/>
  </r>
  <r>
    <x v="282"/>
    <x v="282"/>
    <x v="3"/>
    <x v="15"/>
    <x v="0"/>
    <x v="4"/>
    <n v="590283"/>
    <n v="131303"/>
    <n v="113204"/>
    <n v="5696"/>
    <n v="494"/>
    <n v="308"/>
    <n v="27"/>
    <n v="3119"/>
    <n v="5.763930603158899E-2"/>
    <x v="0"/>
  </r>
  <r>
    <x v="283"/>
    <x v="283"/>
    <x v="0"/>
    <x v="23"/>
    <x v="4"/>
    <x v="10"/>
    <n v="560283"/>
    <n v="176688"/>
    <n v="130772"/>
    <n v="6603"/>
    <n v="828"/>
    <n v="662"/>
    <n v="689"/>
    <n v="4184"/>
    <n v="6.7155048481326279E-2"/>
    <x v="0"/>
  </r>
  <r>
    <x v="284"/>
    <x v="284"/>
    <x v="4"/>
    <x v="12"/>
    <x v="2"/>
    <x v="11"/>
    <n v="284771"/>
    <n v="93945"/>
    <n v="70573"/>
    <n v="2728"/>
    <n v="283"/>
    <n v="175"/>
    <n v="306"/>
    <n v="2722"/>
    <n v="4.9480679580009353E-2"/>
    <x v="2"/>
  </r>
  <r>
    <x v="285"/>
    <x v="285"/>
    <x v="0"/>
    <x v="22"/>
    <x v="0"/>
    <x v="0"/>
    <n v="281949"/>
    <n v="34028"/>
    <n v="25179"/>
    <n v="2509"/>
    <n v="169"/>
    <n v="174"/>
    <n v="131"/>
    <n v="1165"/>
    <n v="0.11847174232495333"/>
    <x v="1"/>
  </r>
  <r>
    <x v="286"/>
    <x v="286"/>
    <x v="4"/>
    <x v="12"/>
    <x v="3"/>
    <x v="12"/>
    <n v="548953"/>
    <n v="109140"/>
    <n v="92759"/>
    <n v="4226"/>
    <n v="331"/>
    <n v="430"/>
    <n v="246"/>
    <n v="3615"/>
    <n v="5.6415010942334434E-2"/>
    <x v="0"/>
  </r>
  <r>
    <x v="287"/>
    <x v="287"/>
    <x v="1"/>
    <x v="24"/>
    <x v="2"/>
    <x v="16"/>
    <n v="120914"/>
    <n v="39595"/>
    <n v="29174"/>
    <n v="1447"/>
    <n v="69"/>
    <n v="177"/>
    <n v="74"/>
    <n v="247"/>
    <n v="6.0567628710495647E-2"/>
    <x v="1"/>
  </r>
  <r>
    <x v="288"/>
    <x v="288"/>
    <x v="0"/>
    <x v="22"/>
    <x v="0"/>
    <x v="0"/>
    <n v="526703"/>
    <n v="227866"/>
    <n v="190844"/>
    <n v="5374"/>
    <n v="680"/>
    <n v="597"/>
    <n v="1119"/>
    <n v="1999"/>
    <n v="4.0713881494833473E-2"/>
    <x v="0"/>
  </r>
  <r>
    <x v="289"/>
    <x v="289"/>
    <x v="2"/>
    <x v="5"/>
    <x v="2"/>
    <x v="2"/>
    <n v="378065"/>
    <n v="84269"/>
    <n v="67985"/>
    <n v="3897"/>
    <n v="289"/>
    <n v="431"/>
    <n v="12"/>
    <n v="1854"/>
    <n v="6.8088548944620131E-2"/>
    <x v="0"/>
  </r>
  <r>
    <x v="290"/>
    <x v="290"/>
    <x v="3"/>
    <x v="18"/>
    <x v="0"/>
    <x v="9"/>
    <n v="559437"/>
    <n v="139038"/>
    <n v="113893"/>
    <n v="6568"/>
    <n v="961"/>
    <n v="563"/>
    <n v="46"/>
    <n v="1469"/>
    <n v="7.1453030475973067E-2"/>
    <x v="0"/>
  </r>
  <r>
    <x v="291"/>
    <x v="291"/>
    <x v="1"/>
    <x v="24"/>
    <x v="4"/>
    <x v="6"/>
    <n v="692766"/>
    <n v="378844"/>
    <n v="308869"/>
    <n v="18886"/>
    <n v="2128"/>
    <n v="1882"/>
    <n v="2162"/>
    <n v="9178"/>
    <n v="8.1128245307881333E-2"/>
    <x v="0"/>
  </r>
  <r>
    <x v="292"/>
    <x v="292"/>
    <x v="1"/>
    <x v="8"/>
    <x v="2"/>
    <x v="16"/>
    <n v="114755"/>
    <n v="15639"/>
    <n v="13155"/>
    <n v="677"/>
    <n v="70"/>
    <n v="68"/>
    <n v="113"/>
    <n v="101"/>
    <n v="7.0543519574306351E-2"/>
    <x v="0"/>
  </r>
  <r>
    <x v="293"/>
    <x v="293"/>
    <x v="1"/>
    <x v="1"/>
    <x v="2"/>
    <x v="8"/>
    <n v="842430"/>
    <n v="240705"/>
    <n v="218178"/>
    <n v="10821"/>
    <n v="923"/>
    <n v="1212"/>
    <n v="2323"/>
    <n v="3123"/>
    <n v="7.0029975524571686E-2"/>
    <x v="0"/>
  </r>
  <r>
    <x v="294"/>
    <x v="294"/>
    <x v="3"/>
    <x v="11"/>
    <x v="2"/>
    <x v="14"/>
    <n v="244739"/>
    <n v="46009"/>
    <n v="38855"/>
    <n v="2493"/>
    <n v="429"/>
    <n v="230"/>
    <n v="35"/>
    <n v="803"/>
    <n v="8.2022905674945315E-2"/>
    <x v="0"/>
  </r>
  <r>
    <x v="295"/>
    <x v="295"/>
    <x v="2"/>
    <x v="16"/>
    <x v="2"/>
    <x v="5"/>
    <n v="833456"/>
    <n v="257444"/>
    <n v="217451"/>
    <n v="13395"/>
    <n v="1607"/>
    <n v="1893"/>
    <n v="20"/>
    <n v="5535"/>
    <n v="7.7787639514189405E-2"/>
    <x v="2"/>
  </r>
  <r>
    <x v="296"/>
    <x v="296"/>
    <x v="2"/>
    <x v="3"/>
    <x v="1"/>
    <x v="5"/>
    <n v="593000"/>
    <n v="174215"/>
    <n v="157447"/>
    <n v="6140"/>
    <n v="1069"/>
    <n v="479"/>
    <n v="25"/>
    <n v="872"/>
    <n v="4.8987913393078307E-2"/>
    <x v="0"/>
  </r>
  <r>
    <x v="297"/>
    <x v="297"/>
    <x v="1"/>
    <x v="24"/>
    <x v="2"/>
    <x v="1"/>
    <n v="235165"/>
    <n v="61024"/>
    <n v="53751"/>
    <n v="3745"/>
    <n v="267"/>
    <n v="344"/>
    <n v="603"/>
    <n v="2000"/>
    <n v="9.2258748674443267E-2"/>
    <x v="0"/>
  </r>
  <r>
    <x v="298"/>
    <x v="298"/>
    <x v="1"/>
    <x v="24"/>
    <x v="5"/>
    <x v="16"/>
    <n v="246812"/>
    <n v="61992"/>
    <n v="48846"/>
    <n v="4653"/>
    <n v="652"/>
    <n v="530"/>
    <n v="970"/>
    <n v="631"/>
    <n v="0.13931539941858084"/>
    <x v="1"/>
  </r>
  <r>
    <x v="299"/>
    <x v="299"/>
    <x v="4"/>
    <x v="21"/>
    <x v="4"/>
    <x v="11"/>
    <n v="41686"/>
    <n v="17027"/>
    <n v="14841"/>
    <n v="1282"/>
    <n v="102"/>
    <n v="172"/>
    <n v="175"/>
    <n v="560"/>
    <n v="0.11663634525975339"/>
    <x v="0"/>
  </r>
  <r>
    <x v="300"/>
    <x v="300"/>
    <x v="3"/>
    <x v="11"/>
    <x v="4"/>
    <x v="14"/>
    <n v="403566"/>
    <n v="152910"/>
    <n v="125200"/>
    <n v="4430"/>
    <n v="466"/>
    <n v="215"/>
    <n v="3"/>
    <n v="3854"/>
    <n v="4.0846645367412143E-2"/>
    <x v="2"/>
  </r>
  <r>
    <x v="301"/>
    <x v="301"/>
    <x v="4"/>
    <x v="12"/>
    <x v="3"/>
    <x v="11"/>
    <n v="827066"/>
    <n v="128482"/>
    <n v="103387"/>
    <n v="8315"/>
    <n v="933"/>
    <n v="450"/>
    <n v="1078"/>
    <n v="2317"/>
    <n v="0.10422973874858542"/>
    <x v="1"/>
  </r>
  <r>
    <x v="302"/>
    <x v="302"/>
    <x v="1"/>
    <x v="1"/>
    <x v="3"/>
    <x v="16"/>
    <n v="590926"/>
    <n v="295067"/>
    <n v="222276"/>
    <n v="10615"/>
    <n v="1003"/>
    <n v="1157"/>
    <n v="1753"/>
    <n v="2471"/>
    <n v="6.5360182835753747E-2"/>
    <x v="0"/>
  </r>
  <r>
    <x v="303"/>
    <x v="303"/>
    <x v="0"/>
    <x v="13"/>
    <x v="4"/>
    <x v="0"/>
    <n v="809569"/>
    <n v="520521"/>
    <n v="458448"/>
    <n v="35482"/>
    <n v="4381"/>
    <n v="2741"/>
    <n v="8332"/>
    <n v="6248"/>
    <n v="0.11110529438453216"/>
    <x v="1"/>
  </r>
  <r>
    <x v="304"/>
    <x v="304"/>
    <x v="4"/>
    <x v="10"/>
    <x v="0"/>
    <x v="17"/>
    <n v="304159"/>
    <n v="1405846"/>
    <n v="1078460"/>
    <n v="67862"/>
    <n v="5414"/>
    <n v="7885"/>
    <n v="6268"/>
    <n v="30074"/>
    <n v="8.1068375275856308E-2"/>
    <x v="1"/>
  </r>
  <r>
    <x v="305"/>
    <x v="305"/>
    <x v="1"/>
    <x v="17"/>
    <x v="3"/>
    <x v="6"/>
    <n v="270365"/>
    <n v="65397"/>
    <n v="55799"/>
    <n v="2372"/>
    <n v="236"/>
    <n v="338"/>
    <n v="150"/>
    <n v="1622"/>
    <n v="5.5484865320167026E-2"/>
    <x v="1"/>
  </r>
  <r>
    <x v="306"/>
    <x v="306"/>
    <x v="4"/>
    <x v="14"/>
    <x v="4"/>
    <x v="13"/>
    <n v="244897"/>
    <n v="90579"/>
    <n v="65390"/>
    <n v="3526"/>
    <n v="564"/>
    <n v="314"/>
    <n v="307"/>
    <n v="1813"/>
    <n v="7.2044655146046799E-2"/>
    <x v="0"/>
  </r>
  <r>
    <x v="307"/>
    <x v="307"/>
    <x v="3"/>
    <x v="15"/>
    <x v="5"/>
    <x v="4"/>
    <n v="415009"/>
    <n v="37546"/>
    <n v="29189"/>
    <n v="2159"/>
    <n v="141"/>
    <n v="317"/>
    <n v="32"/>
    <n v="498"/>
    <n v="9.0753365994038854E-2"/>
    <x v="0"/>
  </r>
  <r>
    <x v="308"/>
    <x v="308"/>
    <x v="4"/>
    <x v="21"/>
    <x v="5"/>
    <x v="17"/>
    <n v="161577"/>
    <n v="49106"/>
    <n v="35322"/>
    <n v="2108"/>
    <n v="366"/>
    <n v="209"/>
    <n v="369"/>
    <n v="580"/>
    <n v="8.6405073325406256E-2"/>
    <x v="0"/>
  </r>
  <r>
    <x v="309"/>
    <x v="309"/>
    <x v="3"/>
    <x v="15"/>
    <x v="3"/>
    <x v="14"/>
    <n v="140673"/>
    <n v="22365"/>
    <n v="19021"/>
    <n v="718"/>
    <n v="36"/>
    <n v="78"/>
    <n v="33"/>
    <n v="722"/>
    <n v="4.5476052783765313E-2"/>
    <x v="0"/>
  </r>
  <r>
    <x v="310"/>
    <x v="310"/>
    <x v="3"/>
    <x v="4"/>
    <x v="5"/>
    <x v="9"/>
    <n v="586913"/>
    <n v="287634"/>
    <n v="221441"/>
    <n v="20933"/>
    <n v="2910"/>
    <n v="2501"/>
    <n v="26"/>
    <n v="9732"/>
    <n v="0.11908363853125663"/>
    <x v="0"/>
  </r>
  <r>
    <x v="311"/>
    <x v="311"/>
    <x v="0"/>
    <x v="0"/>
    <x v="0"/>
    <x v="0"/>
    <n v="140435"/>
    <n v="72267"/>
    <n v="60395"/>
    <n v="4071"/>
    <n v="496"/>
    <n v="397"/>
    <n v="391"/>
    <n v="417"/>
    <n v="8.8666280321218649E-2"/>
    <x v="0"/>
  </r>
  <r>
    <x v="312"/>
    <x v="312"/>
    <x v="3"/>
    <x v="9"/>
    <x v="4"/>
    <x v="14"/>
    <n v="394624"/>
    <n v="118723"/>
    <n v="86697"/>
    <n v="3751"/>
    <n v="130"/>
    <n v="447"/>
    <n v="0"/>
    <n v="3889"/>
    <n v="4.9920989192244254E-2"/>
    <x v="2"/>
  </r>
  <r>
    <x v="313"/>
    <x v="313"/>
    <x v="1"/>
    <x v="17"/>
    <x v="0"/>
    <x v="8"/>
    <n v="649533"/>
    <n v="172249"/>
    <n v="154209"/>
    <n v="7863"/>
    <n v="1151"/>
    <n v="778"/>
    <n v="1689"/>
    <n v="4582"/>
    <n v="7.4450907534579697E-2"/>
    <x v="0"/>
  </r>
  <r>
    <x v="314"/>
    <x v="314"/>
    <x v="3"/>
    <x v="11"/>
    <x v="1"/>
    <x v="9"/>
    <n v="476046"/>
    <n v="276262"/>
    <n v="224908"/>
    <n v="12082"/>
    <n v="1694"/>
    <n v="1117"/>
    <n v="33"/>
    <n v="7722"/>
    <n v="6.6364913653582797E-2"/>
    <x v="2"/>
  </r>
  <r>
    <x v="315"/>
    <x v="315"/>
    <x v="0"/>
    <x v="23"/>
    <x v="3"/>
    <x v="0"/>
    <n v="445483"/>
    <n v="269004"/>
    <n v="218897"/>
    <n v="7675"/>
    <n v="1185"/>
    <n v="604"/>
    <n v="1493"/>
    <n v="2258"/>
    <n v="5.0055505557408279E-2"/>
    <x v="1"/>
  </r>
  <r>
    <x v="316"/>
    <x v="316"/>
    <x v="2"/>
    <x v="16"/>
    <x v="5"/>
    <x v="2"/>
    <n v="28622"/>
    <n v="11920"/>
    <n v="10693"/>
    <n v="869"/>
    <n v="37"/>
    <n v="53"/>
    <n v="41"/>
    <n v="384"/>
    <n v="9.3519124660993172E-2"/>
    <x v="1"/>
  </r>
  <r>
    <x v="317"/>
    <x v="317"/>
    <x v="4"/>
    <x v="20"/>
    <x v="4"/>
    <x v="11"/>
    <n v="91950"/>
    <n v="27486"/>
    <n v="25137"/>
    <n v="1559"/>
    <n v="84"/>
    <n v="142"/>
    <n v="91"/>
    <n v="278"/>
    <n v="7.4631021999443048E-2"/>
    <x v="0"/>
  </r>
  <r>
    <x v="318"/>
    <x v="318"/>
    <x v="1"/>
    <x v="8"/>
    <x v="0"/>
    <x v="6"/>
    <n v="442463"/>
    <n v="219546"/>
    <n v="167630"/>
    <n v="6771"/>
    <n v="1115"/>
    <n v="980"/>
    <n v="343"/>
    <n v="6138"/>
    <n v="5.4936467219471458E-2"/>
    <x v="0"/>
  </r>
  <r>
    <x v="319"/>
    <x v="319"/>
    <x v="4"/>
    <x v="21"/>
    <x v="3"/>
    <x v="17"/>
    <n v="229908"/>
    <n v="80733"/>
    <n v="64361"/>
    <n v="4526"/>
    <n v="140"/>
    <n v="609"/>
    <n v="478"/>
    <n v="1926"/>
    <n v="8.9386429670141862E-2"/>
    <x v="1"/>
  </r>
  <r>
    <x v="320"/>
    <x v="320"/>
    <x v="4"/>
    <x v="14"/>
    <x v="2"/>
    <x v="17"/>
    <n v="36507"/>
    <n v="20358"/>
    <n v="15733"/>
    <n v="514"/>
    <n v="23"/>
    <n v="76"/>
    <n v="42"/>
    <n v="275"/>
    <n v="4.163223797114346E-2"/>
    <x v="1"/>
  </r>
  <r>
    <x v="321"/>
    <x v="321"/>
    <x v="3"/>
    <x v="4"/>
    <x v="3"/>
    <x v="14"/>
    <n v="609590"/>
    <n v="61220"/>
    <n v="46885"/>
    <n v="2578"/>
    <n v="223"/>
    <n v="74"/>
    <n v="27"/>
    <n v="1854"/>
    <n v="6.1896128825850487E-2"/>
    <x v="0"/>
  </r>
  <r>
    <x v="322"/>
    <x v="322"/>
    <x v="0"/>
    <x v="23"/>
    <x v="1"/>
    <x v="7"/>
    <n v="552631"/>
    <n v="110061"/>
    <n v="79689"/>
    <n v="7020"/>
    <n v="872"/>
    <n v="1041"/>
    <n v="1030"/>
    <n v="2824"/>
    <n v="0.12502352896886648"/>
    <x v="2"/>
  </r>
  <r>
    <x v="323"/>
    <x v="323"/>
    <x v="0"/>
    <x v="23"/>
    <x v="1"/>
    <x v="10"/>
    <n v="656018"/>
    <n v="100985"/>
    <n v="81717"/>
    <n v="6437"/>
    <n v="673"/>
    <n v="804"/>
    <n v="1459"/>
    <n v="1209"/>
    <n v="0.11470073546508071"/>
    <x v="0"/>
  </r>
  <r>
    <x v="324"/>
    <x v="324"/>
    <x v="2"/>
    <x v="19"/>
    <x v="4"/>
    <x v="5"/>
    <n v="840903"/>
    <n v="266011"/>
    <n v="205742"/>
    <n v="14264"/>
    <n v="1791"/>
    <n v="306"/>
    <n v="12"/>
    <n v="6836"/>
    <n v="7.958025099396332E-2"/>
    <x v="0"/>
  </r>
  <r>
    <x v="325"/>
    <x v="325"/>
    <x v="3"/>
    <x v="15"/>
    <x v="2"/>
    <x v="9"/>
    <n v="721650"/>
    <n v="220643"/>
    <n v="184351"/>
    <n v="4798"/>
    <n v="270"/>
    <n v="302"/>
    <n v="21"/>
    <n v="7208"/>
    <n v="2.9243128597078401E-2"/>
    <x v="0"/>
  </r>
  <r>
    <x v="326"/>
    <x v="326"/>
    <x v="2"/>
    <x v="5"/>
    <x v="4"/>
    <x v="2"/>
    <n v="565551"/>
    <n v="194327"/>
    <n v="153726"/>
    <n v="12544"/>
    <n v="1947"/>
    <n v="739"/>
    <n v="46"/>
    <n v="4925"/>
    <n v="9.9371609226806129E-2"/>
    <x v="0"/>
  </r>
  <r>
    <x v="327"/>
    <x v="327"/>
    <x v="0"/>
    <x v="23"/>
    <x v="2"/>
    <x v="0"/>
    <n v="296583"/>
    <n v="81061"/>
    <n v="67915"/>
    <n v="5718"/>
    <n v="661"/>
    <n v="403"/>
    <n v="966"/>
    <n v="2507"/>
    <n v="0.11408378119708459"/>
    <x v="1"/>
  </r>
  <r>
    <x v="328"/>
    <x v="328"/>
    <x v="0"/>
    <x v="6"/>
    <x v="2"/>
    <x v="7"/>
    <n v="251685"/>
    <n v="139129"/>
    <n v="104005"/>
    <n v="5306"/>
    <n v="248"/>
    <n v="647"/>
    <n v="1090"/>
    <n v="4507"/>
    <n v="7.0102398923128695E-2"/>
    <x v="0"/>
  </r>
  <r>
    <x v="329"/>
    <x v="329"/>
    <x v="1"/>
    <x v="8"/>
    <x v="5"/>
    <x v="8"/>
    <n v="770520"/>
    <n v="197950"/>
    <n v="144805"/>
    <n v="14313"/>
    <n v="2194"/>
    <n v="2031"/>
    <n v="2652"/>
    <n v="1777"/>
    <n v="0.14633472601084216"/>
    <x v="1"/>
  </r>
  <r>
    <x v="330"/>
    <x v="330"/>
    <x v="3"/>
    <x v="11"/>
    <x v="2"/>
    <x v="4"/>
    <n v="48668"/>
    <n v="20379"/>
    <n v="15759"/>
    <n v="1494"/>
    <n v="67"/>
    <n v="178"/>
    <n v="47"/>
    <n v="292"/>
    <n v="0.11333206421727267"/>
    <x v="0"/>
  </r>
  <r>
    <x v="331"/>
    <x v="331"/>
    <x v="0"/>
    <x v="0"/>
    <x v="0"/>
    <x v="7"/>
    <n v="292588"/>
    <n v="152288"/>
    <n v="110543"/>
    <n v="4410"/>
    <n v="313"/>
    <n v="96"/>
    <n v="769"/>
    <n v="3109"/>
    <n v="5.0550464525116925E-2"/>
    <x v="0"/>
  </r>
  <r>
    <x v="332"/>
    <x v="332"/>
    <x v="1"/>
    <x v="24"/>
    <x v="1"/>
    <x v="16"/>
    <n v="182094"/>
    <n v="78220"/>
    <n v="64056"/>
    <n v="1802"/>
    <n v="61"/>
    <n v="247"/>
    <n v="108"/>
    <n v="1291"/>
    <n v="3.462595229174472E-2"/>
    <x v="0"/>
  </r>
  <r>
    <x v="333"/>
    <x v="333"/>
    <x v="3"/>
    <x v="9"/>
    <x v="1"/>
    <x v="4"/>
    <n v="330117"/>
    <n v="63694"/>
    <n v="53986"/>
    <n v="3312"/>
    <n v="583"/>
    <n v="391"/>
    <n v="29"/>
    <n v="1403"/>
    <n v="7.9928129515059454E-2"/>
    <x v="0"/>
  </r>
  <r>
    <x v="334"/>
    <x v="334"/>
    <x v="2"/>
    <x v="3"/>
    <x v="4"/>
    <x v="2"/>
    <n v="495903"/>
    <n v="102931"/>
    <n v="77895"/>
    <n v="4303"/>
    <n v="247"/>
    <n v="599"/>
    <n v="21"/>
    <n v="2950"/>
    <n v="6.6371397393927722E-2"/>
    <x v="2"/>
  </r>
  <r>
    <x v="335"/>
    <x v="335"/>
    <x v="2"/>
    <x v="19"/>
    <x v="5"/>
    <x v="2"/>
    <n v="486146"/>
    <n v="117106"/>
    <n v="97546"/>
    <n v="3237"/>
    <n v="147"/>
    <n v="408"/>
    <n v="50"/>
    <n v="961"/>
    <n v="3.9386545834785638E-2"/>
    <x v="0"/>
  </r>
  <r>
    <x v="336"/>
    <x v="336"/>
    <x v="2"/>
    <x v="2"/>
    <x v="3"/>
    <x v="5"/>
    <n v="653534"/>
    <n v="111520"/>
    <n v="87480"/>
    <n v="4510"/>
    <n v="685"/>
    <n v="436"/>
    <n v="50"/>
    <n v="3836"/>
    <n v="6.494055784179241E-2"/>
    <x v="0"/>
  </r>
  <r>
    <x v="337"/>
    <x v="337"/>
    <x v="1"/>
    <x v="17"/>
    <x v="4"/>
    <x v="8"/>
    <n v="122376"/>
    <n v="42079"/>
    <n v="30359"/>
    <n v="1965"/>
    <n v="149"/>
    <n v="142"/>
    <n v="333"/>
    <n v="1075"/>
    <n v="8.5279488784215554E-2"/>
    <x v="0"/>
  </r>
  <r>
    <x v="338"/>
    <x v="338"/>
    <x v="4"/>
    <x v="10"/>
    <x v="0"/>
    <x v="17"/>
    <n v="611479"/>
    <n v="270637"/>
    <n v="234522"/>
    <n v="16144"/>
    <n v="1581"/>
    <n v="934"/>
    <n v="2794"/>
    <n v="4983"/>
    <n v="9.147542661242869E-2"/>
    <x v="0"/>
  </r>
  <r>
    <x v="339"/>
    <x v="339"/>
    <x v="0"/>
    <x v="6"/>
    <x v="4"/>
    <x v="7"/>
    <n v="96124"/>
    <n v="41193"/>
    <n v="32498"/>
    <n v="1139"/>
    <n v="84"/>
    <n v="77"/>
    <n v="181"/>
    <n v="271"/>
    <n v="4.5572035202166288E-2"/>
    <x v="1"/>
  </r>
  <r>
    <x v="340"/>
    <x v="340"/>
    <x v="0"/>
    <x v="22"/>
    <x v="0"/>
    <x v="7"/>
    <n v="738833"/>
    <n v="322406"/>
    <n v="252835"/>
    <n v="13829"/>
    <n v="1545"/>
    <n v="1467"/>
    <n v="2004"/>
    <n v="3432"/>
    <n v="7.4534775644194834E-2"/>
    <x v="0"/>
  </r>
  <r>
    <x v="341"/>
    <x v="341"/>
    <x v="1"/>
    <x v="8"/>
    <x v="2"/>
    <x v="6"/>
    <n v="682385"/>
    <n v="3238617"/>
    <n v="2735801"/>
    <n v="254226"/>
    <n v="12804"/>
    <n v="9619"/>
    <n v="53689"/>
    <n v="99764"/>
    <n v="0.1207463554549472"/>
    <x v="2"/>
  </r>
  <r>
    <x v="342"/>
    <x v="342"/>
    <x v="3"/>
    <x v="4"/>
    <x v="3"/>
    <x v="14"/>
    <n v="447226"/>
    <n v="150503"/>
    <n v="112826"/>
    <n v="6845"/>
    <n v="212"/>
    <n v="580"/>
    <n v="46"/>
    <n v="1821"/>
    <n v="6.8096006239696527E-2"/>
    <x v="0"/>
  </r>
  <r>
    <x v="343"/>
    <x v="343"/>
    <x v="4"/>
    <x v="10"/>
    <x v="1"/>
    <x v="13"/>
    <n v="741622"/>
    <n v="304623"/>
    <n v="218601"/>
    <n v="19438"/>
    <n v="2117"/>
    <n v="2560"/>
    <n v="3889"/>
    <n v="4076"/>
    <n v="0.12810554389046711"/>
    <x v="0"/>
  </r>
  <r>
    <x v="344"/>
    <x v="344"/>
    <x v="2"/>
    <x v="19"/>
    <x v="4"/>
    <x v="3"/>
    <n v="645318"/>
    <n v="177992"/>
    <n v="125016"/>
    <n v="8408"/>
    <n v="1394"/>
    <n v="795"/>
    <n v="21"/>
    <n v="3138"/>
    <n v="8.493312855954438E-2"/>
    <x v="2"/>
  </r>
  <r>
    <x v="345"/>
    <x v="345"/>
    <x v="4"/>
    <x v="21"/>
    <x v="4"/>
    <x v="11"/>
    <n v="764785"/>
    <n v="174717"/>
    <n v="140489"/>
    <n v="5266"/>
    <n v="198"/>
    <n v="783"/>
    <n v="1115"/>
    <n v="4145"/>
    <n v="5.2402679213319189E-2"/>
    <x v="0"/>
  </r>
  <r>
    <x v="346"/>
    <x v="346"/>
    <x v="0"/>
    <x v="23"/>
    <x v="0"/>
    <x v="10"/>
    <n v="297120"/>
    <n v="67287"/>
    <n v="48752"/>
    <n v="2050"/>
    <n v="243"/>
    <n v="81"/>
    <n v="285"/>
    <n v="1967"/>
    <n v="5.45413521496554E-2"/>
    <x v="0"/>
  </r>
  <r>
    <x v="347"/>
    <x v="347"/>
    <x v="3"/>
    <x v="11"/>
    <x v="5"/>
    <x v="9"/>
    <n v="154617"/>
    <n v="84789"/>
    <n v="73393"/>
    <n v="3796"/>
    <n v="332"/>
    <n v="401"/>
    <n v="46"/>
    <n v="2045"/>
    <n v="6.2335645088768682E-2"/>
    <x v="0"/>
  </r>
  <r>
    <x v="348"/>
    <x v="348"/>
    <x v="0"/>
    <x v="22"/>
    <x v="2"/>
    <x v="0"/>
    <n v="489054"/>
    <n v="123133"/>
    <n v="111880"/>
    <n v="9277"/>
    <n v="603"/>
    <n v="1009"/>
    <n v="1187"/>
    <n v="1585"/>
    <n v="0.10793707543796925"/>
    <x v="0"/>
  </r>
  <r>
    <x v="349"/>
    <x v="349"/>
    <x v="2"/>
    <x v="16"/>
    <x v="4"/>
    <x v="3"/>
    <n v="558511"/>
    <n v="57738"/>
    <n v="48513"/>
    <n v="4467"/>
    <n v="423"/>
    <n v="622"/>
    <n v="17"/>
    <n v="868"/>
    <n v="0.11396945148723023"/>
    <x v="0"/>
  </r>
  <r>
    <x v="350"/>
    <x v="350"/>
    <x v="2"/>
    <x v="16"/>
    <x v="4"/>
    <x v="5"/>
    <n v="772483"/>
    <n v="401060"/>
    <n v="310512"/>
    <n v="24631"/>
    <n v="1403"/>
    <n v="2246"/>
    <n v="43"/>
    <n v="2107"/>
    <n v="9.121386613077756E-2"/>
    <x v="0"/>
  </r>
  <r>
    <x v="351"/>
    <x v="351"/>
    <x v="2"/>
    <x v="3"/>
    <x v="0"/>
    <x v="3"/>
    <n v="266632"/>
    <n v="24932"/>
    <n v="17764"/>
    <n v="1387"/>
    <n v="227"/>
    <n v="66"/>
    <n v="38"/>
    <n v="601"/>
    <n v="9.6712452150416572E-2"/>
    <x v="1"/>
  </r>
  <r>
    <x v="352"/>
    <x v="352"/>
    <x v="1"/>
    <x v="1"/>
    <x v="4"/>
    <x v="16"/>
    <n v="118729"/>
    <n v="26642"/>
    <n v="22520"/>
    <n v="653"/>
    <n v="64"/>
    <n v="97"/>
    <n v="133"/>
    <n v="686"/>
    <n v="4.2051509769094136E-2"/>
    <x v="1"/>
  </r>
  <r>
    <x v="353"/>
    <x v="353"/>
    <x v="4"/>
    <x v="14"/>
    <x v="2"/>
    <x v="13"/>
    <n v="409966"/>
    <n v="46831"/>
    <n v="35508"/>
    <n v="2174"/>
    <n v="225"/>
    <n v="305"/>
    <n v="374"/>
    <n v="484"/>
    <n v="8.6684690773910111E-2"/>
    <x v="0"/>
  </r>
  <r>
    <x v="354"/>
    <x v="354"/>
    <x v="1"/>
    <x v="7"/>
    <x v="4"/>
    <x v="6"/>
    <n v="465531"/>
    <n v="64649"/>
    <n v="46255"/>
    <n v="4115"/>
    <n v="603"/>
    <n v="92"/>
    <n v="615"/>
    <n v="1589"/>
    <n v="0.11728461787914821"/>
    <x v="0"/>
  </r>
  <r>
    <x v="355"/>
    <x v="355"/>
    <x v="1"/>
    <x v="24"/>
    <x v="3"/>
    <x v="6"/>
    <n v="542918"/>
    <n v="282026"/>
    <n v="224473"/>
    <n v="19923"/>
    <n v="2931"/>
    <n v="2432"/>
    <n v="3148"/>
    <n v="1438"/>
    <n v="0.12667002267533289"/>
    <x v="2"/>
  </r>
  <r>
    <x v="356"/>
    <x v="356"/>
    <x v="3"/>
    <x v="15"/>
    <x v="5"/>
    <x v="14"/>
    <n v="320038"/>
    <n v="140943"/>
    <n v="101471"/>
    <n v="7339"/>
    <n v="1278"/>
    <n v="223"/>
    <n v="29"/>
    <n v="3920"/>
    <n v="8.7404282997112476E-2"/>
    <x v="0"/>
  </r>
  <r>
    <x v="357"/>
    <x v="357"/>
    <x v="2"/>
    <x v="5"/>
    <x v="5"/>
    <x v="2"/>
    <n v="114454"/>
    <n v="32594"/>
    <n v="29163"/>
    <n v="1508"/>
    <n v="88"/>
    <n v="37"/>
    <n v="1"/>
    <n v="866"/>
    <n v="5.6029900901827662E-2"/>
    <x v="0"/>
  </r>
  <r>
    <x v="358"/>
    <x v="358"/>
    <x v="3"/>
    <x v="15"/>
    <x v="3"/>
    <x v="14"/>
    <n v="473632"/>
    <n v="42323"/>
    <n v="30148"/>
    <n v="2846"/>
    <n v="103"/>
    <n v="100"/>
    <n v="41"/>
    <n v="1058"/>
    <n v="0.10249436115165185"/>
    <x v="0"/>
  </r>
  <r>
    <x v="359"/>
    <x v="359"/>
    <x v="3"/>
    <x v="4"/>
    <x v="2"/>
    <x v="9"/>
    <n v="773685"/>
    <n v="350234"/>
    <n v="315063"/>
    <n v="19999"/>
    <n v="1327"/>
    <n v="2086"/>
    <n v="0"/>
    <n v="3560"/>
    <n v="7.4308947734262665E-2"/>
    <x v="0"/>
  </r>
  <r>
    <x v="360"/>
    <x v="360"/>
    <x v="1"/>
    <x v="7"/>
    <x v="2"/>
    <x v="6"/>
    <n v="122226"/>
    <n v="65455"/>
    <n v="46727"/>
    <n v="2104"/>
    <n v="169"/>
    <n v="270"/>
    <n v="415"/>
    <n v="1116"/>
    <n v="6.330387142337407E-2"/>
    <x v="0"/>
  </r>
  <r>
    <x v="361"/>
    <x v="361"/>
    <x v="0"/>
    <x v="0"/>
    <x v="2"/>
    <x v="10"/>
    <n v="184373"/>
    <n v="27439"/>
    <n v="23780"/>
    <n v="825"/>
    <n v="70"/>
    <n v="34"/>
    <n v="81"/>
    <n v="616"/>
    <n v="4.2472666105971404E-2"/>
    <x v="0"/>
  </r>
  <r>
    <x v="362"/>
    <x v="362"/>
    <x v="1"/>
    <x v="17"/>
    <x v="3"/>
    <x v="6"/>
    <n v="9158"/>
    <n v="51904"/>
    <n v="43775"/>
    <n v="3800"/>
    <n v="351"/>
    <n v="474"/>
    <n v="777"/>
    <n v="1337"/>
    <n v="0.12340376927470018"/>
    <x v="0"/>
  </r>
  <r>
    <x v="363"/>
    <x v="363"/>
    <x v="2"/>
    <x v="5"/>
    <x v="0"/>
    <x v="15"/>
    <n v="627736"/>
    <n v="229083"/>
    <n v="191967"/>
    <n v="15338"/>
    <n v="1260"/>
    <n v="315"/>
    <n v="15"/>
    <n v="2464"/>
    <n v="8.8181822917480612E-2"/>
    <x v="2"/>
  </r>
  <r>
    <x v="364"/>
    <x v="364"/>
    <x v="3"/>
    <x v="18"/>
    <x v="0"/>
    <x v="4"/>
    <n v="810250"/>
    <n v="160933"/>
    <n v="119511"/>
    <n v="10910"/>
    <n v="1448"/>
    <n v="1591"/>
    <n v="30"/>
    <n v="3206"/>
    <n v="0.11696831254026827"/>
    <x v="0"/>
  </r>
  <r>
    <x v="365"/>
    <x v="365"/>
    <x v="0"/>
    <x v="0"/>
    <x v="3"/>
    <x v="7"/>
    <n v="353033"/>
    <n v="207352"/>
    <n v="147122"/>
    <n v="13358"/>
    <n v="2253"/>
    <n v="572"/>
    <n v="2766"/>
    <n v="4054"/>
    <n v="0.12879786843572003"/>
    <x v="0"/>
  </r>
  <r>
    <x v="366"/>
    <x v="366"/>
    <x v="3"/>
    <x v="18"/>
    <x v="5"/>
    <x v="4"/>
    <n v="210905"/>
    <n v="124871"/>
    <n v="108809"/>
    <n v="4940"/>
    <n v="220"/>
    <n v="572"/>
    <n v="12"/>
    <n v="2031"/>
    <n v="5.2789750847815897E-2"/>
    <x v="0"/>
  </r>
  <r>
    <x v="367"/>
    <x v="367"/>
    <x v="2"/>
    <x v="5"/>
    <x v="0"/>
    <x v="2"/>
    <n v="189210"/>
    <n v="29847"/>
    <n v="22167"/>
    <n v="1239"/>
    <n v="87"/>
    <n v="78"/>
    <n v="2"/>
    <n v="769"/>
    <n v="6.3427617629810085E-2"/>
    <x v="0"/>
  </r>
  <r>
    <x v="368"/>
    <x v="368"/>
    <x v="2"/>
    <x v="16"/>
    <x v="0"/>
    <x v="3"/>
    <n v="233033"/>
    <n v="98822"/>
    <n v="86449"/>
    <n v="7625"/>
    <n v="1264"/>
    <n v="725"/>
    <n v="35"/>
    <n v="3028"/>
    <n v="0.11161494060081667"/>
    <x v="0"/>
  </r>
  <r>
    <x v="369"/>
    <x v="369"/>
    <x v="1"/>
    <x v="7"/>
    <x v="3"/>
    <x v="8"/>
    <n v="295231"/>
    <n v="1011608"/>
    <n v="763281"/>
    <n v="46589"/>
    <n v="2951"/>
    <n v="6549"/>
    <n v="11146"/>
    <n v="32788"/>
    <n v="8.8086825166616228E-2"/>
    <x v="2"/>
  </r>
  <r>
    <x v="370"/>
    <x v="370"/>
    <x v="3"/>
    <x v="11"/>
    <x v="3"/>
    <x v="14"/>
    <n v="415974"/>
    <n v="222492"/>
    <n v="160541"/>
    <n v="11061"/>
    <n v="469"/>
    <n v="1304"/>
    <n v="44"/>
    <n v="5996"/>
    <n v="8.0216268741318417E-2"/>
    <x v="2"/>
  </r>
  <r>
    <x v="371"/>
    <x v="371"/>
    <x v="4"/>
    <x v="10"/>
    <x v="3"/>
    <x v="11"/>
    <n v="172162"/>
    <n v="97962"/>
    <n v="81152"/>
    <n v="7698"/>
    <n v="766"/>
    <n v="292"/>
    <n v="1467"/>
    <n v="1033"/>
    <n v="0.12597348186119875"/>
    <x v="1"/>
  </r>
  <r>
    <x v="372"/>
    <x v="372"/>
    <x v="4"/>
    <x v="10"/>
    <x v="3"/>
    <x v="11"/>
    <n v="559210"/>
    <n v="1910574"/>
    <n v="1630812"/>
    <n v="108425"/>
    <n v="12608"/>
    <n v="5088"/>
    <n v="20268"/>
    <n v="45115"/>
    <n v="8.9764485421986104E-2"/>
    <x v="0"/>
  </r>
  <r>
    <x v="373"/>
    <x v="373"/>
    <x v="0"/>
    <x v="22"/>
    <x v="2"/>
    <x v="7"/>
    <n v="385849"/>
    <n v="39857"/>
    <n v="29436"/>
    <n v="2133"/>
    <n v="85"/>
    <n v="239"/>
    <n v="193"/>
    <n v="1372"/>
    <n v="9.0025818725370299E-2"/>
    <x v="0"/>
  </r>
  <r>
    <x v="374"/>
    <x v="374"/>
    <x v="3"/>
    <x v="4"/>
    <x v="4"/>
    <x v="9"/>
    <n v="338530"/>
    <n v="78672"/>
    <n v="62390"/>
    <n v="1830"/>
    <n v="157"/>
    <n v="144"/>
    <n v="32"/>
    <n v="1636"/>
    <n v="3.466901747074852E-2"/>
    <x v="0"/>
  </r>
  <r>
    <x v="375"/>
    <x v="375"/>
    <x v="3"/>
    <x v="15"/>
    <x v="3"/>
    <x v="14"/>
    <n v="388528"/>
    <n v="240443"/>
    <n v="220048"/>
    <n v="17549"/>
    <n v="1022"/>
    <n v="2367"/>
    <n v="5"/>
    <n v="1780"/>
    <n v="9.5174689158729009E-2"/>
    <x v="2"/>
  </r>
  <r>
    <x v="376"/>
    <x v="376"/>
    <x v="0"/>
    <x v="22"/>
    <x v="4"/>
    <x v="0"/>
    <n v="522938"/>
    <n v="102718"/>
    <n v="72415"/>
    <n v="4621"/>
    <n v="611"/>
    <n v="652"/>
    <n v="669"/>
    <n v="1808"/>
    <n v="9.0492301318787549E-2"/>
    <x v="1"/>
  </r>
  <r>
    <x v="377"/>
    <x v="377"/>
    <x v="4"/>
    <x v="12"/>
    <x v="1"/>
    <x v="11"/>
    <n v="434190"/>
    <n v="197028"/>
    <n v="152063"/>
    <n v="10955"/>
    <n v="1473"/>
    <n v="1418"/>
    <n v="1523"/>
    <n v="2782"/>
    <n v="0.10106995127019722"/>
    <x v="0"/>
  </r>
  <r>
    <x v="378"/>
    <x v="378"/>
    <x v="0"/>
    <x v="0"/>
    <x v="3"/>
    <x v="7"/>
    <n v="304643"/>
    <n v="32588"/>
    <n v="24850"/>
    <n v="2521"/>
    <n v="309"/>
    <n v="103"/>
    <n v="395"/>
    <n v="341"/>
    <n v="0.1339235412474849"/>
    <x v="0"/>
  </r>
  <r>
    <x v="379"/>
    <x v="379"/>
    <x v="1"/>
    <x v="8"/>
    <x v="0"/>
    <x v="6"/>
    <n v="45650"/>
    <n v="18601"/>
    <n v="14086"/>
    <n v="577"/>
    <n v="65"/>
    <n v="14"/>
    <n v="65"/>
    <n v="284"/>
    <n v="5.118557432912111E-2"/>
    <x v="0"/>
  </r>
  <r>
    <x v="380"/>
    <x v="380"/>
    <x v="4"/>
    <x v="10"/>
    <x v="3"/>
    <x v="13"/>
    <n v="808349"/>
    <n v="275714"/>
    <n v="202465"/>
    <n v="21563"/>
    <n v="2413"/>
    <n v="1853"/>
    <n v="3869"/>
    <n v="3823"/>
    <n v="0.14668214259254686"/>
    <x v="2"/>
  </r>
  <r>
    <x v="381"/>
    <x v="381"/>
    <x v="3"/>
    <x v="9"/>
    <x v="5"/>
    <x v="14"/>
    <n v="120271"/>
    <n v="71332"/>
    <n v="60572"/>
    <n v="1926"/>
    <n v="64"/>
    <n v="193"/>
    <n v="14"/>
    <n v="1311"/>
    <n v="3.6270884236941164E-2"/>
    <x v="0"/>
  </r>
  <r>
    <x v="382"/>
    <x v="382"/>
    <x v="3"/>
    <x v="18"/>
    <x v="0"/>
    <x v="4"/>
    <n v="207722"/>
    <n v="814863"/>
    <n v="691781"/>
    <n v="63117"/>
    <n v="11132"/>
    <n v="4498"/>
    <n v="31"/>
    <n v="11842"/>
    <n v="0.11387707959599931"/>
    <x v="1"/>
  </r>
  <r>
    <x v="383"/>
    <x v="383"/>
    <x v="1"/>
    <x v="1"/>
    <x v="5"/>
    <x v="8"/>
    <n v="393441"/>
    <n v="1200837"/>
    <n v="1098832"/>
    <n v="87010"/>
    <n v="3753"/>
    <n v="9973"/>
    <n v="12080"/>
    <n v="41762"/>
    <n v="0.10266901582771525"/>
    <x v="1"/>
  </r>
  <r>
    <x v="384"/>
    <x v="384"/>
    <x v="2"/>
    <x v="16"/>
    <x v="0"/>
    <x v="15"/>
    <n v="153116"/>
    <n v="53671"/>
    <n v="49219"/>
    <n v="1286"/>
    <n v="223"/>
    <n v="152"/>
    <n v="5"/>
    <n v="279"/>
    <n v="3.384871695889799E-2"/>
    <x v="1"/>
  </r>
  <r>
    <x v="385"/>
    <x v="385"/>
    <x v="2"/>
    <x v="2"/>
    <x v="0"/>
    <x v="5"/>
    <n v="197541"/>
    <n v="48396"/>
    <n v="34326"/>
    <n v="3367"/>
    <n v="522"/>
    <n v="200"/>
    <n v="35"/>
    <n v="1316"/>
    <n v="0.120142166287945"/>
    <x v="0"/>
  </r>
  <r>
    <x v="386"/>
    <x v="386"/>
    <x v="0"/>
    <x v="6"/>
    <x v="2"/>
    <x v="10"/>
    <n v="700760"/>
    <n v="222687"/>
    <n v="200305"/>
    <n v="13068"/>
    <n v="447"/>
    <n v="1560"/>
    <n v="1942"/>
    <n v="7597"/>
    <n v="8.4955442949502011E-2"/>
    <x v="0"/>
  </r>
  <r>
    <x v="387"/>
    <x v="387"/>
    <x v="2"/>
    <x v="3"/>
    <x v="4"/>
    <x v="2"/>
    <n v="730468"/>
    <n v="213826"/>
    <n v="176739"/>
    <n v="15121"/>
    <n v="822"/>
    <n v="417"/>
    <n v="20"/>
    <n v="4026"/>
    <n v="9.2679035187479844E-2"/>
    <x v="1"/>
  </r>
  <r>
    <x v="388"/>
    <x v="388"/>
    <x v="0"/>
    <x v="6"/>
    <x v="4"/>
    <x v="7"/>
    <n v="53581"/>
    <n v="20461"/>
    <n v="16635"/>
    <n v="1350"/>
    <n v="77"/>
    <n v="43"/>
    <n v="270"/>
    <n v="436"/>
    <n v="0.10459873760144274"/>
    <x v="1"/>
  </r>
  <r>
    <x v="389"/>
    <x v="389"/>
    <x v="0"/>
    <x v="23"/>
    <x v="2"/>
    <x v="10"/>
    <n v="610722"/>
    <n v="98887"/>
    <n v="80493"/>
    <n v="4190"/>
    <n v="430"/>
    <n v="269"/>
    <n v="972"/>
    <n v="798"/>
    <n v="7.2813785049631652E-2"/>
    <x v="0"/>
  </r>
  <r>
    <x v="390"/>
    <x v="390"/>
    <x v="3"/>
    <x v="18"/>
    <x v="4"/>
    <x v="14"/>
    <n v="560442"/>
    <n v="269175"/>
    <n v="195171"/>
    <n v="12820"/>
    <n v="531"/>
    <n v="1621"/>
    <n v="1"/>
    <n v="5218"/>
    <n v="7.6717340178612606E-2"/>
    <x v="0"/>
  </r>
  <r>
    <x v="391"/>
    <x v="391"/>
    <x v="3"/>
    <x v="18"/>
    <x v="5"/>
    <x v="9"/>
    <n v="746878"/>
    <n v="376682"/>
    <n v="282104"/>
    <n v="26898"/>
    <n v="1381"/>
    <n v="1330"/>
    <n v="8"/>
    <n v="4254"/>
    <n v="0.10498610441539291"/>
    <x v="2"/>
  </r>
  <r>
    <x v="392"/>
    <x v="392"/>
    <x v="4"/>
    <x v="10"/>
    <x v="2"/>
    <x v="13"/>
    <n v="796622"/>
    <n v="152887"/>
    <n v="133695"/>
    <n v="7767"/>
    <n v="302"/>
    <n v="275"/>
    <n v="781"/>
    <n v="1068"/>
    <n v="6.8252365458693301E-2"/>
    <x v="1"/>
  </r>
  <r>
    <x v="393"/>
    <x v="393"/>
    <x v="3"/>
    <x v="4"/>
    <x v="1"/>
    <x v="9"/>
    <n v="196257"/>
    <n v="18973"/>
    <n v="16811"/>
    <n v="1451"/>
    <n v="250"/>
    <n v="94"/>
    <n v="10"/>
    <n v="581"/>
    <n v="0.10737017429064304"/>
    <x v="1"/>
  </r>
  <r>
    <x v="394"/>
    <x v="394"/>
    <x v="4"/>
    <x v="10"/>
    <x v="1"/>
    <x v="12"/>
    <n v="557027"/>
    <n v="105379"/>
    <n v="77747"/>
    <n v="6875"/>
    <n v="210"/>
    <n v="785"/>
    <n v="1614"/>
    <n v="3436"/>
    <n v="0.12198541422820174"/>
    <x v="1"/>
  </r>
  <r>
    <x v="395"/>
    <x v="395"/>
    <x v="1"/>
    <x v="1"/>
    <x v="4"/>
    <x v="6"/>
    <n v="192133"/>
    <n v="122838"/>
    <n v="91777"/>
    <n v="4133"/>
    <n v="193"/>
    <n v="611"/>
    <n v="308"/>
    <n v="1020"/>
    <n v="5.7149394728526752E-2"/>
    <x v="0"/>
  </r>
  <r>
    <x v="396"/>
    <x v="396"/>
    <x v="3"/>
    <x v="11"/>
    <x v="2"/>
    <x v="4"/>
    <n v="520195"/>
    <n v="125709"/>
    <n v="108355"/>
    <n v="7696"/>
    <n v="1201"/>
    <n v="379"/>
    <n v="26"/>
    <n v="1724"/>
    <n v="8.5847445895436303E-2"/>
    <x v="1"/>
  </r>
  <r>
    <x v="397"/>
    <x v="397"/>
    <x v="2"/>
    <x v="3"/>
    <x v="0"/>
    <x v="15"/>
    <n v="709406"/>
    <n v="99279"/>
    <n v="80910"/>
    <n v="6015"/>
    <n v="288"/>
    <n v="429"/>
    <n v="44"/>
    <n v="2255"/>
    <n v="8.3747373625015456E-2"/>
    <x v="0"/>
  </r>
  <r>
    <x v="398"/>
    <x v="398"/>
    <x v="1"/>
    <x v="24"/>
    <x v="0"/>
    <x v="8"/>
    <n v="131225"/>
    <n v="42265"/>
    <n v="32175"/>
    <n v="2654"/>
    <n v="311"/>
    <n v="147"/>
    <n v="551"/>
    <n v="1027"/>
    <n v="0.11384615384615385"/>
    <x v="0"/>
  </r>
  <r>
    <x v="399"/>
    <x v="399"/>
    <x v="2"/>
    <x v="2"/>
    <x v="5"/>
    <x v="5"/>
    <n v="807805"/>
    <n v="120886"/>
    <n v="97845"/>
    <n v="6975"/>
    <n v="350"/>
    <n v="229"/>
    <n v="3"/>
    <n v="3615"/>
    <n v="7.7234401349072515E-2"/>
    <x v="0"/>
  </r>
  <r>
    <x v="400"/>
    <x v="400"/>
    <x v="0"/>
    <x v="0"/>
    <x v="5"/>
    <x v="10"/>
    <n v="656006"/>
    <n v="81092"/>
    <n v="66040"/>
    <n v="4016"/>
    <n v="401"/>
    <n v="233"/>
    <n v="600"/>
    <n v="1633"/>
    <n v="7.9497274379164137E-2"/>
    <x v="0"/>
  </r>
  <r>
    <x v="401"/>
    <x v="401"/>
    <x v="4"/>
    <x v="20"/>
    <x v="2"/>
    <x v="13"/>
    <n v="474480"/>
    <n v="139739"/>
    <n v="98923"/>
    <n v="4277"/>
    <n v="551"/>
    <n v="518"/>
    <n v="970"/>
    <n v="1386"/>
    <n v="6.3847639072814211E-2"/>
    <x v="0"/>
  </r>
  <r>
    <x v="402"/>
    <x v="402"/>
    <x v="4"/>
    <x v="21"/>
    <x v="4"/>
    <x v="13"/>
    <n v="694642"/>
    <n v="269141"/>
    <n v="216577"/>
    <n v="19179"/>
    <n v="2033"/>
    <n v="1359"/>
    <n v="2856"/>
    <n v="9184"/>
    <n v="0.11740397179755929"/>
    <x v="1"/>
  </r>
  <r>
    <x v="403"/>
    <x v="403"/>
    <x v="4"/>
    <x v="21"/>
    <x v="2"/>
    <x v="17"/>
    <n v="386708"/>
    <n v="194503"/>
    <n v="168895"/>
    <n v="11185"/>
    <n v="974"/>
    <n v="846"/>
    <n v="2778"/>
    <n v="3376"/>
    <n v="9.344859232067261E-2"/>
    <x v="0"/>
  </r>
  <r>
    <x v="404"/>
    <x v="404"/>
    <x v="0"/>
    <x v="13"/>
    <x v="2"/>
    <x v="10"/>
    <n v="71181"/>
    <n v="10338"/>
    <n v="7281"/>
    <n v="409"/>
    <n v="40"/>
    <n v="54"/>
    <n v="66"/>
    <n v="331"/>
    <n v="7.814860596071968E-2"/>
    <x v="0"/>
  </r>
  <r>
    <x v="405"/>
    <x v="405"/>
    <x v="0"/>
    <x v="6"/>
    <x v="1"/>
    <x v="7"/>
    <n v="340583"/>
    <n v="184168"/>
    <n v="156909"/>
    <n v="5958"/>
    <n v="622"/>
    <n v="747"/>
    <n v="1093"/>
    <n v="1841"/>
    <n v="5.366167651313819E-2"/>
    <x v="0"/>
  </r>
  <r>
    <x v="406"/>
    <x v="406"/>
    <x v="4"/>
    <x v="21"/>
    <x v="0"/>
    <x v="11"/>
    <n v="280535"/>
    <n v="181744"/>
    <n v="159391"/>
    <n v="10445"/>
    <n v="1814"/>
    <n v="1183"/>
    <n v="1730"/>
    <n v="4135"/>
    <n v="9.5187306686073864E-2"/>
    <x v="0"/>
  </r>
  <r>
    <x v="407"/>
    <x v="407"/>
    <x v="1"/>
    <x v="24"/>
    <x v="2"/>
    <x v="1"/>
    <n v="531652"/>
    <n v="173722"/>
    <n v="133581"/>
    <n v="7792"/>
    <n v="527"/>
    <n v="677"/>
    <n v="1436"/>
    <n v="3722"/>
    <n v="7.809493865145492E-2"/>
    <x v="2"/>
  </r>
  <r>
    <x v="408"/>
    <x v="408"/>
    <x v="1"/>
    <x v="7"/>
    <x v="3"/>
    <x v="16"/>
    <n v="695405"/>
    <n v="349829"/>
    <n v="265501"/>
    <n v="20386"/>
    <n v="3085"/>
    <n v="2667"/>
    <n v="4716"/>
    <n v="11558"/>
    <n v="0.1162104850829187"/>
    <x v="1"/>
  </r>
  <r>
    <x v="409"/>
    <x v="409"/>
    <x v="2"/>
    <x v="5"/>
    <x v="0"/>
    <x v="5"/>
    <n v="785192"/>
    <n v="197206"/>
    <n v="155843"/>
    <n v="14122"/>
    <n v="2353"/>
    <n v="1446"/>
    <n v="26"/>
    <n v="2565"/>
    <n v="0.11516077077571658"/>
    <x v="0"/>
  </r>
  <r>
    <x v="410"/>
    <x v="410"/>
    <x v="1"/>
    <x v="1"/>
    <x v="0"/>
    <x v="6"/>
    <n v="159746"/>
    <n v="35141"/>
    <n v="26999"/>
    <n v="1726"/>
    <n v="308"/>
    <n v="129"/>
    <n v="398"/>
    <n v="388"/>
    <n v="9.4855365013519016E-2"/>
    <x v="0"/>
  </r>
  <r>
    <x v="411"/>
    <x v="411"/>
    <x v="0"/>
    <x v="13"/>
    <x v="0"/>
    <x v="10"/>
    <n v="46783"/>
    <n v="16698"/>
    <n v="11891"/>
    <n v="1232"/>
    <n v="94"/>
    <n v="72"/>
    <n v="77"/>
    <n v="561"/>
    <n v="0.12404339416365319"/>
    <x v="2"/>
  </r>
  <r>
    <x v="412"/>
    <x v="412"/>
    <x v="2"/>
    <x v="5"/>
    <x v="0"/>
    <x v="15"/>
    <n v="601208"/>
    <n v="367802"/>
    <n v="311207"/>
    <n v="20164"/>
    <n v="2949"/>
    <n v="1780"/>
    <n v="31"/>
    <n v="11599"/>
    <n v="8.0088172823876064E-2"/>
    <x v="0"/>
  </r>
  <r>
    <x v="413"/>
    <x v="413"/>
    <x v="3"/>
    <x v="9"/>
    <x v="4"/>
    <x v="14"/>
    <n v="249899"/>
    <n v="51045"/>
    <n v="37698"/>
    <n v="3991"/>
    <n v="382"/>
    <n v="211"/>
    <n v="37"/>
    <n v="340"/>
    <n v="0.12257944718552709"/>
    <x v="0"/>
  </r>
  <r>
    <x v="414"/>
    <x v="414"/>
    <x v="2"/>
    <x v="16"/>
    <x v="4"/>
    <x v="5"/>
    <n v="293724"/>
    <n v="180368"/>
    <n v="145114"/>
    <n v="7587"/>
    <n v="578"/>
    <n v="788"/>
    <n v="38"/>
    <n v="1090"/>
    <n v="6.1958184599694037E-2"/>
    <x v="1"/>
  </r>
  <r>
    <x v="415"/>
    <x v="415"/>
    <x v="1"/>
    <x v="24"/>
    <x v="1"/>
    <x v="8"/>
    <n v="326791"/>
    <n v="156647"/>
    <n v="133268"/>
    <n v="8160"/>
    <n v="534"/>
    <n v="632"/>
    <n v="420"/>
    <n v="5298"/>
    <n v="7.3130834108713266E-2"/>
    <x v="2"/>
  </r>
  <r>
    <x v="416"/>
    <x v="416"/>
    <x v="1"/>
    <x v="24"/>
    <x v="0"/>
    <x v="16"/>
    <n v="462663"/>
    <n v="268944"/>
    <n v="226390"/>
    <n v="18115"/>
    <n v="1288"/>
    <n v="550"/>
    <n v="3729"/>
    <n v="5311"/>
    <n v="0.10460709395291311"/>
    <x v="1"/>
  </r>
  <r>
    <x v="417"/>
    <x v="417"/>
    <x v="4"/>
    <x v="12"/>
    <x v="4"/>
    <x v="11"/>
    <n v="533430"/>
    <n v="170642"/>
    <n v="149986"/>
    <n v="10966"/>
    <n v="1074"/>
    <n v="258"/>
    <n v="662"/>
    <n v="4137"/>
    <n v="8.6408064752710248E-2"/>
    <x v="1"/>
  </r>
  <r>
    <x v="418"/>
    <x v="418"/>
    <x v="2"/>
    <x v="5"/>
    <x v="4"/>
    <x v="3"/>
    <n v="331461"/>
    <n v="47455"/>
    <n v="38609"/>
    <n v="3710"/>
    <n v="573"/>
    <n v="442"/>
    <n v="38"/>
    <n v="1213"/>
    <n v="0.12336501851899816"/>
    <x v="1"/>
  </r>
  <r>
    <x v="419"/>
    <x v="419"/>
    <x v="1"/>
    <x v="24"/>
    <x v="0"/>
    <x v="1"/>
    <n v="840866"/>
    <n v="107721"/>
    <n v="79715"/>
    <n v="7818"/>
    <n v="1342"/>
    <n v="1055"/>
    <n v="741"/>
    <n v="3602"/>
    <n v="0.13743962867716239"/>
    <x v="2"/>
  </r>
  <r>
    <x v="420"/>
    <x v="420"/>
    <x v="4"/>
    <x v="20"/>
    <x v="0"/>
    <x v="11"/>
    <n v="737825"/>
    <n v="79962"/>
    <n v="63518"/>
    <n v="2847"/>
    <n v="123"/>
    <n v="193"/>
    <n v="681"/>
    <n v="681"/>
    <n v="6.0518278283321264E-2"/>
    <x v="1"/>
  </r>
  <r>
    <x v="421"/>
    <x v="421"/>
    <x v="2"/>
    <x v="19"/>
    <x v="0"/>
    <x v="5"/>
    <n v="202300"/>
    <n v="109979"/>
    <n v="83952"/>
    <n v="5460"/>
    <n v="270"/>
    <n v="717"/>
    <n v="38"/>
    <n v="1261"/>
    <n v="7.7246521821993513E-2"/>
    <x v="1"/>
  </r>
  <r>
    <x v="422"/>
    <x v="422"/>
    <x v="1"/>
    <x v="1"/>
    <x v="0"/>
    <x v="6"/>
    <n v="306789"/>
    <n v="65722"/>
    <n v="59124"/>
    <n v="2772"/>
    <n v="367"/>
    <n v="220"/>
    <n v="144"/>
    <n v="591"/>
    <n v="5.9248359380285505E-2"/>
    <x v="0"/>
  </r>
  <r>
    <x v="423"/>
    <x v="423"/>
    <x v="2"/>
    <x v="16"/>
    <x v="4"/>
    <x v="3"/>
    <n v="79104"/>
    <n v="8977"/>
    <n v="8122"/>
    <n v="433"/>
    <n v="36"/>
    <n v="42"/>
    <n v="42"/>
    <n v="305"/>
    <n v="6.8086678158089137E-2"/>
    <x v="0"/>
  </r>
  <r>
    <x v="424"/>
    <x v="424"/>
    <x v="3"/>
    <x v="18"/>
    <x v="3"/>
    <x v="4"/>
    <n v="416369"/>
    <n v="64693"/>
    <n v="45870"/>
    <n v="1990"/>
    <n v="110"/>
    <n v="167"/>
    <n v="21"/>
    <n v="2027"/>
    <n v="4.988009592326139E-2"/>
    <x v="0"/>
  </r>
  <r>
    <x v="425"/>
    <x v="425"/>
    <x v="1"/>
    <x v="24"/>
    <x v="2"/>
    <x v="1"/>
    <n v="48807"/>
    <n v="17792"/>
    <n v="15381"/>
    <n v="1344"/>
    <n v="97"/>
    <n v="180"/>
    <n v="231"/>
    <n v="495"/>
    <n v="0.12040829594954815"/>
    <x v="0"/>
  </r>
  <r>
    <x v="426"/>
    <x v="426"/>
    <x v="0"/>
    <x v="6"/>
    <x v="0"/>
    <x v="10"/>
    <n v="691854"/>
    <n v="228861"/>
    <n v="167685"/>
    <n v="7733"/>
    <n v="273"/>
    <n v="416"/>
    <n v="1478"/>
    <n v="4140"/>
    <n v="5.9039270059933806E-2"/>
    <x v="2"/>
  </r>
  <r>
    <x v="427"/>
    <x v="427"/>
    <x v="3"/>
    <x v="9"/>
    <x v="3"/>
    <x v="4"/>
    <n v="120455"/>
    <n v="69155"/>
    <n v="53727"/>
    <n v="2228"/>
    <n v="161"/>
    <n v="286"/>
    <n v="47"/>
    <n v="1401"/>
    <n v="5.066353974724068E-2"/>
    <x v="0"/>
  </r>
  <r>
    <x v="428"/>
    <x v="428"/>
    <x v="3"/>
    <x v="11"/>
    <x v="1"/>
    <x v="14"/>
    <n v="191840"/>
    <n v="23749"/>
    <n v="19226"/>
    <n v="609"/>
    <n v="48"/>
    <n v="34"/>
    <n v="43"/>
    <n v="205"/>
    <n v="3.8177468012066992E-2"/>
    <x v="0"/>
  </r>
  <r>
    <x v="429"/>
    <x v="429"/>
    <x v="4"/>
    <x v="20"/>
    <x v="4"/>
    <x v="13"/>
    <n v="478611"/>
    <n v="111761"/>
    <n v="78375"/>
    <n v="8738"/>
    <n v="1122"/>
    <n v="1254"/>
    <n v="1004"/>
    <n v="3011"/>
    <n v="0.15461562998405104"/>
    <x v="1"/>
  </r>
  <r>
    <x v="430"/>
    <x v="430"/>
    <x v="4"/>
    <x v="14"/>
    <x v="5"/>
    <x v="12"/>
    <n v="782430"/>
    <n v="487127"/>
    <n v="350907"/>
    <n v="17200"/>
    <n v="1135"/>
    <n v="2067"/>
    <n v="2232"/>
    <n v="2735"/>
    <n v="6.4501420604319668E-2"/>
    <x v="0"/>
  </r>
  <r>
    <x v="431"/>
    <x v="431"/>
    <x v="1"/>
    <x v="17"/>
    <x v="5"/>
    <x v="8"/>
    <n v="842514"/>
    <n v="454638"/>
    <n v="408638"/>
    <n v="25555"/>
    <n v="2142"/>
    <n v="830"/>
    <n v="3155"/>
    <n v="4999"/>
    <n v="7.7530724014898272E-2"/>
    <x v="0"/>
  </r>
  <r>
    <x v="432"/>
    <x v="432"/>
    <x v="3"/>
    <x v="9"/>
    <x v="2"/>
    <x v="4"/>
    <n v="388623"/>
    <n v="127250"/>
    <n v="91677"/>
    <n v="6464"/>
    <n v="1137"/>
    <n v="697"/>
    <n v="41"/>
    <n v="3255"/>
    <n v="9.096065534430664E-2"/>
    <x v="0"/>
  </r>
  <r>
    <x v="433"/>
    <x v="433"/>
    <x v="3"/>
    <x v="11"/>
    <x v="5"/>
    <x v="4"/>
    <n v="461100"/>
    <n v="247555"/>
    <n v="181381"/>
    <n v="6849"/>
    <n v="1133"/>
    <n v="886"/>
    <n v="33"/>
    <n v="4414"/>
    <n v="4.9073497224075287E-2"/>
    <x v="0"/>
  </r>
  <r>
    <x v="434"/>
    <x v="434"/>
    <x v="3"/>
    <x v="11"/>
    <x v="1"/>
    <x v="4"/>
    <n v="435582"/>
    <n v="198924"/>
    <n v="174818"/>
    <n v="8221"/>
    <n v="968"/>
    <n v="985"/>
    <n v="1"/>
    <n v="1674"/>
    <n v="5.8203388667070893E-2"/>
    <x v="1"/>
  </r>
  <r>
    <x v="435"/>
    <x v="435"/>
    <x v="4"/>
    <x v="10"/>
    <x v="3"/>
    <x v="11"/>
    <n v="331696"/>
    <n v="112560"/>
    <n v="89934"/>
    <n v="7706"/>
    <n v="625"/>
    <n v="1073"/>
    <n v="1633"/>
    <n v="1275"/>
    <n v="0.12272333044232438"/>
    <x v="0"/>
  </r>
  <r>
    <x v="436"/>
    <x v="436"/>
    <x v="4"/>
    <x v="20"/>
    <x v="1"/>
    <x v="12"/>
    <n v="8631"/>
    <n v="821"/>
    <n v="660"/>
    <n v="50"/>
    <n v="8"/>
    <n v="7"/>
    <n v="8"/>
    <n v="16"/>
    <n v="0.11060606060606061"/>
    <x v="1"/>
  </r>
  <r>
    <x v="437"/>
    <x v="437"/>
    <x v="2"/>
    <x v="3"/>
    <x v="2"/>
    <x v="5"/>
    <n v="144177"/>
    <n v="288873"/>
    <n v="246445"/>
    <n v="9039"/>
    <n v="307"/>
    <n v="746"/>
    <n v="9"/>
    <n v="7075"/>
    <n v="4.098683276187385E-2"/>
    <x v="0"/>
  </r>
  <r>
    <x v="438"/>
    <x v="438"/>
    <x v="0"/>
    <x v="6"/>
    <x v="0"/>
    <x v="7"/>
    <n v="444872"/>
    <n v="999838"/>
    <n v="862392"/>
    <n v="46708"/>
    <n v="4799"/>
    <n v="1053"/>
    <n v="6534"/>
    <n v="12276"/>
    <n v="6.8523362925444573E-2"/>
    <x v="0"/>
  </r>
  <r>
    <x v="439"/>
    <x v="439"/>
    <x v="4"/>
    <x v="10"/>
    <x v="4"/>
    <x v="13"/>
    <n v="438378"/>
    <n v="219248"/>
    <n v="188736"/>
    <n v="17527"/>
    <n v="623"/>
    <n v="1261"/>
    <n v="2675"/>
    <n v="5862"/>
    <n v="0.11702060020345879"/>
    <x v="2"/>
  </r>
  <r>
    <x v="440"/>
    <x v="440"/>
    <x v="4"/>
    <x v="21"/>
    <x v="2"/>
    <x v="13"/>
    <n v="606902"/>
    <n v="70522"/>
    <n v="55837"/>
    <n v="3413"/>
    <n v="355"/>
    <n v="484"/>
    <n v="407"/>
    <n v="1828"/>
    <n v="8.343929652381038E-2"/>
    <x v="0"/>
  </r>
  <r>
    <x v="441"/>
    <x v="441"/>
    <x v="0"/>
    <x v="6"/>
    <x v="0"/>
    <x v="10"/>
    <n v="232874"/>
    <n v="109552"/>
    <n v="97255"/>
    <n v="6892"/>
    <n v="691"/>
    <n v="929"/>
    <n v="1341"/>
    <n v="1830"/>
    <n v="0.10131098658166675"/>
    <x v="0"/>
  </r>
  <r>
    <x v="442"/>
    <x v="442"/>
    <x v="2"/>
    <x v="5"/>
    <x v="1"/>
    <x v="5"/>
    <n v="298677"/>
    <n v="38567"/>
    <n v="28092"/>
    <n v="1232"/>
    <n v="148"/>
    <n v="40"/>
    <n v="26"/>
    <n v="1283"/>
    <n v="5.1473729175565995E-2"/>
    <x v="0"/>
  </r>
  <r>
    <x v="443"/>
    <x v="443"/>
    <x v="4"/>
    <x v="14"/>
    <x v="5"/>
    <x v="11"/>
    <n v="712310"/>
    <n v="393145"/>
    <n v="277966"/>
    <n v="9364"/>
    <n v="885"/>
    <n v="939"/>
    <n v="694"/>
    <n v="4608"/>
    <n v="4.2746235151061643E-2"/>
    <x v="0"/>
  </r>
  <r>
    <x v="444"/>
    <x v="444"/>
    <x v="3"/>
    <x v="15"/>
    <x v="0"/>
    <x v="14"/>
    <n v="542922"/>
    <n v="75662"/>
    <n v="68387"/>
    <n v="3500"/>
    <n v="344"/>
    <n v="452"/>
    <n v="7"/>
    <n v="2590"/>
    <n v="6.2921315454691679E-2"/>
    <x v="1"/>
  </r>
  <r>
    <x v="445"/>
    <x v="445"/>
    <x v="4"/>
    <x v="21"/>
    <x v="2"/>
    <x v="17"/>
    <n v="663025"/>
    <n v="130662"/>
    <n v="95977"/>
    <n v="4903"/>
    <n v="471"/>
    <n v="420"/>
    <n v="963"/>
    <n v="1042"/>
    <n v="7.0402283880513034E-2"/>
    <x v="1"/>
  </r>
  <r>
    <x v="446"/>
    <x v="446"/>
    <x v="1"/>
    <x v="1"/>
    <x v="3"/>
    <x v="6"/>
    <n v="259732"/>
    <n v="90903"/>
    <n v="73731"/>
    <n v="2282"/>
    <n v="195"/>
    <n v="269"/>
    <n v="278"/>
    <n v="2268"/>
    <n v="4.1013956137852463E-2"/>
    <x v="0"/>
  </r>
  <r>
    <x v="447"/>
    <x v="447"/>
    <x v="1"/>
    <x v="8"/>
    <x v="3"/>
    <x v="8"/>
    <n v="431691"/>
    <n v="268748"/>
    <n v="235104"/>
    <n v="11208"/>
    <n v="386"/>
    <n v="436"/>
    <n v="582"/>
    <n v="7844"/>
    <n v="5.3644344630461416E-2"/>
    <x v="2"/>
  </r>
  <r>
    <x v="448"/>
    <x v="448"/>
    <x v="1"/>
    <x v="1"/>
    <x v="2"/>
    <x v="8"/>
    <n v="798570"/>
    <n v="4512986"/>
    <n v="4055154"/>
    <n v="105913"/>
    <n v="13211"/>
    <n v="11940"/>
    <n v="19283"/>
    <n v="92937"/>
    <n v="3.7075533999448601E-2"/>
    <x v="0"/>
  </r>
  <r>
    <x v="449"/>
    <x v="449"/>
    <x v="0"/>
    <x v="23"/>
    <x v="5"/>
    <x v="0"/>
    <n v="295871"/>
    <n v="126611"/>
    <n v="108134"/>
    <n v="5921"/>
    <n v="359"/>
    <n v="537"/>
    <n v="1229"/>
    <n v="3109"/>
    <n v="7.4407679360793094E-2"/>
    <x v="1"/>
  </r>
  <r>
    <x v="450"/>
    <x v="450"/>
    <x v="1"/>
    <x v="24"/>
    <x v="2"/>
    <x v="6"/>
    <n v="566039"/>
    <n v="279230"/>
    <n v="249512"/>
    <n v="14304"/>
    <n v="1589"/>
    <n v="683"/>
    <n v="2178"/>
    <n v="4011"/>
    <n v="7.5162717624803616E-2"/>
    <x v="0"/>
  </r>
  <r>
    <x v="451"/>
    <x v="451"/>
    <x v="3"/>
    <x v="18"/>
    <x v="5"/>
    <x v="9"/>
    <n v="814263"/>
    <n v="261350"/>
    <n v="189295"/>
    <n v="6167"/>
    <n v="530"/>
    <n v="626"/>
    <n v="22"/>
    <n v="2277"/>
    <n v="3.880187009693864E-2"/>
    <x v="1"/>
  </r>
  <r>
    <x v="452"/>
    <x v="452"/>
    <x v="4"/>
    <x v="20"/>
    <x v="5"/>
    <x v="17"/>
    <n v="847010"/>
    <n v="348551"/>
    <n v="312564"/>
    <n v="20099"/>
    <n v="2210"/>
    <n v="1958"/>
    <n v="2413"/>
    <n v="4718"/>
    <n v="8.5358518575395753E-2"/>
    <x v="1"/>
  </r>
  <r>
    <x v="453"/>
    <x v="453"/>
    <x v="2"/>
    <x v="2"/>
    <x v="4"/>
    <x v="5"/>
    <n v="112838"/>
    <n v="46483"/>
    <n v="40499"/>
    <n v="2196"/>
    <n v="114"/>
    <n v="165"/>
    <n v="26"/>
    <n v="346"/>
    <n v="6.1754611224968517E-2"/>
    <x v="0"/>
  </r>
  <r>
    <x v="454"/>
    <x v="454"/>
    <x v="2"/>
    <x v="19"/>
    <x v="5"/>
    <x v="2"/>
    <n v="619313"/>
    <n v="324476"/>
    <n v="268843"/>
    <n v="18880"/>
    <n v="3388"/>
    <n v="2068"/>
    <n v="31"/>
    <n v="8745"/>
    <n v="9.0636542517380028E-2"/>
    <x v="0"/>
  </r>
  <r>
    <x v="455"/>
    <x v="455"/>
    <x v="2"/>
    <x v="16"/>
    <x v="0"/>
    <x v="15"/>
    <n v="730705"/>
    <n v="255609"/>
    <n v="187746"/>
    <n v="13685"/>
    <n v="2302"/>
    <n v="484"/>
    <n v="26"/>
    <n v="2124"/>
    <n v="8.7868716244287493E-2"/>
    <x v="0"/>
  </r>
  <r>
    <x v="456"/>
    <x v="456"/>
    <x v="4"/>
    <x v="14"/>
    <x v="5"/>
    <x v="11"/>
    <n v="320491"/>
    <n v="30750"/>
    <n v="22486"/>
    <n v="1702"/>
    <n v="63"/>
    <n v="231"/>
    <n v="387"/>
    <n v="352"/>
    <n v="0.10597705238815262"/>
    <x v="1"/>
  </r>
  <r>
    <x v="457"/>
    <x v="457"/>
    <x v="0"/>
    <x v="22"/>
    <x v="2"/>
    <x v="7"/>
    <n v="507050"/>
    <n v="204080"/>
    <n v="177936"/>
    <n v="9900"/>
    <n v="1366"/>
    <n v="977"/>
    <n v="2003"/>
    <n v="4110"/>
    <n v="8.0062494380001792E-2"/>
    <x v="0"/>
  </r>
  <r>
    <x v="458"/>
    <x v="458"/>
    <x v="0"/>
    <x v="22"/>
    <x v="1"/>
    <x v="10"/>
    <n v="656380"/>
    <n v="139617"/>
    <n v="108144"/>
    <n v="3176"/>
    <n v="414"/>
    <n v="246"/>
    <n v="334"/>
    <n v="1068"/>
    <n v="3.8559698180204174E-2"/>
    <x v="0"/>
  </r>
  <r>
    <x v="459"/>
    <x v="459"/>
    <x v="0"/>
    <x v="13"/>
    <x v="4"/>
    <x v="0"/>
    <n v="677692"/>
    <n v="128546"/>
    <n v="105305"/>
    <n v="8414"/>
    <n v="1460"/>
    <n v="738"/>
    <n v="1683"/>
    <n v="2581"/>
    <n v="0.11675608945444185"/>
    <x v="0"/>
  </r>
  <r>
    <x v="460"/>
    <x v="460"/>
    <x v="0"/>
    <x v="0"/>
    <x v="0"/>
    <x v="10"/>
    <n v="610205"/>
    <n v="329477"/>
    <n v="253860"/>
    <n v="18231"/>
    <n v="1890"/>
    <n v="2577"/>
    <n v="2151"/>
    <n v="3431"/>
    <n v="9.7884660836681639E-2"/>
    <x v="0"/>
  </r>
  <r>
    <x v="461"/>
    <x v="461"/>
    <x v="4"/>
    <x v="10"/>
    <x v="2"/>
    <x v="17"/>
    <n v="301712"/>
    <n v="68086"/>
    <n v="49970"/>
    <n v="5251"/>
    <n v="692"/>
    <n v="145"/>
    <n v="1271"/>
    <n v="711"/>
    <n v="0.14726836101660998"/>
    <x v="1"/>
  </r>
  <r>
    <x v="462"/>
    <x v="462"/>
    <x v="1"/>
    <x v="1"/>
    <x v="5"/>
    <x v="1"/>
    <n v="396254"/>
    <n v="234866"/>
    <n v="174872"/>
    <n v="15296"/>
    <n v="1803"/>
    <n v="1286"/>
    <n v="3066"/>
    <n v="3887"/>
    <n v="0.12266686490690333"/>
    <x v="0"/>
  </r>
  <r>
    <x v="463"/>
    <x v="463"/>
    <x v="2"/>
    <x v="19"/>
    <x v="3"/>
    <x v="15"/>
    <n v="429788"/>
    <n v="258229"/>
    <n v="196051"/>
    <n v="20092"/>
    <n v="2637"/>
    <n v="1045"/>
    <n v="35"/>
    <n v="6338"/>
    <n v="0.12144288986029146"/>
    <x v="0"/>
  </r>
  <r>
    <x v="464"/>
    <x v="464"/>
    <x v="3"/>
    <x v="4"/>
    <x v="0"/>
    <x v="4"/>
    <n v="569192"/>
    <n v="299254"/>
    <n v="272193"/>
    <n v="23246"/>
    <n v="2633"/>
    <n v="591"/>
    <n v="29"/>
    <n v="10124"/>
    <n v="9.7353715929505896E-2"/>
    <x v="1"/>
  </r>
  <r>
    <x v="465"/>
    <x v="465"/>
    <x v="2"/>
    <x v="3"/>
    <x v="1"/>
    <x v="3"/>
    <n v="715529"/>
    <n v="200568"/>
    <n v="149785"/>
    <n v="14128"/>
    <n v="1019"/>
    <n v="579"/>
    <n v="34"/>
    <n v="4390"/>
    <n v="0.10521747838568615"/>
    <x v="0"/>
  </r>
  <r>
    <x v="466"/>
    <x v="466"/>
    <x v="1"/>
    <x v="7"/>
    <x v="5"/>
    <x v="8"/>
    <n v="223592"/>
    <n v="139907"/>
    <n v="125141"/>
    <n v="10734"/>
    <n v="1344"/>
    <n v="1581"/>
    <n v="2056"/>
    <n v="1845"/>
    <n v="0.12557834762388026"/>
    <x v="1"/>
  </r>
  <r>
    <x v="467"/>
    <x v="467"/>
    <x v="3"/>
    <x v="15"/>
    <x v="2"/>
    <x v="14"/>
    <n v="142721"/>
    <n v="11584"/>
    <n v="8119"/>
    <n v="238"/>
    <n v="13"/>
    <n v="21"/>
    <n v="44"/>
    <n v="302"/>
    <n v="3.8921049390319006E-2"/>
    <x v="1"/>
  </r>
  <r>
    <x v="468"/>
    <x v="468"/>
    <x v="4"/>
    <x v="21"/>
    <x v="2"/>
    <x v="13"/>
    <n v="707400"/>
    <n v="448535"/>
    <n v="395627"/>
    <n v="18604"/>
    <n v="1052"/>
    <n v="2229"/>
    <n v="3523"/>
    <n v="2356"/>
    <n v="6.4222108197873246E-2"/>
    <x v="0"/>
  </r>
  <r>
    <x v="469"/>
    <x v="469"/>
    <x v="4"/>
    <x v="14"/>
    <x v="4"/>
    <x v="11"/>
    <n v="203314"/>
    <n v="87356"/>
    <n v="76685"/>
    <n v="2906"/>
    <n v="514"/>
    <n v="423"/>
    <n v="166"/>
    <n v="1728"/>
    <n v="5.2278802894959904E-2"/>
    <x v="1"/>
  </r>
  <r>
    <x v="470"/>
    <x v="470"/>
    <x v="2"/>
    <x v="19"/>
    <x v="5"/>
    <x v="2"/>
    <n v="181258"/>
    <n v="82673"/>
    <n v="70096"/>
    <n v="4644"/>
    <n v="261"/>
    <n v="447"/>
    <n v="47"/>
    <n v="574"/>
    <n v="7.7022939968043824E-2"/>
    <x v="0"/>
  </r>
  <r>
    <x v="471"/>
    <x v="471"/>
    <x v="0"/>
    <x v="0"/>
    <x v="4"/>
    <x v="0"/>
    <n v="729148"/>
    <n v="313708"/>
    <n v="258252"/>
    <n v="14818"/>
    <n v="2529"/>
    <n v="1531"/>
    <n v="3535"/>
    <n v="2056"/>
    <n v="8.6787324009107381E-2"/>
    <x v="2"/>
  </r>
  <r>
    <x v="472"/>
    <x v="472"/>
    <x v="3"/>
    <x v="9"/>
    <x v="3"/>
    <x v="4"/>
    <n v="544883"/>
    <n v="318084"/>
    <n v="225945"/>
    <n v="23889"/>
    <n v="2624"/>
    <n v="1459"/>
    <n v="25"/>
    <n v="3447"/>
    <n v="0.12391068622894952"/>
    <x v="0"/>
  </r>
  <r>
    <x v="473"/>
    <x v="473"/>
    <x v="2"/>
    <x v="19"/>
    <x v="0"/>
    <x v="5"/>
    <n v="174971"/>
    <n v="20265"/>
    <n v="14616"/>
    <n v="988"/>
    <n v="149"/>
    <n v="95"/>
    <n v="40"/>
    <n v="669"/>
    <n v="8.7027914614121515E-2"/>
    <x v="1"/>
  </r>
  <r>
    <x v="474"/>
    <x v="474"/>
    <x v="0"/>
    <x v="22"/>
    <x v="5"/>
    <x v="10"/>
    <n v="835185"/>
    <n v="101524"/>
    <n v="84904"/>
    <n v="6684"/>
    <n v="827"/>
    <n v="636"/>
    <n v="448"/>
    <n v="692"/>
    <n v="0.101231979647602"/>
    <x v="0"/>
  </r>
  <r>
    <x v="475"/>
    <x v="475"/>
    <x v="1"/>
    <x v="17"/>
    <x v="3"/>
    <x v="6"/>
    <n v="318615"/>
    <n v="103915"/>
    <n v="88230"/>
    <n v="5565"/>
    <n v="413"/>
    <n v="387"/>
    <n v="384"/>
    <n v="2863"/>
    <n v="7.6493256262042383E-2"/>
    <x v="0"/>
  </r>
  <r>
    <x v="476"/>
    <x v="476"/>
    <x v="2"/>
    <x v="16"/>
    <x v="3"/>
    <x v="2"/>
    <n v="652838"/>
    <n v="178604"/>
    <n v="155786"/>
    <n v="8438"/>
    <n v="668"/>
    <n v="379"/>
    <n v="6"/>
    <n v="958"/>
    <n v="6.0923317884790676E-2"/>
    <x v="1"/>
  </r>
  <r>
    <x v="477"/>
    <x v="477"/>
    <x v="1"/>
    <x v="7"/>
    <x v="5"/>
    <x v="1"/>
    <n v="443957"/>
    <n v="192626"/>
    <n v="145142"/>
    <n v="13064"/>
    <n v="510"/>
    <n v="790"/>
    <n v="1791"/>
    <n v="6509"/>
    <n v="0.11130479117002659"/>
    <x v="1"/>
  </r>
  <r>
    <x v="478"/>
    <x v="478"/>
    <x v="1"/>
    <x v="8"/>
    <x v="3"/>
    <x v="1"/>
    <n v="635136"/>
    <n v="184337"/>
    <n v="150029"/>
    <n v="10960"/>
    <n v="566"/>
    <n v="557"/>
    <n v="2343"/>
    <n v="4015"/>
    <n v="9.615474341627285E-2"/>
    <x v="0"/>
  </r>
  <r>
    <x v="479"/>
    <x v="479"/>
    <x v="1"/>
    <x v="17"/>
    <x v="5"/>
    <x v="16"/>
    <n v="702802"/>
    <n v="333373"/>
    <n v="277348"/>
    <n v="13291"/>
    <n v="1551"/>
    <n v="1929"/>
    <n v="2302"/>
    <n v="5854"/>
    <n v="6.8769199705784795E-2"/>
    <x v="0"/>
  </r>
  <r>
    <x v="480"/>
    <x v="480"/>
    <x v="4"/>
    <x v="12"/>
    <x v="4"/>
    <x v="17"/>
    <n v="491699"/>
    <n v="106325"/>
    <n v="92400"/>
    <n v="7323"/>
    <n v="1106"/>
    <n v="504"/>
    <n v="952"/>
    <n v="3166"/>
    <n v="0.10698051948051948"/>
    <x v="0"/>
  </r>
  <r>
    <x v="481"/>
    <x v="481"/>
    <x v="3"/>
    <x v="11"/>
    <x v="0"/>
    <x v="4"/>
    <n v="464301"/>
    <n v="192146"/>
    <n v="149716"/>
    <n v="15087"/>
    <n v="903"/>
    <n v="858"/>
    <n v="14"/>
    <n v="6064"/>
    <n v="0.11262657297817201"/>
    <x v="1"/>
  </r>
  <r>
    <x v="482"/>
    <x v="482"/>
    <x v="1"/>
    <x v="17"/>
    <x v="0"/>
    <x v="1"/>
    <n v="108605"/>
    <n v="493993"/>
    <n v="416965"/>
    <n v="36111"/>
    <n v="2916"/>
    <n v="1709"/>
    <n v="5100"/>
    <n v="7947"/>
    <n v="0.10992769177269075"/>
    <x v="0"/>
  </r>
  <r>
    <x v="483"/>
    <x v="483"/>
    <x v="2"/>
    <x v="19"/>
    <x v="2"/>
    <x v="5"/>
    <n v="139648"/>
    <n v="26429"/>
    <n v="22537"/>
    <n v="1032"/>
    <n v="97"/>
    <n v="105"/>
    <n v="2"/>
    <n v="737"/>
    <n v="5.4843146825220748E-2"/>
    <x v="0"/>
  </r>
  <r>
    <x v="484"/>
    <x v="484"/>
    <x v="1"/>
    <x v="24"/>
    <x v="0"/>
    <x v="6"/>
    <n v="662535"/>
    <n v="382630"/>
    <n v="349358"/>
    <n v="27989"/>
    <n v="1718"/>
    <n v="855"/>
    <n v="4034"/>
    <n v="9529"/>
    <n v="9.9027358755202397E-2"/>
    <x v="0"/>
  </r>
  <r>
    <x v="485"/>
    <x v="485"/>
    <x v="3"/>
    <x v="15"/>
    <x v="3"/>
    <x v="14"/>
    <n v="489319"/>
    <n v="237866"/>
    <n v="202850"/>
    <n v="14971"/>
    <n v="1560"/>
    <n v="821"/>
    <n v="25"/>
    <n v="5742"/>
    <n v="8.5664283953660339E-2"/>
    <x v="1"/>
  </r>
  <r>
    <x v="486"/>
    <x v="486"/>
    <x v="1"/>
    <x v="1"/>
    <x v="0"/>
    <x v="8"/>
    <n v="231712"/>
    <n v="135913"/>
    <n v="99839"/>
    <n v="9588"/>
    <n v="653"/>
    <n v="297"/>
    <n v="1920"/>
    <n v="1882"/>
    <n v="0.12478089724456375"/>
    <x v="0"/>
  </r>
  <r>
    <x v="487"/>
    <x v="487"/>
    <x v="3"/>
    <x v="18"/>
    <x v="5"/>
    <x v="4"/>
    <n v="475566"/>
    <n v="148901"/>
    <n v="120529"/>
    <n v="5417"/>
    <n v="182"/>
    <n v="419"/>
    <n v="16"/>
    <n v="3627"/>
    <n v="5.0062640526346354E-2"/>
    <x v="0"/>
  </r>
  <r>
    <x v="488"/>
    <x v="488"/>
    <x v="3"/>
    <x v="18"/>
    <x v="4"/>
    <x v="9"/>
    <n v="826547"/>
    <n v="173420"/>
    <n v="124116"/>
    <n v="3866"/>
    <n v="232"/>
    <n v="176"/>
    <n v="21"/>
    <n v="2167"/>
    <n v="3.4604724612459309E-2"/>
    <x v="1"/>
  </r>
  <r>
    <x v="489"/>
    <x v="489"/>
    <x v="1"/>
    <x v="7"/>
    <x v="0"/>
    <x v="1"/>
    <n v="11448"/>
    <n v="2754"/>
    <n v="2402"/>
    <n v="121"/>
    <n v="10"/>
    <n v="11"/>
    <n v="21"/>
    <n v="52"/>
    <n v="6.7860116569525397E-2"/>
    <x v="0"/>
  </r>
  <r>
    <x v="490"/>
    <x v="490"/>
    <x v="1"/>
    <x v="8"/>
    <x v="4"/>
    <x v="16"/>
    <n v="499984"/>
    <n v="207289"/>
    <n v="179652"/>
    <n v="13131"/>
    <n v="1302"/>
    <n v="1614"/>
    <n v="1478"/>
    <n v="2204"/>
    <n v="9.7549707211720432E-2"/>
    <x v="1"/>
  </r>
  <r>
    <x v="491"/>
    <x v="491"/>
    <x v="2"/>
    <x v="2"/>
    <x v="2"/>
    <x v="3"/>
    <n v="148199"/>
    <n v="22697"/>
    <n v="15936"/>
    <n v="1557"/>
    <n v="241"/>
    <n v="99"/>
    <n v="26"/>
    <n v="403"/>
    <n v="0.12067018072289157"/>
    <x v="1"/>
  </r>
  <r>
    <x v="492"/>
    <x v="492"/>
    <x v="0"/>
    <x v="13"/>
    <x v="2"/>
    <x v="10"/>
    <n v="826007"/>
    <n v="1756178"/>
    <n v="1448850"/>
    <n v="119330"/>
    <n v="19935"/>
    <n v="11289"/>
    <n v="15295"/>
    <n v="28870"/>
    <n v="0.11446940677088725"/>
    <x v="2"/>
  </r>
  <r>
    <x v="493"/>
    <x v="493"/>
    <x v="2"/>
    <x v="19"/>
    <x v="5"/>
    <x v="2"/>
    <n v="672543"/>
    <n v="89547"/>
    <n v="75978"/>
    <n v="2745"/>
    <n v="422"/>
    <n v="270"/>
    <n v="1"/>
    <n v="949"/>
    <n v="4.5249940772328835E-2"/>
    <x v="0"/>
  </r>
  <r>
    <x v="494"/>
    <x v="494"/>
    <x v="0"/>
    <x v="13"/>
    <x v="2"/>
    <x v="7"/>
    <n v="62744"/>
    <n v="5414"/>
    <n v="4813"/>
    <n v="241"/>
    <n v="12"/>
    <n v="8"/>
    <n v="37"/>
    <n v="104"/>
    <n v="6.1915645127778932E-2"/>
    <x v="0"/>
  </r>
  <r>
    <x v="495"/>
    <x v="495"/>
    <x v="1"/>
    <x v="24"/>
    <x v="3"/>
    <x v="8"/>
    <n v="168994"/>
    <n v="103985"/>
    <n v="77432"/>
    <n v="6551"/>
    <n v="647"/>
    <n v="302"/>
    <n v="1626"/>
    <n v="1910"/>
    <n v="0.1178582498191962"/>
    <x v="1"/>
  </r>
  <r>
    <x v="496"/>
    <x v="496"/>
    <x v="3"/>
    <x v="9"/>
    <x v="3"/>
    <x v="4"/>
    <n v="606618"/>
    <n v="1158617"/>
    <n v="1035593"/>
    <n v="54893"/>
    <n v="7413"/>
    <n v="6176"/>
    <n v="19"/>
    <n v="19386"/>
    <n v="6.6146642551658807E-2"/>
    <x v="1"/>
  </r>
  <r>
    <x v="497"/>
    <x v="497"/>
    <x v="1"/>
    <x v="7"/>
    <x v="4"/>
    <x v="8"/>
    <n v="482567"/>
    <n v="219894"/>
    <n v="181433"/>
    <n v="9590"/>
    <n v="1648"/>
    <n v="490"/>
    <n v="2149"/>
    <n v="2905"/>
    <n v="7.6485534605060815E-2"/>
    <x v="1"/>
  </r>
  <r>
    <x v="498"/>
    <x v="498"/>
    <x v="1"/>
    <x v="1"/>
    <x v="3"/>
    <x v="6"/>
    <n v="389143"/>
    <n v="54471"/>
    <n v="47471"/>
    <n v="2429"/>
    <n v="132"/>
    <n v="114"/>
    <n v="143"/>
    <n v="316"/>
    <n v="5.9362558193423356E-2"/>
    <x v="1"/>
  </r>
  <r>
    <x v="499"/>
    <x v="499"/>
    <x v="0"/>
    <x v="6"/>
    <x v="0"/>
    <x v="7"/>
    <n v="42109"/>
    <n v="84894"/>
    <n v="65535"/>
    <n v="5511"/>
    <n v="566"/>
    <n v="159"/>
    <n v="880"/>
    <n v="1041"/>
    <n v="0.10858319981689174"/>
    <x v="2"/>
  </r>
  <r>
    <x v="500"/>
    <x v="500"/>
    <x v="1"/>
    <x v="8"/>
    <x v="2"/>
    <x v="6"/>
    <n v="188346"/>
    <n v="72466"/>
    <n v="53411"/>
    <n v="4368"/>
    <n v="138"/>
    <n v="242"/>
    <n v="603"/>
    <n v="749"/>
    <n v="0.1001853550766696"/>
    <x v="1"/>
  </r>
  <r>
    <x v="501"/>
    <x v="501"/>
    <x v="2"/>
    <x v="19"/>
    <x v="4"/>
    <x v="15"/>
    <n v="412093"/>
    <n v="137256"/>
    <n v="96220"/>
    <n v="9106"/>
    <n v="1320"/>
    <n v="1281"/>
    <n v="23"/>
    <n v="4428"/>
    <n v="0.12190812720848057"/>
    <x v="0"/>
  </r>
  <r>
    <x v="502"/>
    <x v="502"/>
    <x v="0"/>
    <x v="0"/>
    <x v="4"/>
    <x v="10"/>
    <n v="68740"/>
    <n v="40068"/>
    <n v="35411"/>
    <n v="2397"/>
    <n v="332"/>
    <n v="61"/>
    <n v="365"/>
    <n v="1180"/>
    <n v="8.9096608398520238E-2"/>
    <x v="0"/>
  </r>
  <r>
    <x v="503"/>
    <x v="503"/>
    <x v="3"/>
    <x v="9"/>
    <x v="3"/>
    <x v="9"/>
    <n v="246197"/>
    <n v="69734"/>
    <n v="49043"/>
    <n v="4131"/>
    <n v="131"/>
    <n v="196"/>
    <n v="14"/>
    <n v="486"/>
    <n v="9.1185286381338826E-2"/>
    <x v="1"/>
  </r>
  <r>
    <x v="504"/>
    <x v="504"/>
    <x v="4"/>
    <x v="12"/>
    <x v="3"/>
    <x v="11"/>
    <n v="807329"/>
    <n v="516987"/>
    <n v="442932"/>
    <n v="34884"/>
    <n v="5872"/>
    <n v="3278"/>
    <n v="3501"/>
    <n v="4054"/>
    <n v="0.10731895640865867"/>
    <x v="0"/>
  </r>
  <r>
    <x v="505"/>
    <x v="505"/>
    <x v="1"/>
    <x v="24"/>
    <x v="0"/>
    <x v="1"/>
    <n v="701240"/>
    <n v="190043"/>
    <n v="171164"/>
    <n v="8919"/>
    <n v="951"/>
    <n v="1038"/>
    <n v="1343"/>
    <n v="4967"/>
    <n v="7.1574630179243301E-2"/>
    <x v="0"/>
  </r>
  <r>
    <x v="506"/>
    <x v="506"/>
    <x v="4"/>
    <x v="14"/>
    <x v="0"/>
    <x v="13"/>
    <n v="796529"/>
    <n v="99766"/>
    <n v="78056"/>
    <n v="3770"/>
    <n v="198"/>
    <n v="175"/>
    <n v="217"/>
    <n v="3262"/>
    <n v="5.5857333196679307E-2"/>
    <x v="0"/>
  </r>
  <r>
    <x v="507"/>
    <x v="507"/>
    <x v="1"/>
    <x v="24"/>
    <x v="5"/>
    <x v="6"/>
    <n v="548674"/>
    <n v="173649"/>
    <n v="132574"/>
    <n v="3719"/>
    <n v="584"/>
    <n v="234"/>
    <n v="366"/>
    <n v="3677"/>
    <n v="3.6983118861918629E-2"/>
    <x v="2"/>
  </r>
  <r>
    <x v="508"/>
    <x v="508"/>
    <x v="1"/>
    <x v="7"/>
    <x v="3"/>
    <x v="1"/>
    <n v="194961"/>
    <n v="16268"/>
    <n v="11638"/>
    <n v="513"/>
    <n v="64"/>
    <n v="19"/>
    <n v="46"/>
    <n v="126"/>
    <n v="5.5164117545970101E-2"/>
    <x v="0"/>
  </r>
  <r>
    <x v="509"/>
    <x v="509"/>
    <x v="4"/>
    <x v="20"/>
    <x v="4"/>
    <x v="13"/>
    <n v="329092"/>
    <n v="63381"/>
    <n v="46826"/>
    <n v="2214"/>
    <n v="161"/>
    <n v="173"/>
    <n v="392"/>
    <n v="833"/>
    <n v="6.2785631913893997E-2"/>
    <x v="1"/>
  </r>
  <r>
    <x v="510"/>
    <x v="510"/>
    <x v="1"/>
    <x v="1"/>
    <x v="3"/>
    <x v="8"/>
    <n v="532337"/>
    <n v="174103"/>
    <n v="153265"/>
    <n v="11771"/>
    <n v="388"/>
    <n v="819"/>
    <n v="2599"/>
    <n v="4834"/>
    <n v="0.10163442403679901"/>
    <x v="2"/>
  </r>
  <r>
    <x v="511"/>
    <x v="511"/>
    <x v="1"/>
    <x v="24"/>
    <x v="3"/>
    <x v="8"/>
    <n v="323204"/>
    <n v="94968"/>
    <n v="76523"/>
    <n v="3798"/>
    <n v="521"/>
    <n v="172"/>
    <n v="885"/>
    <n v="486"/>
    <n v="7.0253387870313502E-2"/>
    <x v="1"/>
  </r>
  <r>
    <x v="512"/>
    <x v="512"/>
    <x v="2"/>
    <x v="16"/>
    <x v="3"/>
    <x v="3"/>
    <n v="405192"/>
    <n v="180471"/>
    <n v="129157"/>
    <n v="13192"/>
    <n v="2359"/>
    <n v="477"/>
    <n v="36"/>
    <n v="1781"/>
    <n v="0.12437575973427689"/>
    <x v="1"/>
  </r>
  <r>
    <x v="513"/>
    <x v="513"/>
    <x v="2"/>
    <x v="3"/>
    <x v="4"/>
    <x v="15"/>
    <n v="685024"/>
    <n v="220374"/>
    <n v="166011"/>
    <n v="4863"/>
    <n v="739"/>
    <n v="496"/>
    <n v="43"/>
    <n v="1288"/>
    <n v="3.6991524658004593E-2"/>
    <x v="1"/>
  </r>
  <r>
    <x v="514"/>
    <x v="514"/>
    <x v="1"/>
    <x v="24"/>
    <x v="0"/>
    <x v="16"/>
    <n v="15436"/>
    <n v="2047"/>
    <n v="1845"/>
    <n v="89"/>
    <n v="10"/>
    <n v="12"/>
    <n v="13"/>
    <n v="21"/>
    <n v="6.7208672086720864E-2"/>
    <x v="0"/>
  </r>
  <r>
    <x v="515"/>
    <x v="515"/>
    <x v="0"/>
    <x v="13"/>
    <x v="1"/>
    <x v="10"/>
    <n v="403882"/>
    <n v="201271"/>
    <n v="179696"/>
    <n v="12812"/>
    <n v="555"/>
    <n v="1315"/>
    <n v="2630"/>
    <n v="3085"/>
    <n v="9.6340486154394084E-2"/>
    <x v="0"/>
  </r>
  <r>
    <x v="516"/>
    <x v="516"/>
    <x v="2"/>
    <x v="3"/>
    <x v="2"/>
    <x v="5"/>
    <n v="518109"/>
    <n v="939998"/>
    <n v="744407"/>
    <n v="42309"/>
    <n v="3099"/>
    <n v="3216"/>
    <n v="11"/>
    <n v="15265"/>
    <n v="6.5333883211737664E-2"/>
    <x v="1"/>
  </r>
  <r>
    <x v="517"/>
    <x v="517"/>
    <x v="4"/>
    <x v="20"/>
    <x v="1"/>
    <x v="17"/>
    <n v="197155"/>
    <n v="100046"/>
    <n v="86741"/>
    <n v="3557"/>
    <n v="588"/>
    <n v="260"/>
    <n v="623"/>
    <n v="2374"/>
    <n v="5.7965667907909753E-2"/>
    <x v="1"/>
  </r>
  <r>
    <x v="518"/>
    <x v="518"/>
    <x v="2"/>
    <x v="19"/>
    <x v="5"/>
    <x v="15"/>
    <n v="361272"/>
    <n v="923595"/>
    <n v="783224"/>
    <n v="24058"/>
    <n v="942"/>
    <n v="2832"/>
    <n v="0"/>
    <n v="23052"/>
    <n v="3.5535172568767044E-2"/>
    <x v="1"/>
  </r>
  <r>
    <x v="519"/>
    <x v="519"/>
    <x v="4"/>
    <x v="20"/>
    <x v="1"/>
    <x v="11"/>
    <n v="512030"/>
    <n v="139326"/>
    <n v="107844"/>
    <n v="8486"/>
    <n v="691"/>
    <n v="517"/>
    <n v="830"/>
    <n v="2206"/>
    <n v="9.7585401134972743E-2"/>
    <x v="0"/>
  </r>
  <r>
    <x v="520"/>
    <x v="520"/>
    <x v="0"/>
    <x v="22"/>
    <x v="2"/>
    <x v="7"/>
    <n v="734729"/>
    <n v="408648"/>
    <n v="288362"/>
    <n v="11186"/>
    <n v="1225"/>
    <n v="1606"/>
    <n v="2240"/>
    <n v="5090"/>
    <n v="5.6377053842045763E-2"/>
    <x v="0"/>
  </r>
  <r>
    <x v="521"/>
    <x v="521"/>
    <x v="3"/>
    <x v="9"/>
    <x v="4"/>
    <x v="9"/>
    <n v="5781"/>
    <n v="3617"/>
    <n v="2788"/>
    <n v="209"/>
    <n v="33"/>
    <n v="30"/>
    <n v="47"/>
    <n v="53"/>
    <n v="0.11441893830703014"/>
    <x v="0"/>
  </r>
  <r>
    <x v="522"/>
    <x v="522"/>
    <x v="3"/>
    <x v="11"/>
    <x v="5"/>
    <x v="4"/>
    <n v="501750"/>
    <n v="285268"/>
    <n v="245770"/>
    <n v="10735"/>
    <n v="636"/>
    <n v="414"/>
    <n v="33"/>
    <n v="8925"/>
    <n v="4.8085608495748056E-2"/>
    <x v="1"/>
  </r>
  <r>
    <x v="523"/>
    <x v="523"/>
    <x v="2"/>
    <x v="19"/>
    <x v="5"/>
    <x v="2"/>
    <n v="178716"/>
    <n v="111586"/>
    <n v="94377"/>
    <n v="3844"/>
    <n v="237"/>
    <n v="453"/>
    <n v="42"/>
    <n v="2900"/>
    <n v="4.8486389692403868E-2"/>
    <x v="0"/>
  </r>
  <r>
    <x v="524"/>
    <x v="524"/>
    <x v="0"/>
    <x v="6"/>
    <x v="5"/>
    <x v="0"/>
    <n v="756609"/>
    <n v="265942"/>
    <n v="193361"/>
    <n v="7485"/>
    <n v="824"/>
    <n v="855"/>
    <n v="509"/>
    <n v="6848"/>
    <n v="5.0025599784858377E-2"/>
    <x v="1"/>
  </r>
  <r>
    <x v="525"/>
    <x v="525"/>
    <x v="0"/>
    <x v="6"/>
    <x v="4"/>
    <x v="10"/>
    <n v="774254"/>
    <n v="350531"/>
    <n v="288703"/>
    <n v="25016"/>
    <n v="3784"/>
    <n v="1227"/>
    <n v="1829"/>
    <n v="2674"/>
    <n v="0.11034176991579582"/>
    <x v="0"/>
  </r>
  <r>
    <x v="526"/>
    <x v="526"/>
    <x v="4"/>
    <x v="21"/>
    <x v="5"/>
    <x v="17"/>
    <n v="331094"/>
    <n v="135365"/>
    <n v="104011"/>
    <n v="7499"/>
    <n v="438"/>
    <n v="528"/>
    <n v="1010"/>
    <n v="3808"/>
    <n v="9.1096134062743361E-2"/>
    <x v="1"/>
  </r>
  <r>
    <x v="527"/>
    <x v="527"/>
    <x v="3"/>
    <x v="18"/>
    <x v="0"/>
    <x v="9"/>
    <n v="417015"/>
    <n v="2225037"/>
    <n v="1628358"/>
    <n v="170378"/>
    <n v="26507"/>
    <n v="14478"/>
    <n v="29"/>
    <n v="20965"/>
    <n v="0.12981911840025351"/>
    <x v="0"/>
  </r>
  <r>
    <x v="528"/>
    <x v="528"/>
    <x v="4"/>
    <x v="21"/>
    <x v="5"/>
    <x v="11"/>
    <n v="529281"/>
    <n v="79590"/>
    <n v="65763"/>
    <n v="4605"/>
    <n v="287"/>
    <n v="266"/>
    <n v="1120"/>
    <n v="538"/>
    <n v="9.5464014719523135E-2"/>
    <x v="1"/>
  </r>
  <r>
    <x v="529"/>
    <x v="529"/>
    <x v="1"/>
    <x v="17"/>
    <x v="0"/>
    <x v="8"/>
    <n v="765229"/>
    <n v="490589"/>
    <n v="441884"/>
    <n v="14497"/>
    <n v="481"/>
    <n v="1029"/>
    <n v="1949"/>
    <n v="9420"/>
    <n v="4.063509880421106E-2"/>
    <x v="0"/>
  </r>
  <r>
    <x v="530"/>
    <x v="530"/>
    <x v="0"/>
    <x v="23"/>
    <x v="4"/>
    <x v="0"/>
    <n v="737665"/>
    <n v="224582"/>
    <n v="173186"/>
    <n v="15154"/>
    <n v="2422"/>
    <n v="409"/>
    <n v="3590"/>
    <n v="3171"/>
    <n v="0.12457704433383761"/>
    <x v="1"/>
  </r>
  <r>
    <x v="531"/>
    <x v="531"/>
    <x v="2"/>
    <x v="3"/>
    <x v="0"/>
    <x v="5"/>
    <n v="231232"/>
    <n v="44286"/>
    <n v="31089"/>
    <n v="2814"/>
    <n v="327"/>
    <n v="304"/>
    <n v="9"/>
    <n v="721"/>
    <n v="0.11110038920518511"/>
    <x v="2"/>
  </r>
  <r>
    <x v="532"/>
    <x v="532"/>
    <x v="4"/>
    <x v="14"/>
    <x v="3"/>
    <x v="17"/>
    <n v="57521"/>
    <n v="21501"/>
    <n v="17857"/>
    <n v="1681"/>
    <n v="208"/>
    <n v="121"/>
    <n v="95"/>
    <n v="262"/>
    <n v="0.11788094304754439"/>
    <x v="0"/>
  </r>
  <r>
    <x v="533"/>
    <x v="533"/>
    <x v="2"/>
    <x v="19"/>
    <x v="3"/>
    <x v="2"/>
    <n v="291084"/>
    <n v="97139"/>
    <n v="70561"/>
    <n v="2424"/>
    <n v="250"/>
    <n v="259"/>
    <n v="32"/>
    <n v="1141"/>
    <n v="4.2020379529768566E-2"/>
    <x v="0"/>
  </r>
  <r>
    <x v="534"/>
    <x v="534"/>
    <x v="4"/>
    <x v="21"/>
    <x v="0"/>
    <x v="13"/>
    <n v="510211"/>
    <n v="245187"/>
    <n v="202454"/>
    <n v="6366"/>
    <n v="251"/>
    <n v="879"/>
    <n v="1330"/>
    <n v="2585"/>
    <n v="4.3595088266964351E-2"/>
    <x v="1"/>
  </r>
  <r>
    <x v="535"/>
    <x v="535"/>
    <x v="3"/>
    <x v="18"/>
    <x v="3"/>
    <x v="9"/>
    <n v="546607"/>
    <n v="211656"/>
    <n v="184948"/>
    <n v="5808"/>
    <n v="830"/>
    <n v="845"/>
    <n v="7"/>
    <n v="2205"/>
    <n v="4.0497869671475228E-2"/>
    <x v="0"/>
  </r>
  <r>
    <x v="536"/>
    <x v="536"/>
    <x v="0"/>
    <x v="22"/>
    <x v="2"/>
    <x v="0"/>
    <n v="605516"/>
    <n v="104082"/>
    <n v="78736"/>
    <n v="6784"/>
    <n v="289"/>
    <n v="245"/>
    <n v="744"/>
    <n v="3537"/>
    <n v="0.10239280634017477"/>
    <x v="0"/>
  </r>
  <r>
    <x v="537"/>
    <x v="537"/>
    <x v="4"/>
    <x v="21"/>
    <x v="5"/>
    <x v="13"/>
    <n v="149148"/>
    <n v="71025"/>
    <n v="63948"/>
    <n v="5668"/>
    <n v="685"/>
    <n v="489"/>
    <n v="1063"/>
    <n v="1766"/>
    <n v="0.12361606305122913"/>
    <x v="0"/>
  </r>
  <r>
    <x v="538"/>
    <x v="538"/>
    <x v="1"/>
    <x v="8"/>
    <x v="1"/>
    <x v="16"/>
    <n v="623029"/>
    <n v="95473"/>
    <n v="75695"/>
    <n v="5059"/>
    <n v="349"/>
    <n v="528"/>
    <n v="418"/>
    <n v="1783"/>
    <n v="8.3942136204504927E-2"/>
    <x v="2"/>
  </r>
  <r>
    <x v="539"/>
    <x v="539"/>
    <x v="3"/>
    <x v="4"/>
    <x v="2"/>
    <x v="14"/>
    <n v="770765"/>
    <n v="339813"/>
    <n v="252269"/>
    <n v="14383"/>
    <n v="1849"/>
    <n v="1821"/>
    <n v="38"/>
    <n v="3371"/>
    <n v="7.1713131617440112E-2"/>
    <x v="1"/>
  </r>
  <r>
    <x v="540"/>
    <x v="540"/>
    <x v="3"/>
    <x v="4"/>
    <x v="2"/>
    <x v="4"/>
    <n v="133174"/>
    <n v="62574"/>
    <n v="44709"/>
    <n v="3654"/>
    <n v="308"/>
    <n v="231"/>
    <n v="17"/>
    <n v="587"/>
    <n v="9.4164485897693981E-2"/>
    <x v="1"/>
  </r>
  <r>
    <x v="541"/>
    <x v="541"/>
    <x v="1"/>
    <x v="1"/>
    <x v="2"/>
    <x v="6"/>
    <n v="186767"/>
    <n v="108145"/>
    <n v="95242"/>
    <n v="5339"/>
    <n v="583"/>
    <n v="592"/>
    <n v="1191"/>
    <n v="2330"/>
    <n v="8.0899183133491523E-2"/>
    <x v="1"/>
  </r>
  <r>
    <x v="542"/>
    <x v="542"/>
    <x v="2"/>
    <x v="5"/>
    <x v="5"/>
    <x v="2"/>
    <n v="502525"/>
    <n v="114407"/>
    <n v="93011"/>
    <n v="3355"/>
    <n v="164"/>
    <n v="232"/>
    <n v="47"/>
    <n v="1489"/>
    <n v="4.083387986367204E-2"/>
    <x v="2"/>
  </r>
  <r>
    <x v="543"/>
    <x v="543"/>
    <x v="1"/>
    <x v="7"/>
    <x v="3"/>
    <x v="8"/>
    <n v="194499"/>
    <n v="54806"/>
    <n v="44419"/>
    <n v="2003"/>
    <n v="188"/>
    <n v="285"/>
    <n v="453"/>
    <n v="1612"/>
    <n v="6.5940250793579319E-2"/>
    <x v="0"/>
  </r>
  <r>
    <x v="544"/>
    <x v="544"/>
    <x v="0"/>
    <x v="22"/>
    <x v="4"/>
    <x v="0"/>
    <n v="82918"/>
    <n v="51290"/>
    <n v="42394"/>
    <n v="1286"/>
    <n v="93"/>
    <n v="181"/>
    <n v="272"/>
    <n v="272"/>
    <n v="4.3213662310704344E-2"/>
    <x v="2"/>
  </r>
  <r>
    <x v="545"/>
    <x v="545"/>
    <x v="1"/>
    <x v="1"/>
    <x v="3"/>
    <x v="6"/>
    <n v="427667"/>
    <n v="1007509"/>
    <n v="706872"/>
    <n v="45840"/>
    <n v="5049"/>
    <n v="2973"/>
    <n v="11407"/>
    <n v="25021"/>
    <n v="9.2334963048472704E-2"/>
    <x v="2"/>
  </r>
  <r>
    <x v="546"/>
    <x v="546"/>
    <x v="4"/>
    <x v="21"/>
    <x v="3"/>
    <x v="17"/>
    <n v="709787"/>
    <n v="365763"/>
    <n v="270101"/>
    <n v="15370"/>
    <n v="768"/>
    <n v="1013"/>
    <n v="924"/>
    <n v="7265"/>
    <n v="6.6919411627502298E-2"/>
    <x v="0"/>
  </r>
  <r>
    <x v="547"/>
    <x v="547"/>
    <x v="1"/>
    <x v="7"/>
    <x v="2"/>
    <x v="1"/>
    <n v="316210"/>
    <n v="73015"/>
    <n v="62965"/>
    <n v="3952"/>
    <n v="247"/>
    <n v="235"/>
    <n v="935"/>
    <n v="1773"/>
    <n v="8.5269594219010564E-2"/>
    <x v="1"/>
  </r>
  <r>
    <x v="548"/>
    <x v="548"/>
    <x v="2"/>
    <x v="19"/>
    <x v="5"/>
    <x v="15"/>
    <n v="647930"/>
    <n v="162021"/>
    <n v="113598"/>
    <n v="11894"/>
    <n v="688"/>
    <n v="786"/>
    <n v="6"/>
    <n v="2904"/>
    <n v="0.11773094596735859"/>
    <x v="0"/>
  </r>
  <r>
    <x v="549"/>
    <x v="549"/>
    <x v="2"/>
    <x v="19"/>
    <x v="3"/>
    <x v="15"/>
    <n v="165690"/>
    <n v="36878"/>
    <n v="29022"/>
    <n v="1399"/>
    <n v="131"/>
    <n v="61"/>
    <n v="17"/>
    <n v="304"/>
    <n v="5.5406243539383913E-2"/>
    <x v="0"/>
  </r>
  <r>
    <x v="550"/>
    <x v="550"/>
    <x v="0"/>
    <x v="6"/>
    <x v="2"/>
    <x v="7"/>
    <n v="746170"/>
    <n v="140319"/>
    <n v="102350"/>
    <n v="6351"/>
    <n v="506"/>
    <n v="153"/>
    <n v="1163"/>
    <n v="4693"/>
    <n v="7.9853444064484608E-2"/>
    <x v="2"/>
  </r>
  <r>
    <x v="551"/>
    <x v="551"/>
    <x v="3"/>
    <x v="9"/>
    <x v="4"/>
    <x v="14"/>
    <n v="136124"/>
    <n v="70199"/>
    <n v="56889"/>
    <n v="5293"/>
    <n v="828"/>
    <n v="373"/>
    <n v="7"/>
    <n v="2367"/>
    <n v="0.11427516743131361"/>
    <x v="1"/>
  </r>
  <r>
    <x v="552"/>
    <x v="552"/>
    <x v="4"/>
    <x v="12"/>
    <x v="2"/>
    <x v="11"/>
    <n v="453036"/>
    <n v="226670"/>
    <n v="182614"/>
    <n v="8371"/>
    <n v="354"/>
    <n v="634"/>
    <n v="1452"/>
    <n v="6092"/>
    <n v="5.9201375579090325E-2"/>
    <x v="0"/>
  </r>
  <r>
    <x v="553"/>
    <x v="553"/>
    <x v="1"/>
    <x v="1"/>
    <x v="0"/>
    <x v="8"/>
    <n v="743277"/>
    <n v="103127"/>
    <n v="83585"/>
    <n v="3183"/>
    <n v="569"/>
    <n v="308"/>
    <n v="563"/>
    <n v="1225"/>
    <n v="5.5308966919901899E-2"/>
    <x v="0"/>
  </r>
  <r>
    <x v="554"/>
    <x v="554"/>
    <x v="1"/>
    <x v="1"/>
    <x v="2"/>
    <x v="16"/>
    <n v="97852"/>
    <n v="29042"/>
    <n v="22287"/>
    <n v="1684"/>
    <n v="108"/>
    <n v="107"/>
    <n v="245"/>
    <n v="589"/>
    <n v="9.6199578229461125E-2"/>
    <x v="1"/>
  </r>
  <r>
    <x v="555"/>
    <x v="555"/>
    <x v="0"/>
    <x v="23"/>
    <x v="4"/>
    <x v="7"/>
    <n v="261465"/>
    <n v="28004"/>
    <n v="19606"/>
    <n v="1669"/>
    <n v="130"/>
    <n v="95"/>
    <n v="176"/>
    <n v="649"/>
    <n v="0.10557992451290421"/>
    <x v="0"/>
  </r>
  <r>
    <x v="556"/>
    <x v="556"/>
    <x v="0"/>
    <x v="22"/>
    <x v="2"/>
    <x v="10"/>
    <n v="16825"/>
    <n v="8734"/>
    <n v="6750"/>
    <n v="563"/>
    <n v="47"/>
    <n v="68"/>
    <n v="87"/>
    <n v="141"/>
    <n v="0.11333333333333333"/>
    <x v="1"/>
  </r>
  <r>
    <x v="557"/>
    <x v="557"/>
    <x v="4"/>
    <x v="12"/>
    <x v="4"/>
    <x v="12"/>
    <n v="45532"/>
    <n v="27316"/>
    <n v="24033"/>
    <n v="862"/>
    <n v="83"/>
    <n v="28"/>
    <n v="205"/>
    <n v="643"/>
    <n v="4.9015936420754795E-2"/>
    <x v="0"/>
  </r>
  <r>
    <x v="558"/>
    <x v="558"/>
    <x v="1"/>
    <x v="17"/>
    <x v="0"/>
    <x v="16"/>
    <n v="441027"/>
    <n v="98763"/>
    <n v="87677"/>
    <n v="7348"/>
    <n v="1295"/>
    <n v="1001"/>
    <n v="1026"/>
    <n v="2619"/>
    <n v="0.12169668214012797"/>
    <x v="2"/>
  </r>
  <r>
    <x v="559"/>
    <x v="559"/>
    <x v="3"/>
    <x v="11"/>
    <x v="0"/>
    <x v="14"/>
    <n v="289965"/>
    <n v="44507"/>
    <n v="40513"/>
    <n v="1052"/>
    <n v="185"/>
    <n v="47"/>
    <n v="25"/>
    <n v="883"/>
    <n v="3.2310616345370621E-2"/>
    <x v="0"/>
  </r>
  <r>
    <x v="560"/>
    <x v="560"/>
    <x v="3"/>
    <x v="9"/>
    <x v="1"/>
    <x v="4"/>
    <n v="422820"/>
    <n v="83695"/>
    <n v="61532"/>
    <n v="2767"/>
    <n v="372"/>
    <n v="371"/>
    <n v="50"/>
    <n v="1706"/>
    <n v="5.7856074887863228E-2"/>
    <x v="0"/>
  </r>
  <r>
    <x v="561"/>
    <x v="561"/>
    <x v="1"/>
    <x v="24"/>
    <x v="4"/>
    <x v="1"/>
    <n v="581472"/>
    <n v="120736"/>
    <n v="90842"/>
    <n v="2697"/>
    <n v="140"/>
    <n v="363"/>
    <n v="635"/>
    <n v="1583"/>
    <n v="4.2216155522775807E-2"/>
    <x v="1"/>
  </r>
  <r>
    <x v="562"/>
    <x v="562"/>
    <x v="3"/>
    <x v="11"/>
    <x v="2"/>
    <x v="14"/>
    <n v="366840"/>
    <n v="232636"/>
    <n v="167105"/>
    <n v="14499"/>
    <n v="1629"/>
    <n v="1651"/>
    <n v="26"/>
    <n v="7432"/>
    <n v="0.10654977409413244"/>
    <x v="0"/>
  </r>
  <r>
    <x v="563"/>
    <x v="563"/>
    <x v="0"/>
    <x v="0"/>
    <x v="4"/>
    <x v="7"/>
    <n v="187820"/>
    <n v="16699"/>
    <n v="15285"/>
    <n v="1113"/>
    <n v="163"/>
    <n v="37"/>
    <n v="221"/>
    <n v="274"/>
    <n v="0.10035982989859339"/>
    <x v="1"/>
  </r>
  <r>
    <x v="564"/>
    <x v="564"/>
    <x v="3"/>
    <x v="4"/>
    <x v="3"/>
    <x v="9"/>
    <n v="342514"/>
    <n v="140961"/>
    <n v="125287"/>
    <n v="6163"/>
    <n v="597"/>
    <n v="707"/>
    <n v="27"/>
    <n v="2263"/>
    <n v="5.9814665527947834E-2"/>
    <x v="2"/>
  </r>
  <r>
    <x v="565"/>
    <x v="565"/>
    <x v="1"/>
    <x v="8"/>
    <x v="0"/>
    <x v="8"/>
    <n v="767415"/>
    <n v="184766"/>
    <n v="135958"/>
    <n v="5665"/>
    <n v="504"/>
    <n v="560"/>
    <n v="361"/>
    <n v="1323"/>
    <n v="5.214845761190956E-2"/>
    <x v="0"/>
  </r>
  <r>
    <x v="566"/>
    <x v="566"/>
    <x v="3"/>
    <x v="4"/>
    <x v="4"/>
    <x v="9"/>
    <n v="635099"/>
    <n v="189814"/>
    <n v="167386"/>
    <n v="12491"/>
    <n v="1582"/>
    <n v="320"/>
    <n v="15"/>
    <n v="5334"/>
    <n v="8.6076493852532465E-2"/>
    <x v="0"/>
  </r>
  <r>
    <x v="567"/>
    <x v="567"/>
    <x v="4"/>
    <x v="10"/>
    <x v="1"/>
    <x v="11"/>
    <n v="744321"/>
    <n v="118615"/>
    <n v="97718"/>
    <n v="5534"/>
    <n v="301"/>
    <n v="349"/>
    <n v="447"/>
    <n v="791"/>
    <n v="6.7858531693239729E-2"/>
    <x v="1"/>
  </r>
  <r>
    <x v="568"/>
    <x v="568"/>
    <x v="4"/>
    <x v="10"/>
    <x v="1"/>
    <x v="11"/>
    <n v="110048"/>
    <n v="61274"/>
    <n v="42908"/>
    <n v="2050"/>
    <n v="131"/>
    <n v="143"/>
    <n v="247"/>
    <n v="833"/>
    <n v="5.9918896243124825E-2"/>
    <x v="2"/>
  </r>
  <r>
    <x v="569"/>
    <x v="569"/>
    <x v="4"/>
    <x v="20"/>
    <x v="0"/>
    <x v="12"/>
    <n v="237928"/>
    <n v="148665"/>
    <n v="106560"/>
    <n v="5950"/>
    <n v="500"/>
    <n v="834"/>
    <n v="398"/>
    <n v="936"/>
    <n v="7.2090840840840845E-2"/>
    <x v="0"/>
  </r>
  <r>
    <x v="570"/>
    <x v="570"/>
    <x v="1"/>
    <x v="1"/>
    <x v="0"/>
    <x v="1"/>
    <n v="657606"/>
    <n v="183195"/>
    <n v="139162"/>
    <n v="9151"/>
    <n v="781"/>
    <n v="498"/>
    <n v="2117"/>
    <n v="5305"/>
    <n v="9.0161107198804269E-2"/>
    <x v="1"/>
  </r>
  <r>
    <x v="571"/>
    <x v="571"/>
    <x v="1"/>
    <x v="24"/>
    <x v="0"/>
    <x v="8"/>
    <n v="470894"/>
    <n v="248519"/>
    <n v="218503"/>
    <n v="6657"/>
    <n v="626"/>
    <n v="762"/>
    <n v="525"/>
    <n v="3651"/>
    <n v="3.9221429454057842E-2"/>
    <x v="0"/>
  </r>
  <r>
    <x v="572"/>
    <x v="572"/>
    <x v="2"/>
    <x v="16"/>
    <x v="3"/>
    <x v="2"/>
    <n v="633473"/>
    <n v="171085"/>
    <n v="155291"/>
    <n v="12882"/>
    <n v="1126"/>
    <n v="1177"/>
    <n v="34"/>
    <n v="3595"/>
    <n v="9.8003103850190926E-2"/>
    <x v="0"/>
  </r>
  <r>
    <x v="573"/>
    <x v="573"/>
    <x v="3"/>
    <x v="9"/>
    <x v="1"/>
    <x v="14"/>
    <n v="816816"/>
    <n v="413734"/>
    <n v="297555"/>
    <n v="17253"/>
    <n v="1043"/>
    <n v="2252"/>
    <n v="23"/>
    <n v="8999"/>
    <n v="6.913343751575339E-2"/>
    <x v="2"/>
  </r>
  <r>
    <x v="574"/>
    <x v="574"/>
    <x v="0"/>
    <x v="0"/>
    <x v="5"/>
    <x v="7"/>
    <n v="153641"/>
    <n v="60589"/>
    <n v="45644"/>
    <n v="4221"/>
    <n v="162"/>
    <n v="160"/>
    <n v="1023"/>
    <n v="1582"/>
    <n v="0.12194373849794059"/>
    <x v="0"/>
  </r>
  <r>
    <x v="575"/>
    <x v="575"/>
    <x v="4"/>
    <x v="10"/>
    <x v="4"/>
    <x v="12"/>
    <n v="502488"/>
    <n v="289519"/>
    <n v="212019"/>
    <n v="8244"/>
    <n v="550"/>
    <n v="178"/>
    <n v="1782"/>
    <n v="5065"/>
    <n v="5.072186926643367E-2"/>
    <x v="1"/>
  </r>
  <r>
    <x v="576"/>
    <x v="576"/>
    <x v="3"/>
    <x v="15"/>
    <x v="3"/>
    <x v="4"/>
    <n v="760156"/>
    <n v="399383"/>
    <n v="280728"/>
    <n v="10653"/>
    <n v="415"/>
    <n v="1102"/>
    <n v="38"/>
    <n v="10996"/>
    <n v="4.348693397167365E-2"/>
    <x v="0"/>
  </r>
  <r>
    <x v="577"/>
    <x v="577"/>
    <x v="2"/>
    <x v="2"/>
    <x v="4"/>
    <x v="3"/>
    <n v="602353"/>
    <n v="291738"/>
    <n v="263999"/>
    <n v="10592"/>
    <n v="463"/>
    <n v="731"/>
    <n v="8"/>
    <n v="7962"/>
    <n v="4.4674411645498659E-2"/>
    <x v="0"/>
  </r>
  <r>
    <x v="578"/>
    <x v="578"/>
    <x v="3"/>
    <x v="18"/>
    <x v="2"/>
    <x v="14"/>
    <n v="493690"/>
    <n v="223167"/>
    <n v="196832"/>
    <n v="6670"/>
    <n v="1003"/>
    <n v="694"/>
    <n v="12"/>
    <n v="2922"/>
    <n v="4.2569297675174769E-2"/>
    <x v="0"/>
  </r>
  <r>
    <x v="579"/>
    <x v="579"/>
    <x v="0"/>
    <x v="22"/>
    <x v="0"/>
    <x v="7"/>
    <n v="173166"/>
    <n v="20300"/>
    <n v="14259"/>
    <n v="1513"/>
    <n v="87"/>
    <n v="69"/>
    <n v="356"/>
    <n v="247"/>
    <n v="0.14201556911424362"/>
    <x v="0"/>
  </r>
  <r>
    <x v="580"/>
    <x v="580"/>
    <x v="2"/>
    <x v="19"/>
    <x v="2"/>
    <x v="3"/>
    <n v="100238"/>
    <n v="8503"/>
    <n v="7358"/>
    <n v="659"/>
    <n v="69"/>
    <n v="40"/>
    <n v="25"/>
    <n v="227"/>
    <n v="0.10777385159010601"/>
    <x v="2"/>
  </r>
  <r>
    <x v="581"/>
    <x v="581"/>
    <x v="2"/>
    <x v="2"/>
    <x v="2"/>
    <x v="5"/>
    <n v="27335"/>
    <n v="8140"/>
    <n v="7253"/>
    <n v="181"/>
    <n v="9"/>
    <n v="19"/>
    <n v="5"/>
    <n v="256"/>
    <n v="2.9505032400386048E-2"/>
    <x v="0"/>
  </r>
  <r>
    <x v="582"/>
    <x v="582"/>
    <x v="1"/>
    <x v="8"/>
    <x v="1"/>
    <x v="1"/>
    <n v="471717"/>
    <n v="128892"/>
    <n v="107903"/>
    <n v="9848"/>
    <n v="354"/>
    <n v="1109"/>
    <n v="1837"/>
    <n v="1569"/>
    <n v="0.12185018025448782"/>
    <x v="2"/>
  </r>
  <r>
    <x v="583"/>
    <x v="583"/>
    <x v="2"/>
    <x v="19"/>
    <x v="2"/>
    <x v="5"/>
    <n v="806041"/>
    <n v="315861"/>
    <n v="275404"/>
    <n v="7969"/>
    <n v="351"/>
    <n v="484"/>
    <n v="18"/>
    <n v="3109"/>
    <n v="3.2032940698029075E-2"/>
    <x v="0"/>
  </r>
  <r>
    <x v="584"/>
    <x v="584"/>
    <x v="1"/>
    <x v="1"/>
    <x v="5"/>
    <x v="8"/>
    <n v="270963"/>
    <n v="89950"/>
    <n v="81563"/>
    <n v="7043"/>
    <n v="727"/>
    <n v="473"/>
    <n v="755"/>
    <n v="1553"/>
    <n v="0.11031963022448904"/>
    <x v="1"/>
  </r>
  <r>
    <x v="585"/>
    <x v="585"/>
    <x v="3"/>
    <x v="18"/>
    <x v="5"/>
    <x v="4"/>
    <n v="90046"/>
    <n v="33171"/>
    <n v="29622"/>
    <n v="2636"/>
    <n v="95"/>
    <n v="387"/>
    <n v="3"/>
    <n v="903"/>
    <n v="0.10536088042670988"/>
    <x v="0"/>
  </r>
  <r>
    <x v="586"/>
    <x v="586"/>
    <x v="4"/>
    <x v="14"/>
    <x v="3"/>
    <x v="17"/>
    <n v="600328"/>
    <n v="72998"/>
    <n v="65137"/>
    <n v="4390"/>
    <n v="361"/>
    <n v="355"/>
    <n v="689"/>
    <n v="2156"/>
    <n v="8.8966332499194001E-2"/>
    <x v="0"/>
  </r>
  <r>
    <x v="587"/>
    <x v="587"/>
    <x v="2"/>
    <x v="16"/>
    <x v="0"/>
    <x v="2"/>
    <n v="347188"/>
    <n v="95539"/>
    <n v="77098"/>
    <n v="5936"/>
    <n v="602"/>
    <n v="333"/>
    <n v="2"/>
    <n v="2039"/>
    <n v="8.9146281356196011E-2"/>
    <x v="2"/>
  </r>
  <r>
    <x v="588"/>
    <x v="588"/>
    <x v="3"/>
    <x v="11"/>
    <x v="1"/>
    <x v="4"/>
    <n v="67931"/>
    <n v="19431"/>
    <n v="17784"/>
    <n v="637"/>
    <n v="39"/>
    <n v="14"/>
    <n v="48"/>
    <n v="495"/>
    <n v="4.1497975708502027E-2"/>
    <x v="0"/>
  </r>
  <r>
    <x v="589"/>
    <x v="589"/>
    <x v="4"/>
    <x v="14"/>
    <x v="3"/>
    <x v="12"/>
    <n v="315328"/>
    <n v="106363"/>
    <n v="86733"/>
    <n v="6400"/>
    <n v="441"/>
    <n v="819"/>
    <n v="438"/>
    <n v="3408"/>
    <n v="9.3366999873173998E-2"/>
    <x v="0"/>
  </r>
  <r>
    <x v="590"/>
    <x v="590"/>
    <x v="0"/>
    <x v="6"/>
    <x v="3"/>
    <x v="7"/>
    <n v="564019"/>
    <n v="96781"/>
    <n v="77046"/>
    <n v="7234"/>
    <n v="835"/>
    <n v="918"/>
    <n v="1173"/>
    <n v="3078"/>
    <n v="0.13186927290190276"/>
    <x v="0"/>
  </r>
  <r>
    <x v="591"/>
    <x v="591"/>
    <x v="1"/>
    <x v="24"/>
    <x v="4"/>
    <x v="1"/>
    <n v="17375"/>
    <n v="5932"/>
    <n v="4804"/>
    <n v="231"/>
    <n v="34"/>
    <n v="24"/>
    <n v="23"/>
    <n v="158"/>
    <n v="6.4945878434637797E-2"/>
    <x v="2"/>
  </r>
  <r>
    <x v="592"/>
    <x v="592"/>
    <x v="3"/>
    <x v="11"/>
    <x v="2"/>
    <x v="9"/>
    <n v="784431"/>
    <n v="250626"/>
    <n v="218135"/>
    <n v="14049"/>
    <n v="876"/>
    <n v="664"/>
    <n v="12"/>
    <n v="8559"/>
    <n v="7.1519930318380817E-2"/>
    <x v="0"/>
  </r>
  <r>
    <x v="593"/>
    <x v="593"/>
    <x v="4"/>
    <x v="14"/>
    <x v="5"/>
    <x v="12"/>
    <n v="735787"/>
    <n v="477862"/>
    <n v="377647"/>
    <n v="19655"/>
    <n v="2188"/>
    <n v="1729"/>
    <n v="3990"/>
    <n v="4014"/>
    <n v="7.29835004647197E-2"/>
    <x v="0"/>
  </r>
  <r>
    <x v="594"/>
    <x v="594"/>
    <x v="3"/>
    <x v="4"/>
    <x v="1"/>
    <x v="4"/>
    <n v="402598"/>
    <n v="183574"/>
    <n v="146170"/>
    <n v="6791"/>
    <n v="835"/>
    <n v="952"/>
    <n v="6"/>
    <n v="6399"/>
    <n v="5.8726140794964764E-2"/>
    <x v="1"/>
  </r>
  <r>
    <x v="595"/>
    <x v="595"/>
    <x v="3"/>
    <x v="9"/>
    <x v="2"/>
    <x v="4"/>
    <n v="788872"/>
    <n v="480044"/>
    <n v="402937"/>
    <n v="24099"/>
    <n v="3636"/>
    <n v="2573"/>
    <n v="26"/>
    <n v="5451"/>
    <n v="7.5282240151686247E-2"/>
    <x v="1"/>
  </r>
  <r>
    <x v="596"/>
    <x v="596"/>
    <x v="2"/>
    <x v="19"/>
    <x v="5"/>
    <x v="2"/>
    <n v="435493"/>
    <n v="194913"/>
    <n v="168220"/>
    <n v="3987"/>
    <n v="343"/>
    <n v="195"/>
    <n v="18"/>
    <n v="2539"/>
    <n v="2.700630127214362E-2"/>
    <x v="1"/>
  </r>
  <r>
    <x v="597"/>
    <x v="597"/>
    <x v="4"/>
    <x v="20"/>
    <x v="2"/>
    <x v="12"/>
    <n v="30021"/>
    <n v="8808"/>
    <n v="7171"/>
    <n v="567"/>
    <n v="44"/>
    <n v="23"/>
    <n v="93"/>
    <n v="157"/>
    <n v="0.10138056059127039"/>
    <x v="0"/>
  </r>
  <r>
    <x v="598"/>
    <x v="598"/>
    <x v="2"/>
    <x v="19"/>
    <x v="1"/>
    <x v="2"/>
    <n v="137630"/>
    <n v="41637"/>
    <n v="30737"/>
    <n v="3091"/>
    <n v="332"/>
    <n v="237"/>
    <n v="6"/>
    <n v="1095"/>
    <n v="0.11926993525718189"/>
    <x v="0"/>
  </r>
  <r>
    <x v="599"/>
    <x v="599"/>
    <x v="2"/>
    <x v="3"/>
    <x v="1"/>
    <x v="5"/>
    <n v="340565"/>
    <n v="45350"/>
    <n v="31860"/>
    <n v="3002"/>
    <n v="158"/>
    <n v="301"/>
    <n v="34"/>
    <n v="1479"/>
    <n v="0.10969868173258004"/>
    <x v="0"/>
  </r>
  <r>
    <x v="600"/>
    <x v="600"/>
    <x v="1"/>
    <x v="1"/>
    <x v="4"/>
    <x v="1"/>
    <n v="198117"/>
    <n v="117247"/>
    <n v="87072"/>
    <n v="8257"/>
    <n v="1147"/>
    <n v="1031"/>
    <n v="1037"/>
    <n v="1502"/>
    <n v="0.13175303197353913"/>
    <x v="0"/>
  </r>
  <r>
    <x v="601"/>
    <x v="601"/>
    <x v="3"/>
    <x v="11"/>
    <x v="2"/>
    <x v="4"/>
    <n v="627340"/>
    <n v="100905"/>
    <n v="90492"/>
    <n v="2579"/>
    <n v="268"/>
    <n v="172"/>
    <n v="13"/>
    <n v="1687"/>
    <n v="3.3505724262918271E-2"/>
    <x v="0"/>
  </r>
  <r>
    <x v="602"/>
    <x v="602"/>
    <x v="4"/>
    <x v="12"/>
    <x v="4"/>
    <x v="13"/>
    <n v="395982"/>
    <n v="174677"/>
    <n v="153345"/>
    <n v="5378"/>
    <n v="169"/>
    <n v="232"/>
    <n v="879"/>
    <n v="4052"/>
    <n v="4.341843555381656E-2"/>
    <x v="0"/>
  </r>
  <r>
    <x v="603"/>
    <x v="603"/>
    <x v="3"/>
    <x v="18"/>
    <x v="2"/>
    <x v="9"/>
    <n v="549593"/>
    <n v="334236"/>
    <n v="278533"/>
    <n v="17432"/>
    <n v="1877"/>
    <n v="2073"/>
    <n v="13"/>
    <n v="10363"/>
    <n v="7.6813160379560055E-2"/>
    <x v="0"/>
  </r>
  <r>
    <x v="604"/>
    <x v="604"/>
    <x v="1"/>
    <x v="17"/>
    <x v="4"/>
    <x v="16"/>
    <n v="283089"/>
    <n v="54796"/>
    <n v="42559"/>
    <n v="2909"/>
    <n v="215"/>
    <n v="339"/>
    <n v="433"/>
    <n v="1116"/>
    <n v="9.1543504311661458E-2"/>
    <x v="0"/>
  </r>
  <r>
    <x v="605"/>
    <x v="605"/>
    <x v="0"/>
    <x v="6"/>
    <x v="2"/>
    <x v="10"/>
    <n v="834181"/>
    <n v="214887"/>
    <n v="160151"/>
    <n v="13607"/>
    <n v="1292"/>
    <n v="1061"/>
    <n v="2303"/>
    <n v="2825"/>
    <n v="0.1140361284038189"/>
    <x v="0"/>
  </r>
  <r>
    <x v="606"/>
    <x v="606"/>
    <x v="1"/>
    <x v="7"/>
    <x v="5"/>
    <x v="1"/>
    <n v="665932"/>
    <n v="223859"/>
    <n v="203886"/>
    <n v="7876"/>
    <n v="720"/>
    <n v="775"/>
    <n v="1775"/>
    <n v="7501"/>
    <n v="5.4667804557448768E-2"/>
    <x v="0"/>
  </r>
  <r>
    <x v="607"/>
    <x v="607"/>
    <x v="0"/>
    <x v="6"/>
    <x v="0"/>
    <x v="7"/>
    <n v="259734"/>
    <n v="118039"/>
    <n v="86393"/>
    <n v="4587"/>
    <n v="144"/>
    <n v="502"/>
    <n v="886"/>
    <n v="1347"/>
    <n v="7.0827497598185032E-2"/>
    <x v="0"/>
  </r>
  <r>
    <x v="608"/>
    <x v="608"/>
    <x v="2"/>
    <x v="3"/>
    <x v="1"/>
    <x v="5"/>
    <n v="555374"/>
    <n v="222008"/>
    <n v="185096"/>
    <n v="16206"/>
    <n v="2576"/>
    <n v="481"/>
    <n v="41"/>
    <n v="3918"/>
    <n v="0.10429182694385616"/>
    <x v="1"/>
  </r>
  <r>
    <x v="609"/>
    <x v="609"/>
    <x v="4"/>
    <x v="20"/>
    <x v="3"/>
    <x v="12"/>
    <n v="290245"/>
    <n v="43749"/>
    <n v="36412"/>
    <n v="2426"/>
    <n v="158"/>
    <n v="55"/>
    <n v="129"/>
    <n v="1246"/>
    <n v="7.6018894869823134E-2"/>
    <x v="0"/>
  </r>
  <r>
    <x v="610"/>
    <x v="610"/>
    <x v="2"/>
    <x v="19"/>
    <x v="1"/>
    <x v="15"/>
    <n v="356278"/>
    <n v="42606"/>
    <n v="37602"/>
    <n v="1913"/>
    <n v="143"/>
    <n v="117"/>
    <n v="22"/>
    <n v="724"/>
    <n v="5.8374554544971015E-2"/>
    <x v="0"/>
  </r>
  <r>
    <x v="611"/>
    <x v="611"/>
    <x v="2"/>
    <x v="3"/>
    <x v="4"/>
    <x v="2"/>
    <n v="519800"/>
    <n v="328137"/>
    <n v="290557"/>
    <n v="25024"/>
    <n v="1136"/>
    <n v="1229"/>
    <n v="0"/>
    <n v="3006"/>
    <n v="9.4263776126543158E-2"/>
    <x v="2"/>
  </r>
  <r>
    <x v="612"/>
    <x v="612"/>
    <x v="1"/>
    <x v="8"/>
    <x v="2"/>
    <x v="16"/>
    <n v="761782"/>
    <n v="221115"/>
    <n v="202918"/>
    <n v="16815"/>
    <n v="2693"/>
    <n v="903"/>
    <n v="3480"/>
    <n v="1840"/>
    <n v="0.11773721404705349"/>
    <x v="2"/>
  </r>
  <r>
    <x v="613"/>
    <x v="613"/>
    <x v="3"/>
    <x v="9"/>
    <x v="5"/>
    <x v="14"/>
    <n v="181112"/>
    <n v="74721"/>
    <n v="54380"/>
    <n v="5358"/>
    <n v="765"/>
    <n v="725"/>
    <n v="26"/>
    <n v="1801"/>
    <n v="0.12640676719382127"/>
    <x v="1"/>
  </r>
  <r>
    <x v="614"/>
    <x v="614"/>
    <x v="2"/>
    <x v="16"/>
    <x v="5"/>
    <x v="3"/>
    <n v="812675"/>
    <n v="169624"/>
    <n v="147329"/>
    <n v="10632"/>
    <n v="881"/>
    <n v="1367"/>
    <n v="15"/>
    <n v="4204"/>
    <n v="8.7525198704939286E-2"/>
    <x v="1"/>
  </r>
  <r>
    <x v="615"/>
    <x v="615"/>
    <x v="2"/>
    <x v="19"/>
    <x v="0"/>
    <x v="15"/>
    <n v="705569"/>
    <n v="385629"/>
    <n v="311311"/>
    <n v="15589"/>
    <n v="2371"/>
    <n v="1855"/>
    <n v="32"/>
    <n v="11859"/>
    <n v="6.3752967289944784E-2"/>
    <x v="1"/>
  </r>
  <r>
    <x v="616"/>
    <x v="616"/>
    <x v="1"/>
    <x v="7"/>
    <x v="2"/>
    <x v="16"/>
    <n v="231912"/>
    <n v="69522"/>
    <n v="61939"/>
    <n v="3532"/>
    <n v="519"/>
    <n v="156"/>
    <n v="372"/>
    <n v="690"/>
    <n v="7.3927573903356525E-2"/>
    <x v="0"/>
  </r>
  <r>
    <x v="617"/>
    <x v="617"/>
    <x v="1"/>
    <x v="1"/>
    <x v="2"/>
    <x v="6"/>
    <n v="254748"/>
    <n v="910421"/>
    <n v="643020"/>
    <n v="54364"/>
    <n v="5322"/>
    <n v="2964"/>
    <n v="12796"/>
    <n v="6848"/>
    <n v="0.11733072066187678"/>
    <x v="0"/>
  </r>
  <r>
    <x v="618"/>
    <x v="618"/>
    <x v="3"/>
    <x v="15"/>
    <x v="2"/>
    <x v="4"/>
    <n v="288330"/>
    <n v="31141"/>
    <n v="26813"/>
    <n v="1412"/>
    <n v="104"/>
    <n v="102"/>
    <n v="38"/>
    <n v="413"/>
    <n v="6.1761086040353561E-2"/>
    <x v="1"/>
  </r>
  <r>
    <x v="619"/>
    <x v="619"/>
    <x v="4"/>
    <x v="12"/>
    <x v="2"/>
    <x v="17"/>
    <n v="123283"/>
    <n v="12370"/>
    <n v="9308"/>
    <n v="642"/>
    <n v="45"/>
    <n v="86"/>
    <n v="121"/>
    <n v="211"/>
    <n v="9.6046411688869793E-2"/>
    <x v="0"/>
  </r>
  <r>
    <x v="620"/>
    <x v="620"/>
    <x v="0"/>
    <x v="6"/>
    <x v="0"/>
    <x v="0"/>
    <n v="826395"/>
    <n v="366119"/>
    <n v="304314"/>
    <n v="23443"/>
    <n v="1034"/>
    <n v="2002"/>
    <n v="4456"/>
    <n v="7067"/>
    <n v="0.10165486964122585"/>
    <x v="0"/>
  </r>
  <r>
    <x v="621"/>
    <x v="621"/>
    <x v="4"/>
    <x v="12"/>
    <x v="0"/>
    <x v="11"/>
    <n v="479828"/>
    <n v="41869"/>
    <n v="33249"/>
    <n v="889"/>
    <n v="156"/>
    <n v="119"/>
    <n v="74"/>
    <n v="1164"/>
    <n v="3.7234202532406988E-2"/>
    <x v="0"/>
  </r>
  <r>
    <x v="622"/>
    <x v="622"/>
    <x v="2"/>
    <x v="5"/>
    <x v="3"/>
    <x v="15"/>
    <n v="49871"/>
    <n v="20115"/>
    <n v="17777"/>
    <n v="1036"/>
    <n v="57"/>
    <n v="40"/>
    <n v="6"/>
    <n v="160"/>
    <n v="6.407155313044946E-2"/>
    <x v="1"/>
  </r>
  <r>
    <x v="623"/>
    <x v="623"/>
    <x v="0"/>
    <x v="13"/>
    <x v="5"/>
    <x v="10"/>
    <n v="512625"/>
    <n v="175055"/>
    <n v="136118"/>
    <n v="10960"/>
    <n v="1794"/>
    <n v="1322"/>
    <n v="2426"/>
    <n v="5613"/>
    <n v="0.12123304779676457"/>
    <x v="0"/>
  </r>
  <r>
    <x v="624"/>
    <x v="624"/>
    <x v="4"/>
    <x v="12"/>
    <x v="3"/>
    <x v="17"/>
    <n v="693896"/>
    <n v="196789"/>
    <n v="148331"/>
    <n v="12685"/>
    <n v="2232"/>
    <n v="846"/>
    <n v="2522"/>
    <n v="2128"/>
    <n v="0.12327160202520039"/>
    <x v="2"/>
  </r>
  <r>
    <x v="625"/>
    <x v="625"/>
    <x v="3"/>
    <x v="9"/>
    <x v="1"/>
    <x v="9"/>
    <n v="280696"/>
    <n v="78269"/>
    <n v="61521"/>
    <n v="3525"/>
    <n v="631"/>
    <n v="212"/>
    <n v="2"/>
    <n v="1752"/>
    <n v="7.1032655516002671E-2"/>
    <x v="1"/>
  </r>
  <r>
    <x v="626"/>
    <x v="626"/>
    <x v="2"/>
    <x v="2"/>
    <x v="5"/>
    <x v="3"/>
    <n v="118043"/>
    <n v="43013"/>
    <n v="31501"/>
    <n v="2617"/>
    <n v="283"/>
    <n v="150"/>
    <n v="35"/>
    <n v="1072"/>
    <n v="9.7933398939716199E-2"/>
    <x v="0"/>
  </r>
  <r>
    <x v="627"/>
    <x v="627"/>
    <x v="4"/>
    <x v="20"/>
    <x v="2"/>
    <x v="17"/>
    <n v="299265"/>
    <n v="44997"/>
    <n v="34525"/>
    <n v="2061"/>
    <n v="265"/>
    <n v="41"/>
    <n v="206"/>
    <n v="697"/>
    <n v="7.4525706010137582E-2"/>
    <x v="0"/>
  </r>
  <r>
    <x v="628"/>
    <x v="628"/>
    <x v="3"/>
    <x v="4"/>
    <x v="2"/>
    <x v="14"/>
    <n v="286316"/>
    <n v="142539"/>
    <n v="118129"/>
    <n v="3541"/>
    <n v="222"/>
    <n v="288"/>
    <n v="22"/>
    <n v="1776"/>
    <n v="3.4479255728906533E-2"/>
    <x v="1"/>
  </r>
  <r>
    <x v="629"/>
    <x v="629"/>
    <x v="4"/>
    <x v="14"/>
    <x v="5"/>
    <x v="11"/>
    <n v="184220"/>
    <n v="86028"/>
    <n v="75443"/>
    <n v="2438"/>
    <n v="353"/>
    <n v="128"/>
    <n v="324"/>
    <n v="945"/>
    <n v="4.2986095462799731E-2"/>
    <x v="0"/>
  </r>
  <r>
    <x v="630"/>
    <x v="630"/>
    <x v="2"/>
    <x v="2"/>
    <x v="0"/>
    <x v="2"/>
    <n v="822911"/>
    <n v="270761"/>
    <n v="220899"/>
    <n v="16691"/>
    <n v="1762"/>
    <n v="1820"/>
    <n v="22"/>
    <n v="5158"/>
    <n v="9.1874567109855629E-2"/>
    <x v="0"/>
  </r>
  <r>
    <x v="631"/>
    <x v="631"/>
    <x v="3"/>
    <x v="11"/>
    <x v="3"/>
    <x v="9"/>
    <n v="795072"/>
    <n v="474581"/>
    <n v="357540"/>
    <n v="24076"/>
    <n v="1181"/>
    <n v="2181"/>
    <n v="36"/>
    <n v="14870"/>
    <n v="7.6841751971807357E-2"/>
    <x v="0"/>
  </r>
  <r>
    <x v="632"/>
    <x v="632"/>
    <x v="4"/>
    <x v="20"/>
    <x v="1"/>
    <x v="13"/>
    <n v="59486"/>
    <n v="13919"/>
    <n v="10071"/>
    <n v="774"/>
    <n v="118"/>
    <n v="72"/>
    <n v="145"/>
    <n v="430"/>
    <n v="0.11011816105649885"/>
    <x v="0"/>
  </r>
  <r>
    <x v="633"/>
    <x v="633"/>
    <x v="4"/>
    <x v="12"/>
    <x v="1"/>
    <x v="17"/>
    <n v="591851"/>
    <n v="214441"/>
    <n v="192334"/>
    <n v="12519"/>
    <n v="666"/>
    <n v="1272"/>
    <n v="2426"/>
    <n v="7097"/>
    <n v="8.7779591751848351E-2"/>
    <x v="1"/>
  </r>
  <r>
    <x v="634"/>
    <x v="634"/>
    <x v="4"/>
    <x v="10"/>
    <x v="0"/>
    <x v="12"/>
    <n v="547573"/>
    <n v="107569"/>
    <n v="75881"/>
    <n v="5415"/>
    <n v="479"/>
    <n v="760"/>
    <n v="595"/>
    <n v="2098"/>
    <n v="9.5531160633096565E-2"/>
    <x v="0"/>
  </r>
  <r>
    <x v="635"/>
    <x v="635"/>
    <x v="3"/>
    <x v="9"/>
    <x v="4"/>
    <x v="14"/>
    <n v="131680"/>
    <n v="58285"/>
    <n v="42616"/>
    <n v="3769"/>
    <n v="249"/>
    <n v="326"/>
    <n v="44"/>
    <n v="1247"/>
    <n v="0.10296602215130467"/>
    <x v="0"/>
  </r>
  <r>
    <x v="636"/>
    <x v="636"/>
    <x v="3"/>
    <x v="9"/>
    <x v="5"/>
    <x v="14"/>
    <n v="291048"/>
    <n v="139022"/>
    <n v="111505"/>
    <n v="9566"/>
    <n v="499"/>
    <n v="543"/>
    <n v="7"/>
    <n v="3048"/>
    <n v="9.5197524774673775E-2"/>
    <x v="0"/>
  </r>
  <r>
    <x v="637"/>
    <x v="637"/>
    <x v="3"/>
    <x v="9"/>
    <x v="2"/>
    <x v="4"/>
    <n v="148570"/>
    <n v="73118"/>
    <n v="51329"/>
    <n v="2156"/>
    <n v="226"/>
    <n v="284"/>
    <n v="13"/>
    <n v="1130"/>
    <n v="5.2192717567067351E-2"/>
    <x v="1"/>
  </r>
  <r>
    <x v="638"/>
    <x v="638"/>
    <x v="1"/>
    <x v="24"/>
    <x v="4"/>
    <x v="1"/>
    <n v="484301"/>
    <n v="255912"/>
    <n v="223332"/>
    <n v="15228"/>
    <n v="2566"/>
    <n v="439"/>
    <n v="3317"/>
    <n v="4993"/>
    <n v="9.6493113391721744E-2"/>
    <x v="2"/>
  </r>
  <r>
    <x v="639"/>
    <x v="639"/>
    <x v="3"/>
    <x v="18"/>
    <x v="5"/>
    <x v="9"/>
    <n v="734163"/>
    <n v="458456"/>
    <n v="379871"/>
    <n v="31997"/>
    <n v="1284"/>
    <n v="762"/>
    <n v="46"/>
    <n v="4481"/>
    <n v="8.9738358548033414E-2"/>
    <x v="0"/>
  </r>
  <r>
    <x v="640"/>
    <x v="640"/>
    <x v="2"/>
    <x v="3"/>
    <x v="0"/>
    <x v="5"/>
    <n v="113053"/>
    <n v="20256"/>
    <n v="17547"/>
    <n v="915"/>
    <n v="36"/>
    <n v="91"/>
    <n v="7"/>
    <n v="124"/>
    <n v="5.9782298968484644E-2"/>
    <x v="1"/>
  </r>
  <r>
    <x v="641"/>
    <x v="641"/>
    <x v="4"/>
    <x v="12"/>
    <x v="5"/>
    <x v="12"/>
    <n v="735167"/>
    <n v="114637"/>
    <n v="94716"/>
    <n v="3666"/>
    <n v="248"/>
    <n v="281"/>
    <n v="393"/>
    <n v="1265"/>
    <n v="4.8439545588918449E-2"/>
    <x v="0"/>
  </r>
  <r>
    <x v="642"/>
    <x v="642"/>
    <x v="1"/>
    <x v="17"/>
    <x v="1"/>
    <x v="6"/>
    <n v="662175"/>
    <n v="89286"/>
    <n v="78411"/>
    <n v="6571"/>
    <n v="551"/>
    <n v="479"/>
    <n v="1046"/>
    <n v="639"/>
    <n v="0.11027789468314395"/>
    <x v="0"/>
  </r>
  <r>
    <x v="643"/>
    <x v="643"/>
    <x v="2"/>
    <x v="5"/>
    <x v="0"/>
    <x v="2"/>
    <n v="527679"/>
    <n v="228238"/>
    <n v="202618"/>
    <n v="15542"/>
    <n v="1489"/>
    <n v="1574"/>
    <n v="4"/>
    <n v="5038"/>
    <n v="9.1842778035515105E-2"/>
    <x v="0"/>
  </r>
  <r>
    <x v="644"/>
    <x v="644"/>
    <x v="2"/>
    <x v="5"/>
    <x v="2"/>
    <x v="3"/>
    <n v="26137"/>
    <n v="16104"/>
    <n v="12163"/>
    <n v="1001"/>
    <n v="40"/>
    <n v="133"/>
    <n v="18"/>
    <n v="116"/>
    <n v="9.8002137630518793E-2"/>
    <x v="0"/>
  </r>
  <r>
    <x v="645"/>
    <x v="645"/>
    <x v="3"/>
    <x v="15"/>
    <x v="3"/>
    <x v="14"/>
    <n v="61899"/>
    <n v="36417"/>
    <n v="29265"/>
    <n v="2732"/>
    <n v="189"/>
    <n v="65"/>
    <n v="21"/>
    <n v="642"/>
    <n v="0.10275072612335555"/>
    <x v="0"/>
  </r>
  <r>
    <x v="646"/>
    <x v="646"/>
    <x v="3"/>
    <x v="15"/>
    <x v="4"/>
    <x v="9"/>
    <n v="249562"/>
    <n v="134570"/>
    <n v="120971"/>
    <n v="8368"/>
    <n v="1211"/>
    <n v="205"/>
    <n v="4"/>
    <n v="4507"/>
    <n v="8.0911954104702782E-2"/>
    <x v="0"/>
  </r>
  <r>
    <x v="647"/>
    <x v="647"/>
    <x v="2"/>
    <x v="5"/>
    <x v="5"/>
    <x v="15"/>
    <n v="111616"/>
    <n v="422379"/>
    <n v="328212"/>
    <n v="20551"/>
    <n v="3025"/>
    <n v="2752"/>
    <n v="14"/>
    <n v="2383"/>
    <n v="8.0259100825076479E-2"/>
    <x v="0"/>
  </r>
  <r>
    <x v="648"/>
    <x v="648"/>
    <x v="2"/>
    <x v="19"/>
    <x v="1"/>
    <x v="2"/>
    <n v="57173"/>
    <n v="16867"/>
    <n v="13401"/>
    <n v="769"/>
    <n v="38"/>
    <n v="59"/>
    <n v="39"/>
    <n v="581"/>
    <n v="6.7532273710917093E-2"/>
    <x v="0"/>
  </r>
  <r>
    <x v="649"/>
    <x v="649"/>
    <x v="4"/>
    <x v="12"/>
    <x v="0"/>
    <x v="12"/>
    <n v="619710"/>
    <n v="2081478"/>
    <n v="1863825"/>
    <n v="140688"/>
    <n v="16208"/>
    <n v="20937"/>
    <n v="7453"/>
    <n v="55356"/>
    <n v="9.941169369441874E-2"/>
    <x v="1"/>
  </r>
  <r>
    <x v="650"/>
    <x v="650"/>
    <x v="1"/>
    <x v="24"/>
    <x v="2"/>
    <x v="1"/>
    <n v="369152"/>
    <n v="216892"/>
    <n v="158013"/>
    <n v="9514"/>
    <n v="1223"/>
    <n v="1002"/>
    <n v="621"/>
    <n v="7190"/>
    <n v="7.8221412162290449E-2"/>
    <x v="0"/>
  </r>
  <r>
    <x v="651"/>
    <x v="651"/>
    <x v="1"/>
    <x v="1"/>
    <x v="4"/>
    <x v="1"/>
    <n v="387257"/>
    <n v="95586"/>
    <n v="72045"/>
    <n v="7033"/>
    <n v="547"/>
    <n v="635"/>
    <n v="498"/>
    <n v="1471"/>
    <n v="0.12093830244985773"/>
    <x v="0"/>
  </r>
  <r>
    <x v="652"/>
    <x v="652"/>
    <x v="1"/>
    <x v="8"/>
    <x v="1"/>
    <x v="16"/>
    <n v="322251"/>
    <n v="64494"/>
    <n v="55431"/>
    <n v="4338"/>
    <n v="153"/>
    <n v="219"/>
    <n v="598"/>
    <n v="1801"/>
    <n v="9.5758690985188799E-2"/>
    <x v="2"/>
  </r>
  <r>
    <x v="653"/>
    <x v="653"/>
    <x v="0"/>
    <x v="23"/>
    <x v="1"/>
    <x v="7"/>
    <n v="317505"/>
    <n v="40691"/>
    <n v="36133"/>
    <n v="1751"/>
    <n v="57"/>
    <n v="122"/>
    <n v="243"/>
    <n v="477"/>
    <n v="6.0138931170951759E-2"/>
    <x v="0"/>
  </r>
  <r>
    <x v="654"/>
    <x v="654"/>
    <x v="0"/>
    <x v="22"/>
    <x v="1"/>
    <x v="7"/>
    <n v="29754"/>
    <n v="15176"/>
    <n v="13703"/>
    <n v="1129"/>
    <n v="171"/>
    <n v="109"/>
    <n v="227"/>
    <n v="231"/>
    <n v="0.11938991461723709"/>
    <x v="1"/>
  </r>
  <r>
    <x v="655"/>
    <x v="655"/>
    <x v="4"/>
    <x v="10"/>
    <x v="1"/>
    <x v="13"/>
    <n v="758834"/>
    <n v="185025"/>
    <n v="148384"/>
    <n v="10057"/>
    <n v="1159"/>
    <n v="879"/>
    <n v="829"/>
    <n v="3041"/>
    <n v="8.7098339443605774E-2"/>
    <x v="1"/>
  </r>
  <r>
    <x v="656"/>
    <x v="656"/>
    <x v="0"/>
    <x v="23"/>
    <x v="2"/>
    <x v="0"/>
    <n v="811307"/>
    <n v="220994"/>
    <n v="156572"/>
    <n v="8056"/>
    <n v="566"/>
    <n v="423"/>
    <n v="1454"/>
    <n v="6220"/>
    <n v="6.7055412206524792E-2"/>
    <x v="0"/>
  </r>
  <r>
    <x v="657"/>
    <x v="657"/>
    <x v="0"/>
    <x v="0"/>
    <x v="3"/>
    <x v="7"/>
    <n v="20605"/>
    <n v="7126"/>
    <n v="5741"/>
    <n v="503"/>
    <n v="31"/>
    <n v="13"/>
    <n v="119"/>
    <n v="94"/>
    <n v="0.11600766417000523"/>
    <x v="1"/>
  </r>
  <r>
    <x v="658"/>
    <x v="658"/>
    <x v="0"/>
    <x v="23"/>
    <x v="5"/>
    <x v="7"/>
    <n v="135902"/>
    <n v="24389"/>
    <n v="20592"/>
    <n v="828"/>
    <n v="106"/>
    <n v="36"/>
    <n v="125"/>
    <n v="444"/>
    <n v="5.3175990675990673E-2"/>
    <x v="0"/>
  </r>
  <r>
    <x v="659"/>
    <x v="659"/>
    <x v="0"/>
    <x v="23"/>
    <x v="2"/>
    <x v="10"/>
    <n v="372998"/>
    <n v="39350"/>
    <n v="30572"/>
    <n v="969"/>
    <n v="93"/>
    <n v="83"/>
    <n v="94"/>
    <n v="581"/>
    <n v="4.0527279863927776E-2"/>
    <x v="0"/>
  </r>
  <r>
    <x v="660"/>
    <x v="660"/>
    <x v="2"/>
    <x v="3"/>
    <x v="0"/>
    <x v="15"/>
    <n v="344902"/>
    <n v="98422"/>
    <n v="88326"/>
    <n v="4181"/>
    <n v="716"/>
    <n v="243"/>
    <n v="1"/>
    <n v="965"/>
    <n v="5.8204832099268619E-2"/>
    <x v="0"/>
  </r>
  <r>
    <x v="661"/>
    <x v="661"/>
    <x v="3"/>
    <x v="4"/>
    <x v="5"/>
    <x v="14"/>
    <n v="753037"/>
    <n v="278370"/>
    <n v="238514"/>
    <n v="21266"/>
    <n v="1846"/>
    <n v="2036"/>
    <n v="42"/>
    <n v="7456"/>
    <n v="0.10561224917614899"/>
    <x v="0"/>
  </r>
  <r>
    <x v="662"/>
    <x v="662"/>
    <x v="1"/>
    <x v="7"/>
    <x v="1"/>
    <x v="8"/>
    <n v="567648"/>
    <n v="319659"/>
    <n v="279895"/>
    <n v="18037"/>
    <n v="2324"/>
    <n v="1580"/>
    <n v="2045"/>
    <n v="3468"/>
    <n v="8.5696421872487896E-2"/>
    <x v="0"/>
  </r>
  <r>
    <x v="663"/>
    <x v="663"/>
    <x v="0"/>
    <x v="0"/>
    <x v="3"/>
    <x v="7"/>
    <n v="787032"/>
    <n v="373880"/>
    <n v="321991"/>
    <n v="27223"/>
    <n v="2294"/>
    <n v="1790"/>
    <n v="4114"/>
    <n v="12128"/>
    <n v="0.11000618029696482"/>
    <x v="1"/>
  </r>
  <r>
    <x v="664"/>
    <x v="664"/>
    <x v="2"/>
    <x v="5"/>
    <x v="1"/>
    <x v="5"/>
    <n v="566231"/>
    <n v="338765"/>
    <n v="280716"/>
    <n v="9583"/>
    <n v="661"/>
    <n v="549"/>
    <n v="20"/>
    <n v="2892"/>
    <n v="3.8519357642599637E-2"/>
    <x v="0"/>
  </r>
  <r>
    <x v="665"/>
    <x v="665"/>
    <x v="1"/>
    <x v="8"/>
    <x v="3"/>
    <x v="6"/>
    <n v="177372"/>
    <n v="40817"/>
    <n v="34959"/>
    <n v="1967"/>
    <n v="88"/>
    <n v="261"/>
    <n v="426"/>
    <n v="233"/>
    <n v="7.8434737835750445E-2"/>
    <x v="0"/>
  </r>
  <r>
    <x v="666"/>
    <x v="666"/>
    <x v="3"/>
    <x v="9"/>
    <x v="3"/>
    <x v="4"/>
    <n v="136144"/>
    <n v="54111"/>
    <n v="41370"/>
    <n v="2175"/>
    <n v="334"/>
    <n v="138"/>
    <n v="38"/>
    <n v="1271"/>
    <n v="6.4902102973168965E-2"/>
    <x v="2"/>
  </r>
  <r>
    <x v="667"/>
    <x v="667"/>
    <x v="0"/>
    <x v="6"/>
    <x v="3"/>
    <x v="10"/>
    <n v="474100"/>
    <n v="155667"/>
    <n v="125306"/>
    <n v="4370"/>
    <n v="251"/>
    <n v="522"/>
    <n v="1019"/>
    <n v="5152"/>
    <n v="4.9175618086923209E-2"/>
    <x v="0"/>
  </r>
  <r>
    <x v="668"/>
    <x v="668"/>
    <x v="0"/>
    <x v="6"/>
    <x v="3"/>
    <x v="7"/>
    <n v="462391"/>
    <n v="227424"/>
    <n v="206466"/>
    <n v="5870"/>
    <n v="437"/>
    <n v="377"/>
    <n v="955"/>
    <n v="7259"/>
    <n v="3.6998827894181123E-2"/>
    <x v="0"/>
  </r>
  <r>
    <x v="669"/>
    <x v="669"/>
    <x v="2"/>
    <x v="3"/>
    <x v="0"/>
    <x v="5"/>
    <n v="46471"/>
    <n v="23176"/>
    <n v="17297"/>
    <n v="1185"/>
    <n v="137"/>
    <n v="118"/>
    <n v="6"/>
    <n v="357"/>
    <n v="8.3598311845984846E-2"/>
    <x v="0"/>
  </r>
  <r>
    <x v="670"/>
    <x v="670"/>
    <x v="1"/>
    <x v="8"/>
    <x v="5"/>
    <x v="1"/>
    <n v="638115"/>
    <n v="387319"/>
    <n v="294865"/>
    <n v="9976"/>
    <n v="1125"/>
    <n v="859"/>
    <n v="835"/>
    <n v="8889"/>
    <n v="4.3392739050073764E-2"/>
    <x v="0"/>
  </r>
  <r>
    <x v="671"/>
    <x v="671"/>
    <x v="1"/>
    <x v="17"/>
    <x v="3"/>
    <x v="6"/>
    <n v="389991"/>
    <n v="240557"/>
    <n v="190961"/>
    <n v="11231"/>
    <n v="549"/>
    <n v="887"/>
    <n v="2623"/>
    <n v="6371"/>
    <n v="8.0068705128272272E-2"/>
    <x v="2"/>
  </r>
  <r>
    <x v="672"/>
    <x v="672"/>
    <x v="2"/>
    <x v="3"/>
    <x v="2"/>
    <x v="5"/>
    <n v="294479"/>
    <n v="43106"/>
    <n v="37795"/>
    <n v="2787"/>
    <n v="176"/>
    <n v="82"/>
    <n v="10"/>
    <n v="871"/>
    <n v="8.0830797724566736E-2"/>
    <x v="0"/>
  </r>
  <r>
    <x v="673"/>
    <x v="673"/>
    <x v="4"/>
    <x v="14"/>
    <x v="2"/>
    <x v="13"/>
    <n v="107817"/>
    <n v="57433"/>
    <n v="42608"/>
    <n v="3072"/>
    <n v="478"/>
    <n v="311"/>
    <n v="736"/>
    <n v="1367"/>
    <n v="0.10789053698835899"/>
    <x v="0"/>
  </r>
  <r>
    <x v="674"/>
    <x v="674"/>
    <x v="1"/>
    <x v="24"/>
    <x v="3"/>
    <x v="16"/>
    <n v="510542"/>
    <n v="254316"/>
    <n v="185394"/>
    <n v="14772"/>
    <n v="639"/>
    <n v="1286"/>
    <n v="2875"/>
    <n v="2905"/>
    <n v="0.10556975953914366"/>
    <x v="0"/>
  </r>
  <r>
    <x v="675"/>
    <x v="675"/>
    <x v="1"/>
    <x v="17"/>
    <x v="3"/>
    <x v="1"/>
    <n v="645673"/>
    <n v="266548"/>
    <n v="207031"/>
    <n v="13814"/>
    <n v="2391"/>
    <n v="1852"/>
    <n v="3013"/>
    <n v="8329"/>
    <n v="0.10177219836642822"/>
    <x v="1"/>
  </r>
  <r>
    <x v="676"/>
    <x v="676"/>
    <x v="0"/>
    <x v="13"/>
    <x v="3"/>
    <x v="7"/>
    <n v="103722"/>
    <n v="65227"/>
    <n v="56621"/>
    <n v="2946"/>
    <n v="285"/>
    <n v="153"/>
    <n v="397"/>
    <n v="670"/>
    <n v="6.6777344094947108E-2"/>
    <x v="2"/>
  </r>
  <r>
    <x v="677"/>
    <x v="677"/>
    <x v="2"/>
    <x v="5"/>
    <x v="3"/>
    <x v="2"/>
    <n v="632755"/>
    <n v="135327"/>
    <n v="102705"/>
    <n v="4453"/>
    <n v="702"/>
    <n v="325"/>
    <n v="35"/>
    <n v="3809"/>
    <n v="5.3697483082615259E-2"/>
    <x v="0"/>
  </r>
  <r>
    <x v="678"/>
    <x v="678"/>
    <x v="2"/>
    <x v="16"/>
    <x v="3"/>
    <x v="3"/>
    <n v="59787"/>
    <n v="29598"/>
    <n v="24861"/>
    <n v="672"/>
    <n v="65"/>
    <n v="32"/>
    <n v="10"/>
    <n v="623"/>
    <n v="3.13342182534894E-2"/>
    <x v="1"/>
  </r>
  <r>
    <x v="679"/>
    <x v="679"/>
    <x v="1"/>
    <x v="7"/>
    <x v="1"/>
    <x v="6"/>
    <n v="759811"/>
    <n v="2436217"/>
    <n v="2083064"/>
    <n v="182067"/>
    <n v="26404"/>
    <n v="16727"/>
    <n v="32951"/>
    <n v="50087"/>
    <n v="0.12392754135254606"/>
    <x v="0"/>
  </r>
  <r>
    <x v="680"/>
    <x v="680"/>
    <x v="2"/>
    <x v="5"/>
    <x v="5"/>
    <x v="5"/>
    <n v="394541"/>
    <n v="80052"/>
    <n v="60416"/>
    <n v="1666"/>
    <n v="261"/>
    <n v="196"/>
    <n v="33"/>
    <n v="646"/>
    <n v="3.5685911016949151E-2"/>
    <x v="0"/>
  </r>
  <r>
    <x v="681"/>
    <x v="681"/>
    <x v="0"/>
    <x v="22"/>
    <x v="0"/>
    <x v="10"/>
    <n v="812432"/>
    <n v="80636"/>
    <n v="58638"/>
    <n v="5406"/>
    <n v="693"/>
    <n v="200"/>
    <n v="1070"/>
    <n v="1056"/>
    <n v="0.12566936116511476"/>
    <x v="0"/>
  </r>
  <r>
    <x v="682"/>
    <x v="682"/>
    <x v="2"/>
    <x v="19"/>
    <x v="2"/>
    <x v="5"/>
    <n v="102698"/>
    <n v="54614"/>
    <n v="48219"/>
    <n v="3908"/>
    <n v="577"/>
    <n v="294"/>
    <n v="47"/>
    <n v="311"/>
    <n v="0.10008502872311745"/>
    <x v="0"/>
  </r>
  <r>
    <x v="683"/>
    <x v="683"/>
    <x v="3"/>
    <x v="9"/>
    <x v="3"/>
    <x v="4"/>
    <n v="452899"/>
    <n v="285835"/>
    <n v="217601"/>
    <n v="10594"/>
    <n v="1434"/>
    <n v="909"/>
    <n v="24"/>
    <n v="1576"/>
    <n v="5.9563145389956849E-2"/>
    <x v="0"/>
  </r>
  <r>
    <x v="684"/>
    <x v="684"/>
    <x v="4"/>
    <x v="20"/>
    <x v="0"/>
    <x v="12"/>
    <n v="419150"/>
    <n v="140347"/>
    <n v="115631"/>
    <n v="8219"/>
    <n v="656"/>
    <n v="1029"/>
    <n v="2014"/>
    <n v="1103"/>
    <n v="0.1030692461364167"/>
    <x v="0"/>
  </r>
  <r>
    <x v="685"/>
    <x v="685"/>
    <x v="4"/>
    <x v="12"/>
    <x v="3"/>
    <x v="13"/>
    <n v="551330"/>
    <n v="222177"/>
    <n v="158404"/>
    <n v="11021"/>
    <n v="1011"/>
    <n v="1281"/>
    <n v="2390"/>
    <n v="1354"/>
    <n v="9.9132597661675204E-2"/>
    <x v="1"/>
  </r>
  <r>
    <x v="686"/>
    <x v="686"/>
    <x v="0"/>
    <x v="0"/>
    <x v="1"/>
    <x v="7"/>
    <n v="574591"/>
    <n v="360211"/>
    <n v="277652"/>
    <n v="22524"/>
    <n v="2413"/>
    <n v="2964"/>
    <n v="5598"/>
    <n v="2681"/>
    <n v="0.12065103078674023"/>
    <x v="0"/>
  </r>
  <r>
    <x v="687"/>
    <x v="687"/>
    <x v="4"/>
    <x v="12"/>
    <x v="1"/>
    <x v="12"/>
    <n v="176770"/>
    <n v="101776"/>
    <n v="72117"/>
    <n v="4625"/>
    <n v="257"/>
    <n v="575"/>
    <n v="681"/>
    <n v="2795"/>
    <n v="8.5111693498065646E-2"/>
    <x v="0"/>
  </r>
  <r>
    <x v="688"/>
    <x v="688"/>
    <x v="2"/>
    <x v="3"/>
    <x v="4"/>
    <x v="3"/>
    <n v="550360"/>
    <n v="323083"/>
    <n v="272374"/>
    <n v="9204"/>
    <n v="998"/>
    <n v="428"/>
    <n v="39"/>
    <n v="10842"/>
    <n v="3.9170405398459472E-2"/>
    <x v="0"/>
  </r>
  <r>
    <x v="689"/>
    <x v="689"/>
    <x v="1"/>
    <x v="24"/>
    <x v="4"/>
    <x v="16"/>
    <n v="174716"/>
    <n v="96576"/>
    <n v="74353"/>
    <n v="2970"/>
    <n v="298"/>
    <n v="442"/>
    <n v="151"/>
    <n v="2515"/>
    <n v="5.1927965246862939E-2"/>
    <x v="0"/>
  </r>
  <r>
    <x v="690"/>
    <x v="690"/>
    <x v="4"/>
    <x v="10"/>
    <x v="1"/>
    <x v="13"/>
    <n v="625830"/>
    <n v="175081"/>
    <n v="156581"/>
    <n v="7125"/>
    <n v="228"/>
    <n v="320"/>
    <n v="761"/>
    <n v="5663"/>
    <n v="5.3863495570982432E-2"/>
    <x v="0"/>
  </r>
  <r>
    <x v="691"/>
    <x v="691"/>
    <x v="2"/>
    <x v="3"/>
    <x v="1"/>
    <x v="5"/>
    <n v="83739"/>
    <n v="11614"/>
    <n v="8845"/>
    <n v="415"/>
    <n v="18"/>
    <n v="51"/>
    <n v="37"/>
    <n v="282"/>
    <n v="5.8903335217637083E-2"/>
    <x v="0"/>
  </r>
  <r>
    <x v="692"/>
    <x v="692"/>
    <x v="3"/>
    <x v="9"/>
    <x v="0"/>
    <x v="9"/>
    <n v="5300"/>
    <n v="3412"/>
    <n v="3086"/>
    <n v="194"/>
    <n v="9"/>
    <n v="15"/>
    <n v="0"/>
    <n v="50"/>
    <n v="7.0641607258587175E-2"/>
    <x v="2"/>
  </r>
  <r>
    <x v="693"/>
    <x v="693"/>
    <x v="2"/>
    <x v="16"/>
    <x v="4"/>
    <x v="2"/>
    <n v="345478"/>
    <n v="177300"/>
    <n v="145959"/>
    <n v="7559"/>
    <n v="663"/>
    <n v="617"/>
    <n v="19"/>
    <n v="5347"/>
    <n v="6.0688275474619587E-2"/>
    <x v="0"/>
  </r>
  <r>
    <x v="694"/>
    <x v="694"/>
    <x v="1"/>
    <x v="24"/>
    <x v="4"/>
    <x v="16"/>
    <n v="460982"/>
    <n v="165655"/>
    <n v="125089"/>
    <n v="4508"/>
    <n v="743"/>
    <n v="472"/>
    <n v="385"/>
    <n v="5132"/>
    <n v="4.8829233585686992E-2"/>
    <x v="1"/>
  </r>
  <r>
    <x v="695"/>
    <x v="695"/>
    <x v="2"/>
    <x v="5"/>
    <x v="1"/>
    <x v="5"/>
    <n v="403535"/>
    <n v="246931"/>
    <n v="183490"/>
    <n v="10287"/>
    <n v="609"/>
    <n v="989"/>
    <n v="21"/>
    <n v="1931"/>
    <n v="6.4886369829418492E-2"/>
    <x v="0"/>
  </r>
  <r>
    <x v="696"/>
    <x v="696"/>
    <x v="3"/>
    <x v="15"/>
    <x v="2"/>
    <x v="14"/>
    <n v="290807"/>
    <n v="89285"/>
    <n v="76333"/>
    <n v="3254"/>
    <n v="125"/>
    <n v="307"/>
    <n v="1"/>
    <n v="2758"/>
    <n v="4.8301520967340472E-2"/>
    <x v="2"/>
  </r>
  <r>
    <x v="697"/>
    <x v="697"/>
    <x v="1"/>
    <x v="1"/>
    <x v="4"/>
    <x v="6"/>
    <n v="42548"/>
    <n v="18268"/>
    <n v="13403"/>
    <n v="1172"/>
    <n v="188"/>
    <n v="43"/>
    <n v="156"/>
    <n v="554"/>
    <n v="0.11631724240841602"/>
    <x v="0"/>
  </r>
  <r>
    <x v="698"/>
    <x v="698"/>
    <x v="4"/>
    <x v="21"/>
    <x v="5"/>
    <x v="17"/>
    <n v="689427"/>
    <n v="61706"/>
    <n v="54709"/>
    <n v="2405"/>
    <n v="328"/>
    <n v="331"/>
    <n v="402"/>
    <n v="2056"/>
    <n v="6.3353378785940162E-2"/>
    <x v="0"/>
  </r>
  <r>
    <x v="699"/>
    <x v="699"/>
    <x v="4"/>
    <x v="10"/>
    <x v="0"/>
    <x v="17"/>
    <n v="766866"/>
    <n v="136788"/>
    <n v="104043"/>
    <n v="4366"/>
    <n v="462"/>
    <n v="185"/>
    <n v="870"/>
    <n v="4122"/>
    <n v="5.6543928952452353E-2"/>
    <x v="0"/>
  </r>
  <r>
    <x v="700"/>
    <x v="700"/>
    <x v="0"/>
    <x v="6"/>
    <x v="1"/>
    <x v="10"/>
    <n v="92777"/>
    <n v="31907"/>
    <n v="28778"/>
    <n v="987"/>
    <n v="42"/>
    <n v="60"/>
    <n v="173"/>
    <n v="178"/>
    <n v="4.3852943220515674E-2"/>
    <x v="0"/>
  </r>
  <r>
    <x v="701"/>
    <x v="701"/>
    <x v="2"/>
    <x v="19"/>
    <x v="4"/>
    <x v="5"/>
    <n v="325233"/>
    <n v="145093"/>
    <n v="125422"/>
    <n v="9327"/>
    <n v="714"/>
    <n v="646"/>
    <n v="18"/>
    <n v="1500"/>
    <n v="8.5351852147151214E-2"/>
    <x v="0"/>
  </r>
  <r>
    <x v="702"/>
    <x v="702"/>
    <x v="1"/>
    <x v="24"/>
    <x v="0"/>
    <x v="16"/>
    <n v="311758"/>
    <n v="103058"/>
    <n v="83247"/>
    <n v="5639"/>
    <n v="464"/>
    <n v="583"/>
    <n v="789"/>
    <n v="2466"/>
    <n v="8.9793025574495172E-2"/>
    <x v="1"/>
  </r>
  <r>
    <x v="703"/>
    <x v="703"/>
    <x v="3"/>
    <x v="18"/>
    <x v="0"/>
    <x v="14"/>
    <n v="457428"/>
    <n v="248025"/>
    <n v="189369"/>
    <n v="10052"/>
    <n v="1761"/>
    <n v="921"/>
    <n v="47"/>
    <n v="7150"/>
    <n v="6.749256742127803E-2"/>
    <x v="0"/>
  </r>
  <r>
    <x v="704"/>
    <x v="704"/>
    <x v="2"/>
    <x v="3"/>
    <x v="2"/>
    <x v="15"/>
    <n v="544645"/>
    <n v="101446"/>
    <n v="81440"/>
    <n v="3994"/>
    <n v="457"/>
    <n v="421"/>
    <n v="2"/>
    <n v="1488"/>
    <n v="5.9847740667976428E-2"/>
    <x v="0"/>
  </r>
  <r>
    <x v="705"/>
    <x v="705"/>
    <x v="2"/>
    <x v="3"/>
    <x v="5"/>
    <x v="15"/>
    <n v="198700"/>
    <n v="50584"/>
    <n v="41493"/>
    <n v="3294"/>
    <n v="315"/>
    <n v="329"/>
    <n v="37"/>
    <n v="1126"/>
    <n v="9.5799291446750048E-2"/>
    <x v="0"/>
  </r>
  <r>
    <x v="706"/>
    <x v="706"/>
    <x v="0"/>
    <x v="23"/>
    <x v="1"/>
    <x v="7"/>
    <n v="508498"/>
    <n v="127683"/>
    <n v="110815"/>
    <n v="9455"/>
    <n v="1002"/>
    <n v="706"/>
    <n v="1936"/>
    <n v="4292"/>
    <n v="0.11820601904074358"/>
    <x v="0"/>
  </r>
  <r>
    <x v="707"/>
    <x v="707"/>
    <x v="0"/>
    <x v="13"/>
    <x v="4"/>
    <x v="10"/>
    <n v="210602"/>
    <n v="85031"/>
    <n v="61951"/>
    <n v="3400"/>
    <n v="591"/>
    <n v="496"/>
    <n v="380"/>
    <n v="2378"/>
    <n v="7.8562089393230131E-2"/>
    <x v="1"/>
  </r>
  <r>
    <x v="708"/>
    <x v="708"/>
    <x v="4"/>
    <x v="12"/>
    <x v="0"/>
    <x v="17"/>
    <n v="318417"/>
    <n v="58976"/>
    <n v="46947"/>
    <n v="3741"/>
    <n v="198"/>
    <n v="344"/>
    <n v="767"/>
    <n v="303"/>
    <n v="0.10756810871834196"/>
    <x v="0"/>
  </r>
  <r>
    <x v="709"/>
    <x v="709"/>
    <x v="2"/>
    <x v="5"/>
    <x v="3"/>
    <x v="2"/>
    <n v="488498"/>
    <n v="251548"/>
    <n v="197532"/>
    <n v="9835"/>
    <n v="1674"/>
    <n v="707"/>
    <n v="20"/>
    <n v="8034"/>
    <n v="6.1944393819735537E-2"/>
    <x v="1"/>
  </r>
  <r>
    <x v="710"/>
    <x v="710"/>
    <x v="3"/>
    <x v="11"/>
    <x v="5"/>
    <x v="4"/>
    <n v="704916"/>
    <n v="292021"/>
    <n v="261308"/>
    <n v="8962"/>
    <n v="584"/>
    <n v="601"/>
    <n v="32"/>
    <n v="8672"/>
    <n v="3.8954031258132168E-2"/>
    <x v="1"/>
  </r>
  <r>
    <x v="711"/>
    <x v="711"/>
    <x v="1"/>
    <x v="8"/>
    <x v="3"/>
    <x v="16"/>
    <n v="48897"/>
    <n v="16046"/>
    <n v="12588"/>
    <n v="494"/>
    <n v="25"/>
    <n v="29"/>
    <n v="91"/>
    <n v="311"/>
    <n v="5.0762631077216396E-2"/>
    <x v="0"/>
  </r>
  <r>
    <x v="712"/>
    <x v="712"/>
    <x v="3"/>
    <x v="11"/>
    <x v="3"/>
    <x v="9"/>
    <n v="365608"/>
    <n v="50381"/>
    <n v="44173"/>
    <n v="1044"/>
    <n v="81"/>
    <n v="98"/>
    <n v="24"/>
    <n v="1289"/>
    <n v="2.82299142009825E-2"/>
    <x v="0"/>
  </r>
  <r>
    <x v="713"/>
    <x v="713"/>
    <x v="4"/>
    <x v="14"/>
    <x v="3"/>
    <x v="11"/>
    <n v="780611"/>
    <n v="331035"/>
    <n v="297867"/>
    <n v="16592"/>
    <n v="2441"/>
    <n v="1867"/>
    <n v="3630"/>
    <n v="11305"/>
    <n v="8.2352190742848316E-2"/>
    <x v="0"/>
  </r>
  <r>
    <x v="714"/>
    <x v="714"/>
    <x v="2"/>
    <x v="19"/>
    <x v="0"/>
    <x v="15"/>
    <n v="355991"/>
    <n v="172054"/>
    <n v="127917"/>
    <n v="11832"/>
    <n v="1646"/>
    <n v="936"/>
    <n v="3"/>
    <n v="3259"/>
    <n v="0.11270589522893751"/>
    <x v="0"/>
  </r>
  <r>
    <x v="715"/>
    <x v="715"/>
    <x v="4"/>
    <x v="21"/>
    <x v="4"/>
    <x v="11"/>
    <n v="267083"/>
    <n v="124126"/>
    <n v="109257"/>
    <n v="6524"/>
    <n v="370"/>
    <n v="433"/>
    <n v="349"/>
    <n v="1829"/>
    <n v="7.0256368013033491E-2"/>
    <x v="1"/>
  </r>
  <r>
    <x v="716"/>
    <x v="716"/>
    <x v="4"/>
    <x v="21"/>
    <x v="4"/>
    <x v="13"/>
    <n v="263204"/>
    <n v="101318"/>
    <n v="87122"/>
    <n v="5873"/>
    <n v="555"/>
    <n v="327"/>
    <n v="1435"/>
    <n v="2600"/>
    <n v="9.4006106379559695E-2"/>
    <x v="0"/>
  </r>
  <r>
    <x v="717"/>
    <x v="717"/>
    <x v="3"/>
    <x v="9"/>
    <x v="2"/>
    <x v="9"/>
    <n v="344952"/>
    <n v="56450"/>
    <n v="47436"/>
    <n v="4116"/>
    <n v="359"/>
    <n v="606"/>
    <n v="5"/>
    <n v="854"/>
    <n v="0.1072181465553588"/>
    <x v="1"/>
  </r>
  <r>
    <x v="718"/>
    <x v="718"/>
    <x v="1"/>
    <x v="24"/>
    <x v="4"/>
    <x v="6"/>
    <n v="456989"/>
    <n v="243290"/>
    <n v="184271"/>
    <n v="9291"/>
    <n v="995"/>
    <n v="1217"/>
    <n v="917"/>
    <n v="7047"/>
    <n v="6.7400730445919321E-2"/>
    <x v="0"/>
  </r>
  <r>
    <x v="719"/>
    <x v="719"/>
    <x v="2"/>
    <x v="3"/>
    <x v="4"/>
    <x v="5"/>
    <n v="292802"/>
    <n v="31058"/>
    <n v="27956"/>
    <n v="1884"/>
    <n v="133"/>
    <n v="137"/>
    <n v="1"/>
    <n v="883"/>
    <n v="7.7085419945628841E-2"/>
    <x v="1"/>
  </r>
  <r>
    <x v="720"/>
    <x v="720"/>
    <x v="0"/>
    <x v="22"/>
    <x v="0"/>
    <x v="0"/>
    <n v="21450"/>
    <n v="4418"/>
    <n v="3372"/>
    <n v="277"/>
    <n v="42"/>
    <n v="26"/>
    <n v="49"/>
    <n v="65"/>
    <n v="0.11684460260972716"/>
    <x v="0"/>
  </r>
  <r>
    <x v="721"/>
    <x v="721"/>
    <x v="0"/>
    <x v="23"/>
    <x v="3"/>
    <x v="0"/>
    <n v="486887"/>
    <n v="177429"/>
    <n v="151435"/>
    <n v="10713"/>
    <n v="732"/>
    <n v="259"/>
    <n v="2361"/>
    <n v="6038"/>
    <n v="9.2878132532109484E-2"/>
    <x v="1"/>
  </r>
  <r>
    <x v="722"/>
    <x v="722"/>
    <x v="3"/>
    <x v="15"/>
    <x v="5"/>
    <x v="4"/>
    <n v="789831"/>
    <n v="366849"/>
    <n v="269376"/>
    <n v="20211"/>
    <n v="2498"/>
    <n v="1888"/>
    <n v="26"/>
    <n v="12793"/>
    <n v="9.1407549299120927E-2"/>
    <x v="0"/>
  </r>
  <r>
    <x v="723"/>
    <x v="723"/>
    <x v="1"/>
    <x v="1"/>
    <x v="1"/>
    <x v="16"/>
    <n v="399311"/>
    <n v="225335"/>
    <n v="177353"/>
    <n v="7363"/>
    <n v="343"/>
    <n v="424"/>
    <n v="1641"/>
    <n v="6310"/>
    <n v="5.5093514065169463E-2"/>
    <x v="2"/>
  </r>
  <r>
    <x v="724"/>
    <x v="724"/>
    <x v="1"/>
    <x v="1"/>
    <x v="1"/>
    <x v="1"/>
    <n v="337418"/>
    <n v="148213"/>
    <n v="132598"/>
    <n v="11503"/>
    <n v="1659"/>
    <n v="705"/>
    <n v="1807"/>
    <n v="2484"/>
    <n v="0.11820691111479811"/>
    <x v="1"/>
  </r>
  <r>
    <x v="725"/>
    <x v="725"/>
    <x v="2"/>
    <x v="5"/>
    <x v="0"/>
    <x v="2"/>
    <n v="304917"/>
    <n v="1596057"/>
    <n v="1280172"/>
    <n v="48418"/>
    <n v="8041"/>
    <n v="3381"/>
    <n v="41"/>
    <n v="27999"/>
    <n v="4.6775745759163614E-2"/>
    <x v="0"/>
  </r>
  <r>
    <x v="726"/>
    <x v="726"/>
    <x v="1"/>
    <x v="8"/>
    <x v="1"/>
    <x v="6"/>
    <n v="631192"/>
    <n v="197564"/>
    <n v="152421"/>
    <n v="6914"/>
    <n v="797"/>
    <n v="562"/>
    <n v="471"/>
    <n v="3182"/>
    <n v="5.7367423124110195E-2"/>
    <x v="1"/>
  </r>
  <r>
    <x v="727"/>
    <x v="727"/>
    <x v="3"/>
    <x v="4"/>
    <x v="0"/>
    <x v="4"/>
    <n v="389491"/>
    <n v="84289"/>
    <n v="76380"/>
    <n v="6345"/>
    <n v="497"/>
    <n v="368"/>
    <n v="1"/>
    <n v="944"/>
    <n v="9.4409531290913853E-2"/>
    <x v="0"/>
  </r>
  <r>
    <x v="728"/>
    <x v="728"/>
    <x v="1"/>
    <x v="8"/>
    <x v="3"/>
    <x v="6"/>
    <n v="845226"/>
    <n v="227211"/>
    <n v="171287"/>
    <n v="14387"/>
    <n v="582"/>
    <n v="1687"/>
    <n v="2681"/>
    <n v="3905"/>
    <n v="0.11289239697116535"/>
    <x v="0"/>
  </r>
  <r>
    <x v="729"/>
    <x v="729"/>
    <x v="2"/>
    <x v="3"/>
    <x v="4"/>
    <x v="15"/>
    <n v="753065"/>
    <n v="338006"/>
    <n v="289755"/>
    <n v="15653"/>
    <n v="2413"/>
    <n v="434"/>
    <n v="25"/>
    <n v="10089"/>
    <n v="6.3933322979758761E-2"/>
    <x v="1"/>
  </r>
  <r>
    <x v="730"/>
    <x v="730"/>
    <x v="3"/>
    <x v="9"/>
    <x v="3"/>
    <x v="9"/>
    <n v="111156"/>
    <n v="25524"/>
    <n v="21122"/>
    <n v="1722"/>
    <n v="238"/>
    <n v="116"/>
    <n v="42"/>
    <n v="387"/>
    <n v="0.10027459520878705"/>
    <x v="2"/>
  </r>
  <r>
    <x v="731"/>
    <x v="731"/>
    <x v="4"/>
    <x v="14"/>
    <x v="4"/>
    <x v="12"/>
    <n v="483001"/>
    <n v="173976"/>
    <n v="150756"/>
    <n v="7054"/>
    <n v="940"/>
    <n v="444"/>
    <n v="988"/>
    <n v="2216"/>
    <n v="6.2524874631855451E-2"/>
    <x v="0"/>
  </r>
  <r>
    <x v="732"/>
    <x v="732"/>
    <x v="0"/>
    <x v="22"/>
    <x v="0"/>
    <x v="7"/>
    <n v="593413"/>
    <n v="145976"/>
    <n v="107267"/>
    <n v="8471"/>
    <n v="858"/>
    <n v="653"/>
    <n v="923"/>
    <n v="3986"/>
    <n v="0.10166220738903857"/>
    <x v="1"/>
  </r>
  <r>
    <x v="733"/>
    <x v="733"/>
    <x v="2"/>
    <x v="3"/>
    <x v="4"/>
    <x v="5"/>
    <n v="31865"/>
    <n v="13142"/>
    <n v="10888"/>
    <n v="467"/>
    <n v="64"/>
    <n v="54"/>
    <n v="33"/>
    <n v="225"/>
    <n v="5.6759735488611317E-2"/>
    <x v="1"/>
  </r>
  <r>
    <x v="734"/>
    <x v="734"/>
    <x v="3"/>
    <x v="18"/>
    <x v="5"/>
    <x v="14"/>
    <n v="395047"/>
    <n v="240135"/>
    <n v="177029"/>
    <n v="12370"/>
    <n v="696"/>
    <n v="1690"/>
    <n v="0"/>
    <n v="6018"/>
    <n v="8.3353574838020889E-2"/>
    <x v="0"/>
  </r>
  <r>
    <x v="735"/>
    <x v="735"/>
    <x v="1"/>
    <x v="24"/>
    <x v="1"/>
    <x v="6"/>
    <n v="684070"/>
    <n v="249213"/>
    <n v="224489"/>
    <n v="18535"/>
    <n v="2891"/>
    <n v="2408"/>
    <n v="3829"/>
    <n v="5164"/>
    <n v="0.12322652780314403"/>
    <x v="0"/>
  </r>
  <r>
    <x v="736"/>
    <x v="736"/>
    <x v="2"/>
    <x v="19"/>
    <x v="5"/>
    <x v="15"/>
    <n v="287160"/>
    <n v="110501"/>
    <n v="90423"/>
    <n v="2736"/>
    <n v="409"/>
    <n v="213"/>
    <n v="33"/>
    <n v="1374"/>
    <n v="3.7501520630812954E-2"/>
    <x v="0"/>
  </r>
  <r>
    <x v="737"/>
    <x v="737"/>
    <x v="1"/>
    <x v="8"/>
    <x v="4"/>
    <x v="8"/>
    <n v="188549"/>
    <n v="80549"/>
    <n v="61301"/>
    <n v="5202"/>
    <n v="728"/>
    <n v="724"/>
    <n v="1202"/>
    <n v="723"/>
    <n v="0.12815451623953933"/>
    <x v="0"/>
  </r>
  <r>
    <x v="738"/>
    <x v="738"/>
    <x v="3"/>
    <x v="9"/>
    <x v="3"/>
    <x v="9"/>
    <n v="565515"/>
    <n v="61707"/>
    <n v="51800"/>
    <n v="1961"/>
    <n v="93"/>
    <n v="60"/>
    <n v="12"/>
    <n v="493"/>
    <n v="4.1042471042471045E-2"/>
    <x v="0"/>
  </r>
  <r>
    <x v="739"/>
    <x v="739"/>
    <x v="4"/>
    <x v="21"/>
    <x v="3"/>
    <x v="12"/>
    <n v="757455"/>
    <n v="396236"/>
    <n v="328704"/>
    <n v="23019"/>
    <n v="3299"/>
    <n v="3429"/>
    <n v="2309"/>
    <n v="6821"/>
    <n v="9.7522390965732092E-2"/>
    <x v="0"/>
  </r>
  <r>
    <x v="740"/>
    <x v="740"/>
    <x v="2"/>
    <x v="2"/>
    <x v="5"/>
    <x v="3"/>
    <n v="279533"/>
    <n v="62040"/>
    <n v="52679"/>
    <n v="3113"/>
    <n v="385"/>
    <n v="107"/>
    <n v="48"/>
    <n v="2070"/>
    <n v="6.9344520586951161E-2"/>
    <x v="0"/>
  </r>
  <r>
    <x v="741"/>
    <x v="741"/>
    <x v="1"/>
    <x v="8"/>
    <x v="2"/>
    <x v="8"/>
    <n v="708166"/>
    <n v="430153"/>
    <n v="333512"/>
    <n v="26332"/>
    <n v="4038"/>
    <n v="1189"/>
    <n v="1889"/>
    <n v="5142"/>
    <n v="0.10029024442898607"/>
    <x v="0"/>
  </r>
  <r>
    <x v="742"/>
    <x v="742"/>
    <x v="2"/>
    <x v="19"/>
    <x v="4"/>
    <x v="3"/>
    <n v="641635"/>
    <n v="297061"/>
    <n v="218163"/>
    <n v="19601"/>
    <n v="2898"/>
    <n v="2563"/>
    <n v="39"/>
    <n v="7390"/>
    <n v="0.11505617359497257"/>
    <x v="0"/>
  </r>
  <r>
    <x v="743"/>
    <x v="743"/>
    <x v="2"/>
    <x v="3"/>
    <x v="0"/>
    <x v="3"/>
    <n v="497408"/>
    <n v="276374"/>
    <n v="202277"/>
    <n v="11061"/>
    <n v="919"/>
    <n v="1292"/>
    <n v="28"/>
    <n v="3935"/>
    <n v="6.5751420082362302E-2"/>
    <x v="0"/>
  </r>
  <r>
    <x v="744"/>
    <x v="744"/>
    <x v="2"/>
    <x v="19"/>
    <x v="3"/>
    <x v="3"/>
    <n v="679662"/>
    <n v="432089"/>
    <n v="328528"/>
    <n v="29862"/>
    <n v="1801"/>
    <n v="3167"/>
    <n v="16"/>
    <n v="5981"/>
    <n v="0.10606706277699313"/>
    <x v="0"/>
  </r>
  <r>
    <x v="745"/>
    <x v="745"/>
    <x v="0"/>
    <x v="13"/>
    <x v="1"/>
    <x v="10"/>
    <n v="211640"/>
    <n v="91429"/>
    <n v="81226"/>
    <n v="2414"/>
    <n v="160"/>
    <n v="150"/>
    <n v="352"/>
    <n v="2435"/>
    <n v="3.7869647649767316E-2"/>
    <x v="0"/>
  </r>
  <r>
    <x v="746"/>
    <x v="746"/>
    <x v="2"/>
    <x v="5"/>
    <x v="5"/>
    <x v="2"/>
    <n v="64698"/>
    <n v="28763"/>
    <n v="23537"/>
    <n v="1331"/>
    <n v="96"/>
    <n v="108"/>
    <n v="47"/>
    <n v="207"/>
    <n v="6.7213323703105746E-2"/>
    <x v="2"/>
  </r>
  <r>
    <x v="747"/>
    <x v="747"/>
    <x v="1"/>
    <x v="7"/>
    <x v="5"/>
    <x v="16"/>
    <n v="591628"/>
    <n v="130027"/>
    <n v="106654"/>
    <n v="7754"/>
    <n v="880"/>
    <n v="978"/>
    <n v="1457"/>
    <n v="1198"/>
    <n v="0.10378419937367563"/>
    <x v="1"/>
  </r>
  <r>
    <x v="748"/>
    <x v="748"/>
    <x v="0"/>
    <x v="23"/>
    <x v="3"/>
    <x v="10"/>
    <n v="227747"/>
    <n v="79015"/>
    <n v="61606"/>
    <n v="2523"/>
    <n v="443"/>
    <n v="135"/>
    <n v="430"/>
    <n v="2605"/>
    <n v="5.7315845859169559E-2"/>
    <x v="0"/>
  </r>
  <r>
    <x v="749"/>
    <x v="749"/>
    <x v="2"/>
    <x v="19"/>
    <x v="1"/>
    <x v="15"/>
    <n v="539645"/>
    <n v="217184"/>
    <n v="197887"/>
    <n v="15720"/>
    <n v="1242"/>
    <n v="1415"/>
    <n v="18"/>
    <n v="4831"/>
    <n v="9.2957091673530848E-2"/>
    <x v="1"/>
  </r>
  <r>
    <x v="750"/>
    <x v="750"/>
    <x v="3"/>
    <x v="11"/>
    <x v="1"/>
    <x v="9"/>
    <n v="839883"/>
    <n v="474825"/>
    <n v="428742"/>
    <n v="26875"/>
    <n v="4809"/>
    <n v="3164"/>
    <n v="49"/>
    <n v="12116"/>
    <n v="8.1393938545792105E-2"/>
    <x v="1"/>
  </r>
  <r>
    <x v="751"/>
    <x v="751"/>
    <x v="1"/>
    <x v="24"/>
    <x v="2"/>
    <x v="16"/>
    <n v="681809"/>
    <n v="231001"/>
    <n v="196898"/>
    <n v="15988"/>
    <n v="1516"/>
    <n v="364"/>
    <n v="2637"/>
    <n v="1199"/>
    <n v="0.10414021473046958"/>
    <x v="1"/>
  </r>
  <r>
    <x v="752"/>
    <x v="752"/>
    <x v="2"/>
    <x v="5"/>
    <x v="5"/>
    <x v="5"/>
    <n v="615263"/>
    <n v="163766"/>
    <n v="138184"/>
    <n v="5243"/>
    <n v="803"/>
    <n v="735"/>
    <n v="45"/>
    <n v="5079"/>
    <n v="4.9397904243617209E-2"/>
    <x v="0"/>
  </r>
  <r>
    <x v="753"/>
    <x v="753"/>
    <x v="1"/>
    <x v="17"/>
    <x v="2"/>
    <x v="6"/>
    <n v="819826"/>
    <n v="228449"/>
    <n v="176372"/>
    <n v="8891"/>
    <n v="573"/>
    <n v="419"/>
    <n v="983"/>
    <n v="4050"/>
    <n v="6.160841856984102E-2"/>
    <x v="0"/>
  </r>
  <r>
    <x v="754"/>
    <x v="754"/>
    <x v="2"/>
    <x v="19"/>
    <x v="3"/>
    <x v="15"/>
    <n v="468017"/>
    <n v="265312"/>
    <n v="207922"/>
    <n v="12418"/>
    <n v="1116"/>
    <n v="580"/>
    <n v="24"/>
    <n v="6024"/>
    <n v="6.7996652590875423E-2"/>
    <x v="0"/>
  </r>
  <r>
    <x v="755"/>
    <x v="755"/>
    <x v="3"/>
    <x v="11"/>
    <x v="0"/>
    <x v="9"/>
    <n v="128704"/>
    <n v="64630"/>
    <n v="55900"/>
    <n v="2521"/>
    <n v="147"/>
    <n v="373"/>
    <n v="32"/>
    <n v="1020"/>
    <n v="5.4973166368515208E-2"/>
    <x v="0"/>
  </r>
  <r>
    <x v="756"/>
    <x v="756"/>
    <x v="2"/>
    <x v="16"/>
    <x v="3"/>
    <x v="15"/>
    <n v="374410"/>
    <n v="96107"/>
    <n v="76454"/>
    <n v="6810"/>
    <n v="511"/>
    <n v="1021"/>
    <n v="5"/>
    <n v="2355"/>
    <n v="0.10917675988175897"/>
    <x v="1"/>
  </r>
  <r>
    <x v="757"/>
    <x v="757"/>
    <x v="0"/>
    <x v="22"/>
    <x v="0"/>
    <x v="0"/>
    <n v="188473"/>
    <n v="28823"/>
    <n v="21065"/>
    <n v="1388"/>
    <n v="49"/>
    <n v="135"/>
    <n v="127"/>
    <n v="783"/>
    <n v="8.0655115119867074E-2"/>
    <x v="0"/>
  </r>
  <r>
    <x v="758"/>
    <x v="758"/>
    <x v="2"/>
    <x v="5"/>
    <x v="0"/>
    <x v="5"/>
    <n v="780508"/>
    <n v="359923"/>
    <n v="321554"/>
    <n v="9560"/>
    <n v="519"/>
    <n v="809"/>
    <n v="19"/>
    <n v="6158"/>
    <n v="3.3919652686640503E-2"/>
    <x v="0"/>
  </r>
  <r>
    <x v="759"/>
    <x v="759"/>
    <x v="4"/>
    <x v="10"/>
    <x v="5"/>
    <x v="12"/>
    <n v="495857"/>
    <n v="2689591"/>
    <n v="1910227"/>
    <n v="114636"/>
    <n v="13730"/>
    <n v="10119"/>
    <n v="9358"/>
    <n v="14653"/>
    <n v="7.7395513726902621E-2"/>
    <x v="2"/>
  </r>
  <r>
    <x v="760"/>
    <x v="760"/>
    <x v="2"/>
    <x v="16"/>
    <x v="3"/>
    <x v="2"/>
    <n v="143434"/>
    <n v="77651"/>
    <n v="59675"/>
    <n v="3740"/>
    <n v="618"/>
    <n v="137"/>
    <n v="42"/>
    <n v="1646"/>
    <n v="7.6028487641390863E-2"/>
    <x v="2"/>
  </r>
  <r>
    <x v="761"/>
    <x v="761"/>
    <x v="2"/>
    <x v="2"/>
    <x v="0"/>
    <x v="5"/>
    <n v="232464"/>
    <n v="125322"/>
    <n v="93944"/>
    <n v="3124"/>
    <n v="138"/>
    <n v="226"/>
    <n v="39"/>
    <n v="1022"/>
    <n v="3.7543643021374438E-2"/>
    <x v="0"/>
  </r>
  <r>
    <x v="762"/>
    <x v="762"/>
    <x v="0"/>
    <x v="6"/>
    <x v="4"/>
    <x v="10"/>
    <n v="547672"/>
    <n v="352129"/>
    <n v="305358"/>
    <n v="9825"/>
    <n v="916"/>
    <n v="1041"/>
    <n v="1629"/>
    <n v="11633"/>
    <n v="4.3918941046247356E-2"/>
    <x v="0"/>
  </r>
  <r>
    <x v="763"/>
    <x v="763"/>
    <x v="1"/>
    <x v="8"/>
    <x v="2"/>
    <x v="16"/>
    <n v="667958"/>
    <n v="3390872"/>
    <n v="2669592"/>
    <n v="70200"/>
    <n v="7168"/>
    <n v="9231"/>
    <n v="6145"/>
    <n v="105407"/>
    <n v="3.4740889244498786E-2"/>
    <x v="2"/>
  </r>
  <r>
    <x v="764"/>
    <x v="764"/>
    <x v="3"/>
    <x v="15"/>
    <x v="1"/>
    <x v="4"/>
    <n v="126042"/>
    <n v="57174"/>
    <n v="51642"/>
    <n v="2300"/>
    <n v="376"/>
    <n v="122"/>
    <n v="31"/>
    <n v="1610"/>
    <n v="5.4780992215638431E-2"/>
    <x v="0"/>
  </r>
  <r>
    <x v="765"/>
    <x v="765"/>
    <x v="3"/>
    <x v="15"/>
    <x v="2"/>
    <x v="4"/>
    <n v="449732"/>
    <n v="283290"/>
    <n v="204197"/>
    <n v="22239"/>
    <n v="3436"/>
    <n v="792"/>
    <n v="45"/>
    <n v="3929"/>
    <n v="0.12983540404609276"/>
    <x v="1"/>
  </r>
  <r>
    <x v="766"/>
    <x v="766"/>
    <x v="4"/>
    <x v="21"/>
    <x v="0"/>
    <x v="13"/>
    <n v="538222"/>
    <n v="300762"/>
    <n v="261873"/>
    <n v="9600"/>
    <n v="1360"/>
    <n v="847"/>
    <n v="1977"/>
    <n v="6582"/>
    <n v="5.2636201517529492E-2"/>
    <x v="0"/>
  </r>
  <r>
    <x v="767"/>
    <x v="767"/>
    <x v="1"/>
    <x v="7"/>
    <x v="0"/>
    <x v="1"/>
    <n v="168961"/>
    <n v="29468"/>
    <n v="26196"/>
    <n v="989"/>
    <n v="167"/>
    <n v="111"/>
    <n v="156"/>
    <n v="991"/>
    <n v="5.4321270422965341E-2"/>
    <x v="0"/>
  </r>
  <r>
    <x v="768"/>
    <x v="768"/>
    <x v="0"/>
    <x v="6"/>
    <x v="1"/>
    <x v="7"/>
    <n v="502194"/>
    <n v="79139"/>
    <n v="55403"/>
    <n v="2776"/>
    <n v="314"/>
    <n v="167"/>
    <n v="651"/>
    <n v="1851"/>
    <n v="7.053769651462917E-2"/>
    <x v="2"/>
  </r>
  <r>
    <x v="769"/>
    <x v="769"/>
    <x v="2"/>
    <x v="5"/>
    <x v="0"/>
    <x v="2"/>
    <n v="827008"/>
    <n v="263679"/>
    <n v="195792"/>
    <n v="18473"/>
    <n v="749"/>
    <n v="2682"/>
    <n v="17"/>
    <n v="2429"/>
    <n v="0.1119606521206178"/>
    <x v="0"/>
  </r>
  <r>
    <x v="770"/>
    <x v="770"/>
    <x v="1"/>
    <x v="8"/>
    <x v="3"/>
    <x v="16"/>
    <n v="707392"/>
    <n v="188631"/>
    <n v="136909"/>
    <n v="7294"/>
    <n v="331"/>
    <n v="741"/>
    <n v="1051"/>
    <n v="4680"/>
    <n v="6.8782914198482203E-2"/>
    <x v="0"/>
  </r>
  <r>
    <x v="771"/>
    <x v="771"/>
    <x v="2"/>
    <x v="5"/>
    <x v="2"/>
    <x v="3"/>
    <n v="287820"/>
    <n v="29747"/>
    <n v="21561"/>
    <n v="1427"/>
    <n v="168"/>
    <n v="191"/>
    <n v="44"/>
    <n v="921"/>
    <n v="8.487546959788507E-2"/>
    <x v="0"/>
  </r>
  <r>
    <x v="772"/>
    <x v="772"/>
    <x v="4"/>
    <x v="21"/>
    <x v="1"/>
    <x v="11"/>
    <n v="255513"/>
    <n v="117280"/>
    <n v="106949"/>
    <n v="5312"/>
    <n v="667"/>
    <n v="703"/>
    <n v="563"/>
    <n v="3133"/>
    <n v="6.7742568887974641E-2"/>
    <x v="0"/>
  </r>
  <r>
    <x v="773"/>
    <x v="773"/>
    <x v="2"/>
    <x v="3"/>
    <x v="5"/>
    <x v="15"/>
    <n v="16054"/>
    <n v="8659"/>
    <n v="7177"/>
    <n v="288"/>
    <n v="27"/>
    <n v="15"/>
    <n v="49"/>
    <n v="257"/>
    <n v="5.2807579768705586E-2"/>
    <x v="0"/>
  </r>
  <r>
    <x v="774"/>
    <x v="774"/>
    <x v="3"/>
    <x v="9"/>
    <x v="2"/>
    <x v="14"/>
    <n v="115534"/>
    <n v="61504"/>
    <n v="50841"/>
    <n v="1663"/>
    <n v="240"/>
    <n v="111"/>
    <n v="43"/>
    <n v="1616"/>
    <n v="4.0459471686237487E-2"/>
    <x v="1"/>
  </r>
  <r>
    <x v="775"/>
    <x v="775"/>
    <x v="4"/>
    <x v="14"/>
    <x v="4"/>
    <x v="13"/>
    <n v="485624"/>
    <n v="183554"/>
    <n v="161324"/>
    <n v="10588"/>
    <n v="1552"/>
    <n v="1132"/>
    <n v="583"/>
    <n v="4039"/>
    <n v="8.5883067615481881E-2"/>
    <x v="0"/>
  </r>
  <r>
    <x v="776"/>
    <x v="776"/>
    <x v="2"/>
    <x v="19"/>
    <x v="4"/>
    <x v="2"/>
    <n v="268328"/>
    <n v="125930"/>
    <n v="115123"/>
    <n v="4397"/>
    <n v="426"/>
    <n v="115"/>
    <n v="29"/>
    <n v="3270"/>
    <n v="4.3145157787757439E-2"/>
    <x v="1"/>
  </r>
  <r>
    <x v="777"/>
    <x v="777"/>
    <x v="3"/>
    <x v="15"/>
    <x v="4"/>
    <x v="4"/>
    <n v="792412"/>
    <n v="431719"/>
    <n v="383566"/>
    <n v="17279"/>
    <n v="2115"/>
    <n v="2007"/>
    <n v="14"/>
    <n v="6258"/>
    <n v="5.5831330201321284E-2"/>
    <x v="0"/>
  </r>
  <r>
    <x v="778"/>
    <x v="778"/>
    <x v="0"/>
    <x v="13"/>
    <x v="3"/>
    <x v="10"/>
    <n v="197736"/>
    <n v="38603"/>
    <n v="31144"/>
    <n v="1552"/>
    <n v="148"/>
    <n v="103"/>
    <n v="127"/>
    <n v="388"/>
    <n v="6.1970202928332906E-2"/>
    <x v="0"/>
  </r>
  <r>
    <x v="779"/>
    <x v="779"/>
    <x v="3"/>
    <x v="18"/>
    <x v="5"/>
    <x v="14"/>
    <n v="566900"/>
    <n v="245200"/>
    <n v="182354"/>
    <n v="6236"/>
    <n v="746"/>
    <n v="835"/>
    <n v="25"/>
    <n v="7494"/>
    <n v="4.3004266426840104E-2"/>
    <x v="0"/>
  </r>
  <r>
    <x v="780"/>
    <x v="780"/>
    <x v="1"/>
    <x v="1"/>
    <x v="2"/>
    <x v="1"/>
    <n v="645717"/>
    <n v="81916"/>
    <n v="65316"/>
    <n v="1838"/>
    <n v="206"/>
    <n v="196"/>
    <n v="192"/>
    <n v="1624"/>
    <n v="3.723436830179435E-2"/>
    <x v="1"/>
  </r>
  <r>
    <x v="781"/>
    <x v="781"/>
    <x v="2"/>
    <x v="5"/>
    <x v="0"/>
    <x v="15"/>
    <n v="313710"/>
    <n v="28811"/>
    <n v="23230"/>
    <n v="1335"/>
    <n v="151"/>
    <n v="199"/>
    <n v="12"/>
    <n v="500"/>
    <n v="7.3052087817477393E-2"/>
    <x v="1"/>
  </r>
  <r>
    <x v="782"/>
    <x v="782"/>
    <x v="2"/>
    <x v="3"/>
    <x v="4"/>
    <x v="3"/>
    <n v="844953"/>
    <n v="275327"/>
    <n v="247246"/>
    <n v="20984"/>
    <n v="1637"/>
    <n v="1393"/>
    <n v="44"/>
    <n v="2487"/>
    <n v="9.730389975975344E-2"/>
    <x v="1"/>
  </r>
  <r>
    <x v="783"/>
    <x v="783"/>
    <x v="3"/>
    <x v="4"/>
    <x v="2"/>
    <x v="14"/>
    <n v="745262"/>
    <n v="192789"/>
    <n v="169998"/>
    <n v="6491"/>
    <n v="533"/>
    <n v="722"/>
    <n v="35"/>
    <n v="5712"/>
    <n v="4.577112671913787E-2"/>
    <x v="0"/>
  </r>
  <r>
    <x v="784"/>
    <x v="784"/>
    <x v="2"/>
    <x v="2"/>
    <x v="3"/>
    <x v="2"/>
    <n v="622274"/>
    <n v="387865"/>
    <n v="273392"/>
    <n v="18194"/>
    <n v="2320"/>
    <n v="2482"/>
    <n v="30"/>
    <n v="12034"/>
    <n v="8.4223386200035111E-2"/>
    <x v="0"/>
  </r>
  <r>
    <x v="785"/>
    <x v="785"/>
    <x v="0"/>
    <x v="13"/>
    <x v="5"/>
    <x v="10"/>
    <n v="31416"/>
    <n v="11302"/>
    <n v="9811"/>
    <n v="316"/>
    <n v="28"/>
    <n v="33"/>
    <n v="35"/>
    <n v="292"/>
    <n v="4.1993680562633778E-2"/>
    <x v="0"/>
  </r>
  <r>
    <x v="786"/>
    <x v="786"/>
    <x v="3"/>
    <x v="9"/>
    <x v="0"/>
    <x v="14"/>
    <n v="716917"/>
    <n v="409903"/>
    <n v="291708"/>
    <n v="26753"/>
    <n v="3159"/>
    <n v="3229"/>
    <n v="4"/>
    <n v="9598"/>
    <n v="0.11362389787047321"/>
    <x v="0"/>
  </r>
  <r>
    <x v="787"/>
    <x v="787"/>
    <x v="1"/>
    <x v="7"/>
    <x v="0"/>
    <x v="16"/>
    <n v="33419"/>
    <n v="12102"/>
    <n v="9354"/>
    <n v="310"/>
    <n v="28"/>
    <n v="34"/>
    <n v="57"/>
    <n v="352"/>
    <n v="4.5862732520846695E-2"/>
    <x v="0"/>
  </r>
  <r>
    <x v="788"/>
    <x v="788"/>
    <x v="1"/>
    <x v="17"/>
    <x v="5"/>
    <x v="1"/>
    <n v="188528"/>
    <n v="109547"/>
    <n v="78869"/>
    <n v="3903"/>
    <n v="234"/>
    <n v="256"/>
    <n v="700"/>
    <n v="815"/>
    <n v="6.4575435215357108E-2"/>
    <x v="0"/>
  </r>
  <r>
    <x v="789"/>
    <x v="789"/>
    <x v="3"/>
    <x v="11"/>
    <x v="1"/>
    <x v="9"/>
    <n v="718373"/>
    <n v="126471"/>
    <n v="88879"/>
    <n v="5009"/>
    <n v="380"/>
    <n v="621"/>
    <n v="36"/>
    <n v="2769"/>
    <n v="6.8025067788791499E-2"/>
    <x v="1"/>
  </r>
  <r>
    <x v="790"/>
    <x v="790"/>
    <x v="2"/>
    <x v="5"/>
    <x v="1"/>
    <x v="5"/>
    <n v="364518"/>
    <n v="171109"/>
    <n v="142352"/>
    <n v="9315"/>
    <n v="1525"/>
    <n v="1041"/>
    <n v="49"/>
    <n v="1766"/>
    <n v="8.3806339215465889E-2"/>
    <x v="0"/>
  </r>
  <r>
    <x v="791"/>
    <x v="791"/>
    <x v="4"/>
    <x v="21"/>
    <x v="2"/>
    <x v="11"/>
    <n v="308087"/>
    <n v="144593"/>
    <n v="117708"/>
    <n v="10701"/>
    <n v="1119"/>
    <n v="1053"/>
    <n v="2669"/>
    <n v="4713"/>
    <n v="0.13203860400312639"/>
    <x v="2"/>
  </r>
  <r>
    <x v="792"/>
    <x v="792"/>
    <x v="2"/>
    <x v="19"/>
    <x v="4"/>
    <x v="15"/>
    <n v="357279"/>
    <n v="57374"/>
    <n v="46356"/>
    <n v="3880"/>
    <n v="140"/>
    <n v="107"/>
    <n v="30"/>
    <n v="1682"/>
    <n v="8.9675554405039257E-2"/>
    <x v="2"/>
  </r>
  <r>
    <x v="793"/>
    <x v="793"/>
    <x v="3"/>
    <x v="11"/>
    <x v="4"/>
    <x v="14"/>
    <n v="338624"/>
    <n v="135757"/>
    <n v="110916"/>
    <n v="5925"/>
    <n v="663"/>
    <n v="273"/>
    <n v="20"/>
    <n v="1230"/>
    <n v="6.2037938620217101E-2"/>
    <x v="1"/>
  </r>
  <r>
    <x v="794"/>
    <x v="794"/>
    <x v="2"/>
    <x v="16"/>
    <x v="2"/>
    <x v="2"/>
    <n v="27491"/>
    <n v="7237"/>
    <n v="6036"/>
    <n v="277"/>
    <n v="49"/>
    <n v="33"/>
    <n v="49"/>
    <n v="184"/>
    <n v="6.7594433399602388E-2"/>
    <x v="0"/>
  </r>
  <r>
    <x v="795"/>
    <x v="795"/>
    <x v="0"/>
    <x v="13"/>
    <x v="4"/>
    <x v="10"/>
    <n v="571653"/>
    <n v="147933"/>
    <n v="120941"/>
    <n v="3377"/>
    <n v="254"/>
    <n v="150"/>
    <n v="820"/>
    <n v="972"/>
    <n v="3.804334344845834E-2"/>
    <x v="1"/>
  </r>
  <r>
    <x v="796"/>
    <x v="796"/>
    <x v="3"/>
    <x v="4"/>
    <x v="1"/>
    <x v="4"/>
    <n v="716720"/>
    <n v="429370"/>
    <n v="343749"/>
    <n v="13371"/>
    <n v="845"/>
    <n v="824"/>
    <n v="45"/>
    <n v="4769"/>
    <n v="4.3883764025495348E-2"/>
    <x v="0"/>
  </r>
  <r>
    <x v="797"/>
    <x v="797"/>
    <x v="2"/>
    <x v="5"/>
    <x v="4"/>
    <x v="15"/>
    <n v="307050"/>
    <n v="792724"/>
    <n v="714524"/>
    <n v="31586"/>
    <n v="1786"/>
    <n v="2232"/>
    <n v="14"/>
    <n v="12805"/>
    <n v="4.9848570516875572E-2"/>
    <x v="1"/>
  </r>
  <r>
    <x v="798"/>
    <x v="798"/>
    <x v="1"/>
    <x v="7"/>
    <x v="4"/>
    <x v="1"/>
    <n v="445880"/>
    <n v="216161"/>
    <n v="166042"/>
    <n v="16518"/>
    <n v="2114"/>
    <n v="2292"/>
    <n v="2177"/>
    <n v="1147"/>
    <n v="0.13912744968140592"/>
    <x v="1"/>
  </r>
  <r>
    <x v="799"/>
    <x v="799"/>
    <x v="1"/>
    <x v="1"/>
    <x v="5"/>
    <x v="6"/>
    <n v="659471"/>
    <n v="68469"/>
    <n v="54693"/>
    <n v="4092"/>
    <n v="259"/>
    <n v="421"/>
    <n v="298"/>
    <n v="2195"/>
    <n v="9.2699248532718992E-2"/>
    <x v="0"/>
  </r>
  <r>
    <x v="800"/>
    <x v="800"/>
    <x v="0"/>
    <x v="6"/>
    <x v="5"/>
    <x v="10"/>
    <n v="302853"/>
    <n v="122643"/>
    <n v="106382"/>
    <n v="5358"/>
    <n v="872"/>
    <n v="247"/>
    <n v="360"/>
    <n v="3727"/>
    <n v="6.4268391269199671E-2"/>
    <x v="0"/>
  </r>
  <r>
    <x v="801"/>
    <x v="801"/>
    <x v="4"/>
    <x v="10"/>
    <x v="0"/>
    <x v="12"/>
    <n v="409414"/>
    <n v="210704"/>
    <n v="150617"/>
    <n v="9725"/>
    <n v="832"/>
    <n v="1127"/>
    <n v="1345"/>
    <n v="5915"/>
    <n v="8.6504179475092452E-2"/>
    <x v="1"/>
  </r>
  <r>
    <x v="802"/>
    <x v="802"/>
    <x v="0"/>
    <x v="22"/>
    <x v="1"/>
    <x v="0"/>
    <n v="162628"/>
    <n v="101111"/>
    <n v="78565"/>
    <n v="3239"/>
    <n v="410"/>
    <n v="229"/>
    <n v="261"/>
    <n v="1390"/>
    <n v="5.268249220390759E-2"/>
    <x v="0"/>
  </r>
  <r>
    <x v="803"/>
    <x v="803"/>
    <x v="2"/>
    <x v="19"/>
    <x v="3"/>
    <x v="15"/>
    <n v="260214"/>
    <n v="63505"/>
    <n v="46456"/>
    <n v="4943"/>
    <n v="190"/>
    <n v="538"/>
    <n v="26"/>
    <n v="1304"/>
    <n v="0.12263216807301533"/>
    <x v="0"/>
  </r>
  <r>
    <x v="804"/>
    <x v="804"/>
    <x v="0"/>
    <x v="23"/>
    <x v="2"/>
    <x v="0"/>
    <n v="111334"/>
    <n v="9281"/>
    <n v="7645"/>
    <n v="638"/>
    <n v="92"/>
    <n v="22"/>
    <n v="60"/>
    <n v="221"/>
    <n v="0.10621321124918247"/>
    <x v="0"/>
  </r>
  <r>
    <x v="805"/>
    <x v="805"/>
    <x v="2"/>
    <x v="2"/>
    <x v="4"/>
    <x v="2"/>
    <n v="298689"/>
    <n v="89743"/>
    <n v="67512"/>
    <n v="4436"/>
    <n v="299"/>
    <n v="653"/>
    <n v="40"/>
    <n v="1673"/>
    <n v="8.0400521388790142E-2"/>
    <x v="2"/>
  </r>
  <r>
    <x v="806"/>
    <x v="806"/>
    <x v="0"/>
    <x v="0"/>
    <x v="0"/>
    <x v="7"/>
    <n v="670540"/>
    <n v="421724"/>
    <n v="387906"/>
    <n v="30750"/>
    <n v="2620"/>
    <n v="698"/>
    <n v="6491"/>
    <n v="3930"/>
    <n v="0.10455883641913247"/>
    <x v="0"/>
  </r>
  <r>
    <x v="807"/>
    <x v="807"/>
    <x v="2"/>
    <x v="5"/>
    <x v="4"/>
    <x v="3"/>
    <n v="220709"/>
    <n v="70637"/>
    <n v="56603"/>
    <n v="3329"/>
    <n v="575"/>
    <n v="267"/>
    <n v="21"/>
    <n v="1044"/>
    <n v="7.4059678815610486E-2"/>
    <x v="0"/>
  </r>
  <r>
    <x v="808"/>
    <x v="808"/>
    <x v="1"/>
    <x v="8"/>
    <x v="1"/>
    <x v="16"/>
    <n v="767233"/>
    <n v="332027"/>
    <n v="272463"/>
    <n v="21860"/>
    <n v="1994"/>
    <n v="2267"/>
    <n v="2026"/>
    <n v="3067"/>
    <n v="0.10330576995775573"/>
    <x v="0"/>
  </r>
  <r>
    <x v="809"/>
    <x v="809"/>
    <x v="3"/>
    <x v="9"/>
    <x v="2"/>
    <x v="9"/>
    <n v="230227"/>
    <n v="135202"/>
    <n v="106071"/>
    <n v="6902"/>
    <n v="393"/>
    <n v="535"/>
    <n v="44"/>
    <n v="1513"/>
    <n v="7.4233296565508006E-2"/>
    <x v="0"/>
  </r>
  <r>
    <x v="810"/>
    <x v="810"/>
    <x v="3"/>
    <x v="4"/>
    <x v="4"/>
    <x v="4"/>
    <n v="605503"/>
    <n v="116711"/>
    <n v="89824"/>
    <n v="4054"/>
    <n v="570"/>
    <n v="482"/>
    <n v="31"/>
    <n v="1690"/>
    <n v="5.7189615247595298E-2"/>
    <x v="2"/>
  </r>
  <r>
    <x v="811"/>
    <x v="811"/>
    <x v="4"/>
    <x v="10"/>
    <x v="2"/>
    <x v="12"/>
    <n v="25008"/>
    <n v="134546"/>
    <n v="103994"/>
    <n v="3417"/>
    <n v="579"/>
    <n v="226"/>
    <n v="679"/>
    <n v="4539"/>
    <n v="4.712771890686001E-2"/>
    <x v="0"/>
  </r>
  <r>
    <x v="812"/>
    <x v="812"/>
    <x v="0"/>
    <x v="13"/>
    <x v="3"/>
    <x v="7"/>
    <n v="357569"/>
    <n v="87658"/>
    <n v="76833"/>
    <n v="2593"/>
    <n v="420"/>
    <n v="106"/>
    <n v="191"/>
    <n v="2831"/>
    <n v="4.3080447203675501E-2"/>
    <x v="0"/>
  </r>
  <r>
    <x v="813"/>
    <x v="813"/>
    <x v="0"/>
    <x v="0"/>
    <x v="2"/>
    <x v="10"/>
    <n v="156269"/>
    <n v="21147"/>
    <n v="15433"/>
    <n v="906"/>
    <n v="78"/>
    <n v="38"/>
    <n v="48"/>
    <n v="542"/>
    <n v="6.9331951014060783E-2"/>
    <x v="1"/>
  </r>
  <r>
    <x v="814"/>
    <x v="814"/>
    <x v="2"/>
    <x v="19"/>
    <x v="3"/>
    <x v="3"/>
    <n v="358781"/>
    <n v="209994"/>
    <n v="155183"/>
    <n v="12062"/>
    <n v="1587"/>
    <n v="1678"/>
    <n v="7"/>
    <n v="7305"/>
    <n v="9.8812369911652695E-2"/>
    <x v="1"/>
  </r>
  <r>
    <x v="815"/>
    <x v="815"/>
    <x v="0"/>
    <x v="22"/>
    <x v="5"/>
    <x v="10"/>
    <n v="840645"/>
    <n v="365227"/>
    <n v="289224"/>
    <n v="11009"/>
    <n v="1735"/>
    <n v="494"/>
    <n v="1167"/>
    <n v="7528"/>
    <n v="4.9805686941609272E-2"/>
    <x v="2"/>
  </r>
  <r>
    <x v="816"/>
    <x v="816"/>
    <x v="4"/>
    <x v="12"/>
    <x v="4"/>
    <x v="11"/>
    <n v="278394"/>
    <n v="90973"/>
    <n v="69141"/>
    <n v="7251"/>
    <n v="931"/>
    <n v="766"/>
    <n v="845"/>
    <n v="540"/>
    <n v="0.14163810184984307"/>
    <x v="1"/>
  </r>
  <r>
    <x v="817"/>
    <x v="817"/>
    <x v="4"/>
    <x v="14"/>
    <x v="3"/>
    <x v="17"/>
    <n v="495457"/>
    <n v="49798"/>
    <n v="37819"/>
    <n v="2116"/>
    <n v="179"/>
    <n v="183"/>
    <n v="526"/>
    <n v="883"/>
    <n v="7.9430973849123454E-2"/>
    <x v="1"/>
  </r>
  <r>
    <x v="818"/>
    <x v="818"/>
    <x v="3"/>
    <x v="4"/>
    <x v="3"/>
    <x v="4"/>
    <n v="282126"/>
    <n v="94915"/>
    <n v="68211"/>
    <n v="5692"/>
    <n v="442"/>
    <n v="490"/>
    <n v="7"/>
    <n v="540"/>
    <n v="9.7213059477210415E-2"/>
    <x v="0"/>
  </r>
  <r>
    <x v="819"/>
    <x v="819"/>
    <x v="1"/>
    <x v="24"/>
    <x v="2"/>
    <x v="16"/>
    <n v="602189"/>
    <n v="315522"/>
    <n v="221534"/>
    <n v="6565"/>
    <n v="991"/>
    <n v="873"/>
    <n v="1138"/>
    <n v="3056"/>
    <n v="4.3185244702844711E-2"/>
    <x v="1"/>
  </r>
  <r>
    <x v="820"/>
    <x v="820"/>
    <x v="0"/>
    <x v="22"/>
    <x v="1"/>
    <x v="0"/>
    <n v="61394"/>
    <n v="11893"/>
    <n v="10749"/>
    <n v="370"/>
    <n v="50"/>
    <n v="11"/>
    <n v="50"/>
    <n v="304"/>
    <n v="4.4748348683598477E-2"/>
    <x v="0"/>
  </r>
  <r>
    <x v="821"/>
    <x v="821"/>
    <x v="3"/>
    <x v="4"/>
    <x v="3"/>
    <x v="9"/>
    <n v="745140"/>
    <n v="316767"/>
    <n v="254435"/>
    <n v="20239"/>
    <n v="2403"/>
    <n v="2669"/>
    <n v="28"/>
    <n v="3341"/>
    <n v="9.95892860652033E-2"/>
    <x v="0"/>
  </r>
  <r>
    <x v="822"/>
    <x v="822"/>
    <x v="3"/>
    <x v="18"/>
    <x v="0"/>
    <x v="14"/>
    <n v="132534"/>
    <n v="16327"/>
    <n v="14477"/>
    <n v="1067"/>
    <n v="68"/>
    <n v="76"/>
    <n v="37"/>
    <n v="226"/>
    <n v="8.6205705601989369E-2"/>
    <x v="0"/>
  </r>
  <r>
    <x v="823"/>
    <x v="823"/>
    <x v="0"/>
    <x v="23"/>
    <x v="4"/>
    <x v="0"/>
    <n v="558822"/>
    <n v="3077713"/>
    <n v="2324802"/>
    <n v="200844"/>
    <n v="7973"/>
    <n v="5656"/>
    <n v="23869"/>
    <n v="83059"/>
    <n v="0.10252141902837317"/>
    <x v="1"/>
  </r>
  <r>
    <x v="824"/>
    <x v="824"/>
    <x v="2"/>
    <x v="19"/>
    <x v="4"/>
    <x v="15"/>
    <n v="336364"/>
    <n v="202595"/>
    <n v="172930"/>
    <n v="11412"/>
    <n v="1984"/>
    <n v="1072"/>
    <n v="46"/>
    <n v="6116"/>
    <n v="8.392991383796912E-2"/>
    <x v="0"/>
  </r>
  <r>
    <x v="825"/>
    <x v="825"/>
    <x v="0"/>
    <x v="6"/>
    <x v="5"/>
    <x v="10"/>
    <n v="783656"/>
    <n v="324998"/>
    <n v="276895"/>
    <n v="14489"/>
    <n v="2347"/>
    <n v="900"/>
    <n v="3031"/>
    <n v="10840"/>
    <n v="7.4999548565340649E-2"/>
    <x v="0"/>
  </r>
  <r>
    <x v="826"/>
    <x v="826"/>
    <x v="1"/>
    <x v="1"/>
    <x v="3"/>
    <x v="6"/>
    <n v="148705"/>
    <n v="44229"/>
    <n v="32413"/>
    <n v="1855"/>
    <n v="176"/>
    <n v="234"/>
    <n v="428"/>
    <n v="421"/>
    <n v="8.3083947798722732E-2"/>
    <x v="2"/>
  </r>
  <r>
    <x v="827"/>
    <x v="827"/>
    <x v="2"/>
    <x v="5"/>
    <x v="5"/>
    <x v="3"/>
    <n v="209862"/>
    <n v="685208"/>
    <n v="604731"/>
    <n v="48806"/>
    <n v="3496"/>
    <n v="2181"/>
    <n v="38"/>
    <n v="18303"/>
    <n v="9.0157441903920915E-2"/>
    <x v="0"/>
  </r>
  <r>
    <x v="828"/>
    <x v="828"/>
    <x v="4"/>
    <x v="14"/>
    <x v="2"/>
    <x v="12"/>
    <n v="341486"/>
    <n v="145628"/>
    <n v="109473"/>
    <n v="11155"/>
    <n v="1679"/>
    <n v="826"/>
    <n v="586"/>
    <n v="2073"/>
    <n v="0.13013254409763139"/>
    <x v="0"/>
  </r>
  <r>
    <x v="829"/>
    <x v="829"/>
    <x v="2"/>
    <x v="2"/>
    <x v="2"/>
    <x v="5"/>
    <n v="557864"/>
    <n v="275089"/>
    <n v="234230"/>
    <n v="7616"/>
    <n v="874"/>
    <n v="621"/>
    <n v="1"/>
    <n v="5065"/>
    <n v="3.8901933996499168E-2"/>
    <x v="0"/>
  </r>
  <r>
    <x v="830"/>
    <x v="830"/>
    <x v="0"/>
    <x v="6"/>
    <x v="5"/>
    <x v="10"/>
    <n v="359809"/>
    <n v="96682"/>
    <n v="86859"/>
    <n v="7534"/>
    <n v="1109"/>
    <n v="711"/>
    <n v="1749"/>
    <n v="2537"/>
    <n v="0.12782785894380547"/>
    <x v="1"/>
  </r>
  <r>
    <x v="831"/>
    <x v="831"/>
    <x v="2"/>
    <x v="19"/>
    <x v="5"/>
    <x v="15"/>
    <n v="405303"/>
    <n v="176491"/>
    <n v="144092"/>
    <n v="8429"/>
    <n v="1391"/>
    <n v="1206"/>
    <n v="46"/>
    <n v="2290"/>
    <n v="7.6839796796491125E-2"/>
    <x v="0"/>
  </r>
  <r>
    <x v="832"/>
    <x v="832"/>
    <x v="0"/>
    <x v="0"/>
    <x v="5"/>
    <x v="0"/>
    <n v="499259"/>
    <n v="220098"/>
    <n v="171314"/>
    <n v="12598"/>
    <n v="1439"/>
    <n v="1535"/>
    <n v="3040"/>
    <n v="4300"/>
    <n v="0.10864260947733402"/>
    <x v="0"/>
  </r>
  <r>
    <x v="833"/>
    <x v="833"/>
    <x v="1"/>
    <x v="7"/>
    <x v="1"/>
    <x v="6"/>
    <n v="312479"/>
    <n v="155999"/>
    <n v="127165"/>
    <n v="7838"/>
    <n v="526"/>
    <n v="539"/>
    <n v="1490"/>
    <n v="4770"/>
    <n v="8.1728463020485198E-2"/>
    <x v="0"/>
  </r>
  <r>
    <x v="834"/>
    <x v="834"/>
    <x v="4"/>
    <x v="20"/>
    <x v="2"/>
    <x v="11"/>
    <n v="490024"/>
    <n v="316554"/>
    <n v="265175"/>
    <n v="16877"/>
    <n v="2009"/>
    <n v="2001"/>
    <n v="1207"/>
    <n v="4180"/>
    <n v="8.3318563212972568E-2"/>
    <x v="0"/>
  </r>
  <r>
    <x v="835"/>
    <x v="835"/>
    <x v="1"/>
    <x v="7"/>
    <x v="0"/>
    <x v="1"/>
    <n v="20279"/>
    <n v="11652"/>
    <n v="9379"/>
    <n v="332"/>
    <n v="51"/>
    <n v="22"/>
    <n v="18"/>
    <n v="210"/>
    <n v="4.5100757010342253E-2"/>
    <x v="0"/>
  </r>
  <r>
    <x v="836"/>
    <x v="836"/>
    <x v="4"/>
    <x v="14"/>
    <x v="5"/>
    <x v="12"/>
    <n v="539065"/>
    <n v="263518"/>
    <n v="213256"/>
    <n v="19926"/>
    <n v="1015"/>
    <n v="663"/>
    <n v="1647"/>
    <n v="6960"/>
    <n v="0.1090285853621938"/>
    <x v="0"/>
  </r>
  <r>
    <x v="837"/>
    <x v="837"/>
    <x v="2"/>
    <x v="3"/>
    <x v="2"/>
    <x v="2"/>
    <n v="422517"/>
    <n v="160162"/>
    <n v="139939"/>
    <n v="9878"/>
    <n v="1108"/>
    <n v="312"/>
    <n v="13"/>
    <n v="2955"/>
    <n v="8.0828075089860577E-2"/>
    <x v="0"/>
  </r>
  <r>
    <x v="838"/>
    <x v="838"/>
    <x v="4"/>
    <x v="21"/>
    <x v="2"/>
    <x v="12"/>
    <n v="676632"/>
    <n v="141109"/>
    <n v="100085"/>
    <n v="9244"/>
    <n v="1594"/>
    <n v="1331"/>
    <n v="716"/>
    <n v="2057"/>
    <n v="0.12874057051506219"/>
    <x v="0"/>
  </r>
  <r>
    <x v="839"/>
    <x v="839"/>
    <x v="3"/>
    <x v="15"/>
    <x v="3"/>
    <x v="9"/>
    <n v="704670"/>
    <n v="223038"/>
    <n v="158095"/>
    <n v="12351"/>
    <n v="757"/>
    <n v="1182"/>
    <n v="0"/>
    <n v="3452"/>
    <n v="9.0388690344413172E-2"/>
    <x v="0"/>
  </r>
  <r>
    <x v="840"/>
    <x v="840"/>
    <x v="1"/>
    <x v="1"/>
    <x v="0"/>
    <x v="16"/>
    <n v="564777"/>
    <n v="2442411"/>
    <n v="1860901"/>
    <n v="130365"/>
    <n v="13901"/>
    <n v="5316"/>
    <n v="11774"/>
    <n v="56733"/>
    <n v="8.6708535274041987E-2"/>
    <x v="0"/>
  </r>
  <r>
    <x v="841"/>
    <x v="841"/>
    <x v="0"/>
    <x v="6"/>
    <x v="2"/>
    <x v="7"/>
    <n v="635177"/>
    <n v="294056"/>
    <n v="232084"/>
    <n v="9142"/>
    <n v="331"/>
    <n v="1139"/>
    <n v="1815"/>
    <n v="9182"/>
    <n v="5.3545268092587167E-2"/>
    <x v="0"/>
  </r>
  <r>
    <x v="842"/>
    <x v="842"/>
    <x v="1"/>
    <x v="7"/>
    <x v="5"/>
    <x v="1"/>
    <n v="488808"/>
    <n v="213553"/>
    <n v="191310"/>
    <n v="15079"/>
    <n v="942"/>
    <n v="348"/>
    <n v="791"/>
    <n v="6382"/>
    <n v="8.9697349851027133E-2"/>
    <x v="1"/>
  </r>
  <r>
    <x v="843"/>
    <x v="843"/>
    <x v="0"/>
    <x v="6"/>
    <x v="3"/>
    <x v="10"/>
    <n v="792978"/>
    <n v="285677"/>
    <n v="237478"/>
    <n v="19340"/>
    <n v="2515"/>
    <n v="2744"/>
    <n v="1267"/>
    <n v="2347"/>
    <n v="0.10891956307531644"/>
    <x v="0"/>
  </r>
  <r>
    <x v="844"/>
    <x v="844"/>
    <x v="4"/>
    <x v="14"/>
    <x v="2"/>
    <x v="11"/>
    <n v="469179"/>
    <n v="189465"/>
    <n v="136678"/>
    <n v="7973"/>
    <n v="1011"/>
    <n v="1165"/>
    <n v="1581"/>
    <n v="3066"/>
    <n v="8.5822151333791827E-2"/>
    <x v="0"/>
  </r>
  <r>
    <x v="845"/>
    <x v="845"/>
    <x v="4"/>
    <x v="10"/>
    <x v="5"/>
    <x v="17"/>
    <n v="277987"/>
    <n v="169955"/>
    <n v="153164"/>
    <n v="4626"/>
    <n v="580"/>
    <n v="665"/>
    <n v="964"/>
    <n v="5338"/>
    <n v="4.4625368885638922E-2"/>
    <x v="2"/>
  </r>
  <r>
    <x v="846"/>
    <x v="846"/>
    <x v="1"/>
    <x v="1"/>
    <x v="1"/>
    <x v="1"/>
    <n v="285685"/>
    <n v="1152606"/>
    <n v="992296"/>
    <n v="33653"/>
    <n v="1338"/>
    <n v="3639"/>
    <n v="1883"/>
    <n v="22963"/>
    <n v="4.0827535332199266E-2"/>
    <x v="1"/>
  </r>
  <r>
    <x v="847"/>
    <x v="847"/>
    <x v="4"/>
    <x v="10"/>
    <x v="5"/>
    <x v="11"/>
    <n v="756290"/>
    <n v="406208"/>
    <n v="344331"/>
    <n v="31599"/>
    <n v="1839"/>
    <n v="3465"/>
    <n v="6701"/>
    <n v="14166"/>
    <n v="0.12663396557382287"/>
    <x v="0"/>
  </r>
  <r>
    <x v="848"/>
    <x v="848"/>
    <x v="2"/>
    <x v="5"/>
    <x v="4"/>
    <x v="15"/>
    <n v="302934"/>
    <n v="127501"/>
    <n v="112271"/>
    <n v="6716"/>
    <n v="577"/>
    <n v="921"/>
    <n v="46"/>
    <n v="2745"/>
    <n v="7.3571982079076517E-2"/>
    <x v="0"/>
  </r>
  <r>
    <x v="849"/>
    <x v="849"/>
    <x v="1"/>
    <x v="7"/>
    <x v="3"/>
    <x v="1"/>
    <n v="492692"/>
    <n v="254903"/>
    <n v="224092"/>
    <n v="16594"/>
    <n v="1728"/>
    <n v="1501"/>
    <n v="2025"/>
    <n v="4575"/>
    <n v="9.7495671420666508E-2"/>
    <x v="1"/>
  </r>
  <r>
    <x v="850"/>
    <x v="850"/>
    <x v="0"/>
    <x v="6"/>
    <x v="3"/>
    <x v="10"/>
    <n v="715885"/>
    <n v="74717"/>
    <n v="67396"/>
    <n v="5899"/>
    <n v="305"/>
    <n v="379"/>
    <n v="1041"/>
    <n v="2043"/>
    <n v="0.11312244050091994"/>
    <x v="1"/>
  </r>
  <r>
    <x v="851"/>
    <x v="851"/>
    <x v="1"/>
    <x v="1"/>
    <x v="2"/>
    <x v="8"/>
    <n v="119814"/>
    <n v="46736"/>
    <n v="33782"/>
    <n v="946"/>
    <n v="160"/>
    <n v="100"/>
    <n v="78"/>
    <n v="551"/>
    <n v="3.8008406843881355E-2"/>
    <x v="1"/>
  </r>
  <r>
    <x v="852"/>
    <x v="852"/>
    <x v="0"/>
    <x v="13"/>
    <x v="3"/>
    <x v="10"/>
    <n v="691301"/>
    <n v="141627"/>
    <n v="122501"/>
    <n v="8677"/>
    <n v="1546"/>
    <n v="428"/>
    <n v="1551"/>
    <n v="1369"/>
    <n v="9.9607350144080453E-2"/>
    <x v="1"/>
  </r>
  <r>
    <x v="853"/>
    <x v="853"/>
    <x v="3"/>
    <x v="11"/>
    <x v="3"/>
    <x v="9"/>
    <n v="78214"/>
    <n v="19923"/>
    <n v="15726"/>
    <n v="1384"/>
    <n v="154"/>
    <n v="45"/>
    <n v="12"/>
    <n v="113"/>
    <n v="0.10142439272542286"/>
    <x v="0"/>
  </r>
  <r>
    <x v="854"/>
    <x v="854"/>
    <x v="4"/>
    <x v="10"/>
    <x v="5"/>
    <x v="13"/>
    <n v="127231"/>
    <n v="36106"/>
    <n v="25358"/>
    <n v="2016"/>
    <n v="164"/>
    <n v="138"/>
    <n v="223"/>
    <n v="851"/>
    <n v="0.10020506349081158"/>
    <x v="2"/>
  </r>
  <r>
    <x v="855"/>
    <x v="855"/>
    <x v="2"/>
    <x v="19"/>
    <x v="3"/>
    <x v="3"/>
    <n v="371071"/>
    <n v="1726534"/>
    <n v="1354338"/>
    <n v="90368"/>
    <n v="4039"/>
    <n v="9896"/>
    <n v="39"/>
    <n v="54246"/>
    <n v="7.7042806153264545E-2"/>
    <x v="2"/>
  </r>
  <r>
    <x v="856"/>
    <x v="856"/>
    <x v="4"/>
    <x v="20"/>
    <x v="2"/>
    <x v="13"/>
    <n v="266905"/>
    <n v="33974"/>
    <n v="29990"/>
    <n v="1966"/>
    <n v="86"/>
    <n v="136"/>
    <n v="230"/>
    <n v="785"/>
    <n v="8.06268756252084E-2"/>
    <x v="0"/>
  </r>
  <r>
    <x v="857"/>
    <x v="857"/>
    <x v="2"/>
    <x v="5"/>
    <x v="1"/>
    <x v="2"/>
    <n v="102066"/>
    <n v="212065"/>
    <n v="184874"/>
    <n v="16144"/>
    <n v="1560"/>
    <n v="1376"/>
    <n v="29"/>
    <n v="2808"/>
    <n v="0.10336228999210273"/>
    <x v="0"/>
  </r>
  <r>
    <x v="858"/>
    <x v="858"/>
    <x v="4"/>
    <x v="14"/>
    <x v="1"/>
    <x v="12"/>
    <n v="734633"/>
    <n v="131597"/>
    <n v="100611"/>
    <n v="3916"/>
    <n v="287"/>
    <n v="247"/>
    <n v="281"/>
    <n v="1269"/>
    <n v="4.7022691355815965E-2"/>
    <x v="1"/>
  </r>
  <r>
    <x v="859"/>
    <x v="859"/>
    <x v="4"/>
    <x v="20"/>
    <x v="4"/>
    <x v="17"/>
    <n v="812485"/>
    <n v="204988"/>
    <n v="158827"/>
    <n v="12500"/>
    <n v="1960"/>
    <n v="621"/>
    <n v="1736"/>
    <n v="5334"/>
    <n v="0.10588250108608738"/>
    <x v="2"/>
  </r>
  <r>
    <x v="860"/>
    <x v="860"/>
    <x v="3"/>
    <x v="18"/>
    <x v="2"/>
    <x v="4"/>
    <n v="522746"/>
    <n v="250073"/>
    <n v="214024"/>
    <n v="18470"/>
    <n v="1574"/>
    <n v="1674"/>
    <n v="26"/>
    <n v="4803"/>
    <n v="0.101596082682316"/>
    <x v="0"/>
  </r>
  <r>
    <x v="861"/>
    <x v="861"/>
    <x v="4"/>
    <x v="10"/>
    <x v="5"/>
    <x v="11"/>
    <n v="500180"/>
    <n v="302101"/>
    <n v="219513"/>
    <n v="8978"/>
    <n v="1037"/>
    <n v="955"/>
    <n v="1249"/>
    <n v="10541"/>
    <n v="5.5664129231526152E-2"/>
    <x v="0"/>
  </r>
  <r>
    <x v="862"/>
    <x v="862"/>
    <x v="1"/>
    <x v="7"/>
    <x v="3"/>
    <x v="6"/>
    <n v="589352"/>
    <n v="1420935"/>
    <n v="1036298"/>
    <n v="88223"/>
    <n v="2794"/>
    <n v="2452"/>
    <n v="18316"/>
    <n v="11911"/>
    <n v="0.10786955103647793"/>
    <x v="1"/>
  </r>
  <r>
    <x v="863"/>
    <x v="863"/>
    <x v="1"/>
    <x v="24"/>
    <x v="0"/>
    <x v="8"/>
    <n v="842645"/>
    <n v="386353"/>
    <n v="311138"/>
    <n v="10023"/>
    <n v="883"/>
    <n v="1025"/>
    <n v="1586"/>
    <n v="11249"/>
    <n v="4.34437452191632E-2"/>
    <x v="0"/>
  </r>
  <r>
    <x v="864"/>
    <x v="864"/>
    <x v="4"/>
    <x v="20"/>
    <x v="1"/>
    <x v="12"/>
    <n v="596159"/>
    <n v="260733"/>
    <n v="230683"/>
    <n v="10873"/>
    <n v="693"/>
    <n v="588"/>
    <n v="673"/>
    <n v="4681"/>
    <n v="5.5604444193980487E-2"/>
    <x v="1"/>
  </r>
  <r>
    <x v="865"/>
    <x v="865"/>
    <x v="0"/>
    <x v="6"/>
    <x v="3"/>
    <x v="10"/>
    <n v="238137"/>
    <n v="36333"/>
    <n v="33021"/>
    <n v="1837"/>
    <n v="167"/>
    <n v="244"/>
    <n v="325"/>
    <n v="444"/>
    <n v="7.7920111444232457E-2"/>
    <x v="0"/>
  </r>
  <r>
    <x v="866"/>
    <x v="866"/>
    <x v="4"/>
    <x v="20"/>
    <x v="2"/>
    <x v="12"/>
    <n v="741194"/>
    <n v="120793"/>
    <n v="85616"/>
    <n v="4426"/>
    <n v="319"/>
    <n v="462"/>
    <n v="1094"/>
    <n v="1841"/>
    <n v="7.3596056811810875E-2"/>
    <x v="1"/>
  </r>
  <r>
    <x v="867"/>
    <x v="867"/>
    <x v="2"/>
    <x v="2"/>
    <x v="3"/>
    <x v="2"/>
    <n v="796710"/>
    <n v="376379"/>
    <n v="309850"/>
    <n v="22933"/>
    <n v="2749"/>
    <n v="2801"/>
    <n v="8"/>
    <n v="7181"/>
    <n v="9.1950944005163793E-2"/>
    <x v="0"/>
  </r>
  <r>
    <x v="868"/>
    <x v="868"/>
    <x v="3"/>
    <x v="11"/>
    <x v="5"/>
    <x v="14"/>
    <n v="283740"/>
    <n v="164174"/>
    <n v="133469"/>
    <n v="6367"/>
    <n v="1056"/>
    <n v="878"/>
    <n v="36"/>
    <n v="1762"/>
    <n v="6.2463942938060527E-2"/>
    <x v="2"/>
  </r>
  <r>
    <x v="869"/>
    <x v="869"/>
    <x v="2"/>
    <x v="3"/>
    <x v="5"/>
    <x v="2"/>
    <n v="704715"/>
    <n v="364999"/>
    <n v="266683"/>
    <n v="24160"/>
    <n v="1793"/>
    <n v="2641"/>
    <n v="23"/>
    <n v="9628"/>
    <n v="0.10730717743538208"/>
    <x v="0"/>
  </r>
  <r>
    <x v="870"/>
    <x v="870"/>
    <x v="1"/>
    <x v="17"/>
    <x v="4"/>
    <x v="1"/>
    <n v="672115"/>
    <n v="282916"/>
    <n v="249725"/>
    <n v="8766"/>
    <n v="1114"/>
    <n v="741"/>
    <n v="868"/>
    <n v="5525"/>
    <n v="4.6006607267994791E-2"/>
    <x v="0"/>
  </r>
  <r>
    <x v="871"/>
    <x v="871"/>
    <x v="1"/>
    <x v="24"/>
    <x v="1"/>
    <x v="6"/>
    <n v="267302"/>
    <n v="78757"/>
    <n v="72176"/>
    <n v="1590"/>
    <n v="92"/>
    <n v="224"/>
    <n v="374"/>
    <n v="1468"/>
    <n v="3.1589448015960982E-2"/>
    <x v="2"/>
  </r>
  <r>
    <x v="872"/>
    <x v="872"/>
    <x v="2"/>
    <x v="5"/>
    <x v="5"/>
    <x v="15"/>
    <n v="450983"/>
    <n v="161924"/>
    <n v="130316"/>
    <n v="6997"/>
    <n v="335"/>
    <n v="304"/>
    <n v="23"/>
    <n v="4502"/>
    <n v="5.8772522176862393E-2"/>
    <x v="2"/>
  </r>
  <r>
    <x v="873"/>
    <x v="873"/>
    <x v="3"/>
    <x v="18"/>
    <x v="5"/>
    <x v="9"/>
    <n v="824447"/>
    <n v="415128"/>
    <n v="309302"/>
    <n v="30503"/>
    <n v="3507"/>
    <n v="649"/>
    <n v="21"/>
    <n v="14241"/>
    <n v="0.11212342629533595"/>
    <x v="1"/>
  </r>
  <r>
    <x v="874"/>
    <x v="874"/>
    <x v="1"/>
    <x v="7"/>
    <x v="1"/>
    <x v="1"/>
    <n v="581959"/>
    <n v="124962"/>
    <n v="102695"/>
    <n v="4873"/>
    <n v="306"/>
    <n v="607"/>
    <n v="1047"/>
    <n v="1386"/>
    <n v="6.6536832367690729E-2"/>
    <x v="1"/>
  </r>
  <r>
    <x v="875"/>
    <x v="875"/>
    <x v="3"/>
    <x v="15"/>
    <x v="3"/>
    <x v="9"/>
    <n v="102831"/>
    <n v="32047"/>
    <n v="25672"/>
    <n v="959"/>
    <n v="53"/>
    <n v="46"/>
    <n v="6"/>
    <n v="163"/>
    <n v="4.1445933312558428E-2"/>
    <x v="1"/>
  </r>
  <r>
    <x v="876"/>
    <x v="876"/>
    <x v="2"/>
    <x v="16"/>
    <x v="0"/>
    <x v="5"/>
    <n v="107742"/>
    <n v="33708"/>
    <n v="26877"/>
    <n v="2169"/>
    <n v="190"/>
    <n v="216"/>
    <n v="24"/>
    <n v="191"/>
    <n v="9.6699780481452544E-2"/>
    <x v="1"/>
  </r>
  <r>
    <x v="877"/>
    <x v="877"/>
    <x v="3"/>
    <x v="15"/>
    <x v="5"/>
    <x v="9"/>
    <n v="525773"/>
    <n v="158312"/>
    <n v="131943"/>
    <n v="6708"/>
    <n v="909"/>
    <n v="658"/>
    <n v="44"/>
    <n v="4036"/>
    <n v="6.3049953388963423E-2"/>
    <x v="0"/>
  </r>
  <r>
    <x v="878"/>
    <x v="878"/>
    <x v="0"/>
    <x v="6"/>
    <x v="5"/>
    <x v="0"/>
    <n v="752162"/>
    <n v="159165"/>
    <n v="142150"/>
    <n v="12357"/>
    <n v="1643"/>
    <n v="1152"/>
    <n v="2213"/>
    <n v="1104"/>
    <n v="0.12215969046781569"/>
    <x v="1"/>
  </r>
  <r>
    <x v="879"/>
    <x v="879"/>
    <x v="0"/>
    <x v="6"/>
    <x v="2"/>
    <x v="7"/>
    <n v="459985"/>
    <n v="275180"/>
    <n v="219103"/>
    <n v="11253"/>
    <n v="791"/>
    <n v="1558"/>
    <n v="1147"/>
    <n v="2681"/>
    <n v="6.731537222219687E-2"/>
    <x v="0"/>
  </r>
  <r>
    <x v="880"/>
    <x v="880"/>
    <x v="3"/>
    <x v="4"/>
    <x v="2"/>
    <x v="4"/>
    <n v="384781"/>
    <n v="80915"/>
    <n v="72943"/>
    <n v="2066"/>
    <n v="277"/>
    <n v="54"/>
    <n v="5"/>
    <n v="1679"/>
    <n v="3.2929821915742431E-2"/>
    <x v="0"/>
  </r>
  <r>
    <x v="881"/>
    <x v="881"/>
    <x v="2"/>
    <x v="3"/>
    <x v="0"/>
    <x v="5"/>
    <n v="431854"/>
    <n v="162674"/>
    <n v="145072"/>
    <n v="9314"/>
    <n v="1079"/>
    <n v="1134"/>
    <n v="47"/>
    <n v="1672"/>
    <n v="7.9781074225212315E-2"/>
    <x v="0"/>
  </r>
  <r>
    <x v="882"/>
    <x v="882"/>
    <x v="1"/>
    <x v="7"/>
    <x v="4"/>
    <x v="6"/>
    <n v="73155"/>
    <n v="17071"/>
    <n v="12620"/>
    <n v="468"/>
    <n v="46"/>
    <n v="55"/>
    <n v="91"/>
    <n v="163"/>
    <n v="5.2297939778129951E-2"/>
    <x v="2"/>
  </r>
  <r>
    <x v="883"/>
    <x v="883"/>
    <x v="1"/>
    <x v="24"/>
    <x v="1"/>
    <x v="6"/>
    <n v="527745"/>
    <n v="59320"/>
    <n v="43703"/>
    <n v="2855"/>
    <n v="448"/>
    <n v="146"/>
    <n v="490"/>
    <n v="950"/>
    <n v="9.013111228062147E-2"/>
    <x v="1"/>
  </r>
  <r>
    <x v="884"/>
    <x v="884"/>
    <x v="4"/>
    <x v="12"/>
    <x v="0"/>
    <x v="12"/>
    <n v="72832"/>
    <n v="11468"/>
    <n v="9190"/>
    <n v="779"/>
    <n v="102"/>
    <n v="55"/>
    <n v="123"/>
    <n v="196"/>
    <n v="0.11523394994559304"/>
    <x v="0"/>
  </r>
  <r>
    <x v="885"/>
    <x v="885"/>
    <x v="3"/>
    <x v="18"/>
    <x v="4"/>
    <x v="14"/>
    <n v="427381"/>
    <n v="161711"/>
    <n v="119135"/>
    <n v="11558"/>
    <n v="565"/>
    <n v="285"/>
    <n v="4"/>
    <n v="3718"/>
    <n v="0.1041843287027322"/>
    <x v="0"/>
  </r>
  <r>
    <x v="886"/>
    <x v="886"/>
    <x v="2"/>
    <x v="16"/>
    <x v="3"/>
    <x v="3"/>
    <n v="394272"/>
    <n v="1455848"/>
    <n v="1024231"/>
    <n v="67161"/>
    <n v="8446"/>
    <n v="2628"/>
    <n v="37"/>
    <n v="41805"/>
    <n v="7.6420260663854156E-2"/>
    <x v="1"/>
  </r>
  <r>
    <x v="887"/>
    <x v="887"/>
    <x v="1"/>
    <x v="17"/>
    <x v="0"/>
    <x v="8"/>
    <n v="267705"/>
    <n v="92577"/>
    <n v="72371"/>
    <n v="2988"/>
    <n v="148"/>
    <n v="432"/>
    <n v="296"/>
    <n v="867"/>
    <n v="5.3391551864697184E-2"/>
    <x v="1"/>
  </r>
  <r>
    <x v="888"/>
    <x v="888"/>
    <x v="0"/>
    <x v="6"/>
    <x v="3"/>
    <x v="10"/>
    <n v="456934"/>
    <n v="113114"/>
    <n v="91934"/>
    <n v="5500"/>
    <n v="935"/>
    <n v="731"/>
    <n v="802"/>
    <n v="1761"/>
    <n v="8.6670872582504846E-2"/>
    <x v="0"/>
  </r>
  <r>
    <x v="889"/>
    <x v="889"/>
    <x v="1"/>
    <x v="7"/>
    <x v="5"/>
    <x v="6"/>
    <n v="28382"/>
    <n v="12473"/>
    <n v="8797"/>
    <n v="551"/>
    <n v="82"/>
    <n v="43"/>
    <n v="96"/>
    <n v="168"/>
    <n v="8.7757189951119696E-2"/>
    <x v="0"/>
  </r>
  <r>
    <x v="890"/>
    <x v="890"/>
    <x v="2"/>
    <x v="16"/>
    <x v="3"/>
    <x v="15"/>
    <n v="701187"/>
    <n v="347325"/>
    <n v="281787"/>
    <n v="27757"/>
    <n v="1471"/>
    <n v="3531"/>
    <n v="21"/>
    <n v="8620"/>
    <n v="0.11632900027325604"/>
    <x v="0"/>
  </r>
  <r>
    <x v="891"/>
    <x v="891"/>
    <x v="1"/>
    <x v="8"/>
    <x v="2"/>
    <x v="8"/>
    <n v="291655"/>
    <n v="30296"/>
    <n v="21287"/>
    <n v="847"/>
    <n v="78"/>
    <n v="38"/>
    <n v="177"/>
    <n v="954"/>
    <n v="5.3553812185841126E-2"/>
    <x v="0"/>
  </r>
  <r>
    <x v="892"/>
    <x v="892"/>
    <x v="4"/>
    <x v="10"/>
    <x v="0"/>
    <x v="12"/>
    <n v="280904"/>
    <n v="148484"/>
    <n v="119236"/>
    <n v="11711"/>
    <n v="1975"/>
    <n v="985"/>
    <n v="772"/>
    <n v="2789"/>
    <n v="0.12951625348049248"/>
    <x v="2"/>
  </r>
  <r>
    <x v="893"/>
    <x v="893"/>
    <x v="2"/>
    <x v="3"/>
    <x v="1"/>
    <x v="3"/>
    <n v="664701"/>
    <n v="252735"/>
    <n v="214832"/>
    <n v="15920"/>
    <n v="1719"/>
    <n v="895"/>
    <n v="38"/>
    <n v="7164"/>
    <n v="8.6448946153273254E-2"/>
    <x v="0"/>
  </r>
  <r>
    <x v="894"/>
    <x v="894"/>
    <x v="0"/>
    <x v="23"/>
    <x v="1"/>
    <x v="7"/>
    <n v="525607"/>
    <n v="339041"/>
    <n v="308344"/>
    <n v="12890"/>
    <n v="2055"/>
    <n v="436"/>
    <n v="1025"/>
    <n v="3969"/>
    <n v="5.3206807980696887E-2"/>
    <x v="1"/>
  </r>
  <r>
    <x v="895"/>
    <x v="895"/>
    <x v="1"/>
    <x v="17"/>
    <x v="4"/>
    <x v="1"/>
    <n v="435189"/>
    <n v="138823"/>
    <n v="106310"/>
    <n v="4796"/>
    <n v="592"/>
    <n v="687"/>
    <n v="875"/>
    <n v="3921"/>
    <n v="6.5374847145141565E-2"/>
    <x v="2"/>
  </r>
  <r>
    <x v="896"/>
    <x v="896"/>
    <x v="2"/>
    <x v="5"/>
    <x v="3"/>
    <x v="2"/>
    <n v="34581"/>
    <n v="10067"/>
    <n v="7568"/>
    <n v="732"/>
    <n v="75"/>
    <n v="105"/>
    <n v="37"/>
    <n v="114"/>
    <n v="0.12539640591966172"/>
    <x v="0"/>
  </r>
  <r>
    <x v="897"/>
    <x v="897"/>
    <x v="1"/>
    <x v="24"/>
    <x v="0"/>
    <x v="1"/>
    <n v="624773"/>
    <n v="79496"/>
    <n v="57086"/>
    <n v="5107"/>
    <n v="268"/>
    <n v="386"/>
    <n v="1171"/>
    <n v="2625"/>
    <n v="0.1214308236695512"/>
    <x v="1"/>
  </r>
  <r>
    <x v="898"/>
    <x v="898"/>
    <x v="4"/>
    <x v="20"/>
    <x v="0"/>
    <x v="12"/>
    <n v="142467"/>
    <n v="79901"/>
    <n v="67983"/>
    <n v="5561"/>
    <n v="464"/>
    <n v="524"/>
    <n v="323"/>
    <n v="2539"/>
    <n v="0.10108409455305002"/>
    <x v="0"/>
  </r>
  <r>
    <x v="899"/>
    <x v="899"/>
    <x v="3"/>
    <x v="11"/>
    <x v="0"/>
    <x v="9"/>
    <n v="412350"/>
    <n v="148241"/>
    <n v="123120"/>
    <n v="8438"/>
    <n v="919"/>
    <n v="1081"/>
    <n v="18"/>
    <n v="1357"/>
    <n v="8.492527615334633E-2"/>
    <x v="0"/>
  </r>
  <r>
    <x v="900"/>
    <x v="900"/>
    <x v="3"/>
    <x v="11"/>
    <x v="3"/>
    <x v="14"/>
    <n v="237162"/>
    <n v="23303"/>
    <n v="19721"/>
    <n v="1437"/>
    <n v="217"/>
    <n v="95"/>
    <n v="32"/>
    <n v="330"/>
    <n v="9.0309822017139094E-2"/>
    <x v="1"/>
  </r>
  <r>
    <x v="901"/>
    <x v="901"/>
    <x v="1"/>
    <x v="24"/>
    <x v="4"/>
    <x v="1"/>
    <n v="223274"/>
    <n v="36789"/>
    <n v="26050"/>
    <n v="865"/>
    <n v="139"/>
    <n v="33"/>
    <n v="215"/>
    <n v="323"/>
    <n v="4.8061420345489443E-2"/>
    <x v="1"/>
  </r>
  <r>
    <x v="902"/>
    <x v="902"/>
    <x v="3"/>
    <x v="4"/>
    <x v="4"/>
    <x v="4"/>
    <n v="458981"/>
    <n v="279991"/>
    <n v="254054"/>
    <n v="14875"/>
    <n v="1757"/>
    <n v="2110"/>
    <n v="13"/>
    <n v="8922"/>
    <n v="7.3822888047422985E-2"/>
    <x v="1"/>
  </r>
  <r>
    <x v="903"/>
    <x v="903"/>
    <x v="0"/>
    <x v="22"/>
    <x v="2"/>
    <x v="0"/>
    <n v="845164"/>
    <n v="157488"/>
    <n v="126300"/>
    <n v="12282"/>
    <n v="1812"/>
    <n v="1622"/>
    <n v="1718"/>
    <n v="4641"/>
    <n v="0.13803642121931908"/>
    <x v="1"/>
  </r>
  <r>
    <x v="904"/>
    <x v="904"/>
    <x v="3"/>
    <x v="4"/>
    <x v="2"/>
    <x v="9"/>
    <n v="265273"/>
    <n v="94842"/>
    <n v="69480"/>
    <n v="6928"/>
    <n v="457"/>
    <n v="682"/>
    <n v="17"/>
    <n v="3055"/>
    <n v="0.11635002878526195"/>
    <x v="1"/>
  </r>
  <r>
    <x v="905"/>
    <x v="905"/>
    <x v="0"/>
    <x v="23"/>
    <x v="1"/>
    <x v="7"/>
    <n v="356058"/>
    <n v="1307655"/>
    <n v="1194203"/>
    <n v="41979"/>
    <n v="2190"/>
    <n v="4552"/>
    <n v="9300"/>
    <n v="35727"/>
    <n v="4.8585541989092304E-2"/>
    <x v="0"/>
  </r>
  <r>
    <x v="906"/>
    <x v="906"/>
    <x v="3"/>
    <x v="4"/>
    <x v="3"/>
    <x v="14"/>
    <n v="841653"/>
    <n v="4914110"/>
    <n v="4031374"/>
    <n v="257143"/>
    <n v="36865"/>
    <n v="6630"/>
    <n v="21"/>
    <n v="27211"/>
    <n v="7.4579783468365871E-2"/>
    <x v="0"/>
  </r>
  <r>
    <x v="907"/>
    <x v="907"/>
    <x v="2"/>
    <x v="16"/>
    <x v="1"/>
    <x v="5"/>
    <n v="332989"/>
    <n v="68946"/>
    <n v="52816"/>
    <n v="4076"/>
    <n v="145"/>
    <n v="203"/>
    <n v="37"/>
    <n v="870"/>
    <n v="8.446304150257497E-2"/>
    <x v="0"/>
  </r>
  <r>
    <x v="908"/>
    <x v="908"/>
    <x v="2"/>
    <x v="5"/>
    <x v="3"/>
    <x v="15"/>
    <n v="453398"/>
    <n v="55940"/>
    <n v="42525"/>
    <n v="3852"/>
    <n v="431"/>
    <n v="285"/>
    <n v="32"/>
    <n v="1737"/>
    <n v="0.10817166372721929"/>
    <x v="1"/>
  </r>
  <r>
    <x v="909"/>
    <x v="909"/>
    <x v="3"/>
    <x v="11"/>
    <x v="3"/>
    <x v="14"/>
    <n v="226281"/>
    <n v="89345"/>
    <n v="64819"/>
    <n v="3045"/>
    <n v="543"/>
    <n v="282"/>
    <n v="21"/>
    <n v="921"/>
    <n v="6.0028695289961277E-2"/>
    <x v="1"/>
  </r>
  <r>
    <x v="910"/>
    <x v="910"/>
    <x v="0"/>
    <x v="0"/>
    <x v="3"/>
    <x v="0"/>
    <n v="106791"/>
    <n v="54160"/>
    <n v="39925"/>
    <n v="2033"/>
    <n v="139"/>
    <n v="83"/>
    <n v="275"/>
    <n v="1455"/>
    <n v="6.3368816530995617E-2"/>
    <x v="0"/>
  </r>
  <r>
    <x v="911"/>
    <x v="911"/>
    <x v="3"/>
    <x v="11"/>
    <x v="2"/>
    <x v="9"/>
    <n v="129839"/>
    <n v="10633"/>
    <n v="7597"/>
    <n v="704"/>
    <n v="101"/>
    <n v="38"/>
    <n v="11"/>
    <n v="89"/>
    <n v="0.11241279452415427"/>
    <x v="0"/>
  </r>
  <r>
    <x v="912"/>
    <x v="912"/>
    <x v="3"/>
    <x v="9"/>
    <x v="1"/>
    <x v="9"/>
    <n v="507118"/>
    <n v="121014"/>
    <n v="94194"/>
    <n v="3088"/>
    <n v="174"/>
    <n v="385"/>
    <n v="34"/>
    <n v="4035"/>
    <n v="3.9078922224345503E-2"/>
    <x v="1"/>
  </r>
  <r>
    <x v="913"/>
    <x v="913"/>
    <x v="1"/>
    <x v="24"/>
    <x v="0"/>
    <x v="16"/>
    <n v="504443"/>
    <n v="258107"/>
    <n v="182366"/>
    <n v="18379"/>
    <n v="2736"/>
    <n v="1400"/>
    <n v="3886"/>
    <n v="7298"/>
    <n v="0.14476931006876281"/>
    <x v="0"/>
  </r>
  <r>
    <x v="914"/>
    <x v="914"/>
    <x v="2"/>
    <x v="2"/>
    <x v="4"/>
    <x v="15"/>
    <n v="783323"/>
    <n v="356023"/>
    <n v="287938"/>
    <n v="23586"/>
    <n v="2077"/>
    <n v="2441"/>
    <n v="12"/>
    <n v="11392"/>
    <n v="9.7646021018413687E-2"/>
    <x v="0"/>
  </r>
  <r>
    <x v="915"/>
    <x v="915"/>
    <x v="4"/>
    <x v="14"/>
    <x v="4"/>
    <x v="11"/>
    <n v="438218"/>
    <n v="36915"/>
    <n v="32841"/>
    <n v="927"/>
    <n v="145"/>
    <n v="90"/>
    <n v="150"/>
    <n v="313"/>
    <n v="3.9950062421972535E-2"/>
    <x v="0"/>
  </r>
  <r>
    <x v="916"/>
    <x v="916"/>
    <x v="0"/>
    <x v="22"/>
    <x v="1"/>
    <x v="0"/>
    <n v="826834"/>
    <n v="215578"/>
    <n v="176376"/>
    <n v="9817"/>
    <n v="351"/>
    <n v="332"/>
    <n v="2334"/>
    <n v="5377"/>
    <n v="7.2765002041094026E-2"/>
    <x v="2"/>
  </r>
  <r>
    <x v="917"/>
    <x v="917"/>
    <x v="1"/>
    <x v="24"/>
    <x v="5"/>
    <x v="8"/>
    <n v="80511"/>
    <n v="23135"/>
    <n v="17764"/>
    <n v="878"/>
    <n v="29"/>
    <n v="129"/>
    <n v="101"/>
    <n v="609"/>
    <n v="6.4005854537266385E-2"/>
    <x v="1"/>
  </r>
  <r>
    <x v="918"/>
    <x v="918"/>
    <x v="4"/>
    <x v="14"/>
    <x v="2"/>
    <x v="12"/>
    <n v="279533"/>
    <n v="73080"/>
    <n v="54092"/>
    <n v="2392"/>
    <n v="358"/>
    <n v="119"/>
    <n v="251"/>
    <n v="2210"/>
    <n v="5.7679508984692748E-2"/>
    <x v="0"/>
  </r>
  <r>
    <x v="919"/>
    <x v="919"/>
    <x v="3"/>
    <x v="18"/>
    <x v="4"/>
    <x v="14"/>
    <n v="314143"/>
    <n v="142935"/>
    <n v="128208"/>
    <n v="9310"/>
    <n v="336"/>
    <n v="1298"/>
    <n v="26"/>
    <n v="1113"/>
    <n v="8.5564083364532639E-2"/>
    <x v="0"/>
  </r>
  <r>
    <x v="920"/>
    <x v="920"/>
    <x v="4"/>
    <x v="21"/>
    <x v="2"/>
    <x v="12"/>
    <n v="502646"/>
    <n v="272140"/>
    <n v="222945"/>
    <n v="9758"/>
    <n v="1157"/>
    <n v="907"/>
    <n v="2037"/>
    <n v="2030"/>
    <n v="6.2163313821794616E-2"/>
    <x v="0"/>
  </r>
  <r>
    <x v="921"/>
    <x v="921"/>
    <x v="4"/>
    <x v="10"/>
    <x v="3"/>
    <x v="17"/>
    <n v="766648"/>
    <n v="135344"/>
    <n v="120461"/>
    <n v="6845"/>
    <n v="1221"/>
    <n v="141"/>
    <n v="1058"/>
    <n v="1786"/>
    <n v="7.6912859763740959E-2"/>
    <x v="1"/>
  </r>
  <r>
    <x v="922"/>
    <x v="922"/>
    <x v="1"/>
    <x v="17"/>
    <x v="3"/>
    <x v="16"/>
    <n v="645547"/>
    <n v="122466"/>
    <n v="93612"/>
    <n v="3450"/>
    <n v="607"/>
    <n v="253"/>
    <n v="571"/>
    <n v="1601"/>
    <n v="5.2140751185745418E-2"/>
    <x v="1"/>
  </r>
  <r>
    <x v="923"/>
    <x v="923"/>
    <x v="0"/>
    <x v="13"/>
    <x v="3"/>
    <x v="0"/>
    <n v="122678"/>
    <n v="23181"/>
    <n v="19752"/>
    <n v="1265"/>
    <n v="192"/>
    <n v="120"/>
    <n v="307"/>
    <n v="288"/>
    <n v="9.5382746051032807E-2"/>
    <x v="1"/>
  </r>
  <r>
    <x v="924"/>
    <x v="924"/>
    <x v="4"/>
    <x v="20"/>
    <x v="0"/>
    <x v="17"/>
    <n v="292482"/>
    <n v="119188"/>
    <n v="88943"/>
    <n v="3175"/>
    <n v="426"/>
    <n v="234"/>
    <n v="375"/>
    <n v="2194"/>
    <n v="4.733368561887951E-2"/>
    <x v="0"/>
  </r>
  <r>
    <x v="925"/>
    <x v="925"/>
    <x v="0"/>
    <x v="6"/>
    <x v="3"/>
    <x v="10"/>
    <n v="546570"/>
    <n v="181868"/>
    <n v="161627"/>
    <n v="5229"/>
    <n v="462"/>
    <n v="232"/>
    <n v="957"/>
    <n v="6074"/>
    <n v="4.2567145340815585E-2"/>
    <x v="0"/>
  </r>
  <r>
    <x v="926"/>
    <x v="926"/>
    <x v="0"/>
    <x v="22"/>
    <x v="3"/>
    <x v="7"/>
    <n v="168809"/>
    <n v="99039"/>
    <n v="85632"/>
    <n v="5096"/>
    <n v="308"/>
    <n v="175"/>
    <n v="547"/>
    <n v="1337"/>
    <n v="7.1538677130044845E-2"/>
    <x v="0"/>
  </r>
  <r>
    <x v="927"/>
    <x v="927"/>
    <x v="3"/>
    <x v="11"/>
    <x v="1"/>
    <x v="4"/>
    <n v="367239"/>
    <n v="76334"/>
    <n v="64994"/>
    <n v="2789"/>
    <n v="283"/>
    <n v="197"/>
    <n v="10"/>
    <n v="1481"/>
    <n v="5.0450810844077917E-2"/>
    <x v="0"/>
  </r>
  <r>
    <x v="928"/>
    <x v="928"/>
    <x v="2"/>
    <x v="16"/>
    <x v="0"/>
    <x v="5"/>
    <n v="117659"/>
    <n v="34282"/>
    <n v="29200"/>
    <n v="1244"/>
    <n v="160"/>
    <n v="154"/>
    <n v="47"/>
    <n v="586"/>
    <n v="5.4965753424657537E-2"/>
    <x v="0"/>
  </r>
  <r>
    <x v="929"/>
    <x v="929"/>
    <x v="0"/>
    <x v="23"/>
    <x v="0"/>
    <x v="10"/>
    <n v="585464"/>
    <n v="238527"/>
    <n v="215342"/>
    <n v="13751"/>
    <n v="2428"/>
    <n v="281"/>
    <n v="3323"/>
    <n v="3535"/>
    <n v="9.1867819561441799E-2"/>
    <x v="1"/>
  </r>
  <r>
    <x v="930"/>
    <x v="930"/>
    <x v="4"/>
    <x v="20"/>
    <x v="0"/>
    <x v="17"/>
    <n v="116235"/>
    <n v="57059"/>
    <n v="43094"/>
    <n v="3895"/>
    <n v="459"/>
    <n v="396"/>
    <n v="716"/>
    <n v="1929"/>
    <n v="0.1268390031094816"/>
    <x v="0"/>
  </r>
  <r>
    <x v="931"/>
    <x v="931"/>
    <x v="3"/>
    <x v="4"/>
    <x v="0"/>
    <x v="4"/>
    <n v="50528"/>
    <n v="14320"/>
    <n v="10783"/>
    <n v="572"/>
    <n v="36"/>
    <n v="82"/>
    <n v="1"/>
    <n v="367"/>
    <n v="6.4082351850134472E-2"/>
    <x v="0"/>
  </r>
  <r>
    <x v="932"/>
    <x v="932"/>
    <x v="4"/>
    <x v="12"/>
    <x v="3"/>
    <x v="13"/>
    <n v="563467"/>
    <n v="68396"/>
    <n v="62770"/>
    <n v="3619"/>
    <n v="498"/>
    <n v="176"/>
    <n v="336"/>
    <n v="1102"/>
    <n v="7.3745419786522229E-2"/>
    <x v="0"/>
  </r>
  <r>
    <x v="933"/>
    <x v="933"/>
    <x v="0"/>
    <x v="13"/>
    <x v="3"/>
    <x v="0"/>
    <n v="100523"/>
    <n v="21604"/>
    <n v="15567"/>
    <n v="756"/>
    <n v="90"/>
    <n v="88"/>
    <n v="179"/>
    <n v="264"/>
    <n v="7.1497398342647914E-2"/>
    <x v="0"/>
  </r>
  <r>
    <x v="934"/>
    <x v="934"/>
    <x v="4"/>
    <x v="20"/>
    <x v="0"/>
    <x v="13"/>
    <n v="349310"/>
    <n v="128234"/>
    <n v="115854"/>
    <n v="4701"/>
    <n v="442"/>
    <n v="307"/>
    <n v="570"/>
    <n v="2381"/>
    <n v="5.1961952112141142E-2"/>
    <x v="1"/>
  </r>
  <r>
    <x v="935"/>
    <x v="935"/>
    <x v="3"/>
    <x v="11"/>
    <x v="4"/>
    <x v="4"/>
    <n v="204397"/>
    <n v="34637"/>
    <n v="24590"/>
    <n v="1065"/>
    <n v="164"/>
    <n v="48"/>
    <n v="18"/>
    <n v="652"/>
    <n v="5.2663684424562832E-2"/>
    <x v="1"/>
  </r>
  <r>
    <x v="936"/>
    <x v="936"/>
    <x v="4"/>
    <x v="12"/>
    <x v="5"/>
    <x v="11"/>
    <n v="722619"/>
    <n v="341157"/>
    <n v="274365"/>
    <n v="6979"/>
    <n v="601"/>
    <n v="623"/>
    <n v="1304"/>
    <n v="10844"/>
    <n v="3.4650921218085398E-2"/>
    <x v="0"/>
  </r>
  <r>
    <x v="937"/>
    <x v="937"/>
    <x v="1"/>
    <x v="1"/>
    <x v="2"/>
    <x v="8"/>
    <n v="242893"/>
    <n v="42440"/>
    <n v="34565"/>
    <n v="2262"/>
    <n v="297"/>
    <n v="324"/>
    <n v="534"/>
    <n v="1356"/>
    <n v="9.8857225517141614E-2"/>
    <x v="2"/>
  </r>
  <r>
    <x v="938"/>
    <x v="938"/>
    <x v="3"/>
    <x v="18"/>
    <x v="4"/>
    <x v="14"/>
    <n v="228559"/>
    <n v="73638"/>
    <n v="65101"/>
    <n v="3439"/>
    <n v="266"/>
    <n v="339"/>
    <n v="46"/>
    <n v="2131"/>
    <n v="6.2825455830171573E-2"/>
    <x v="1"/>
  </r>
  <r>
    <x v="939"/>
    <x v="939"/>
    <x v="3"/>
    <x v="9"/>
    <x v="2"/>
    <x v="14"/>
    <n v="123450"/>
    <n v="18796"/>
    <n v="14107"/>
    <n v="1165"/>
    <n v="200"/>
    <n v="40"/>
    <n v="30"/>
    <n v="316"/>
    <n v="0.10172254908910471"/>
    <x v="1"/>
  </r>
  <r>
    <x v="940"/>
    <x v="940"/>
    <x v="4"/>
    <x v="21"/>
    <x v="0"/>
    <x v="17"/>
    <n v="840252"/>
    <n v="502101"/>
    <n v="446280"/>
    <n v="26420"/>
    <n v="1086"/>
    <n v="2379"/>
    <n v="1762"/>
    <n v="10419"/>
    <n v="7.091287980639957E-2"/>
    <x v="0"/>
  </r>
  <r>
    <x v="941"/>
    <x v="941"/>
    <x v="1"/>
    <x v="17"/>
    <x v="3"/>
    <x v="8"/>
    <n v="217773"/>
    <n v="115488"/>
    <n v="97007"/>
    <n v="5898"/>
    <n v="729"/>
    <n v="172"/>
    <n v="1145"/>
    <n v="2471"/>
    <n v="8.1890997556877343E-2"/>
    <x v="1"/>
  </r>
  <r>
    <x v="942"/>
    <x v="942"/>
    <x v="0"/>
    <x v="23"/>
    <x v="2"/>
    <x v="0"/>
    <n v="805163"/>
    <n v="1306737"/>
    <n v="1113332"/>
    <n v="93788"/>
    <n v="12986"/>
    <n v="2895"/>
    <n v="7782"/>
    <n v="35629"/>
    <n v="0.10549503652100183"/>
    <x v="1"/>
  </r>
  <r>
    <x v="943"/>
    <x v="943"/>
    <x v="2"/>
    <x v="19"/>
    <x v="3"/>
    <x v="3"/>
    <n v="62528"/>
    <n v="31678"/>
    <n v="22354"/>
    <n v="918"/>
    <n v="76"/>
    <n v="63"/>
    <n v="7"/>
    <n v="913"/>
    <n v="4.759774536995616E-2"/>
    <x v="0"/>
  </r>
  <r>
    <x v="944"/>
    <x v="944"/>
    <x v="4"/>
    <x v="21"/>
    <x v="0"/>
    <x v="13"/>
    <n v="303634"/>
    <n v="181829"/>
    <n v="133303"/>
    <n v="12630"/>
    <n v="926"/>
    <n v="1273"/>
    <n v="738"/>
    <n v="2978"/>
    <n v="0.1167790672377966"/>
    <x v="0"/>
  </r>
  <r>
    <x v="945"/>
    <x v="945"/>
    <x v="3"/>
    <x v="11"/>
    <x v="2"/>
    <x v="14"/>
    <n v="276477"/>
    <n v="81671"/>
    <n v="63305"/>
    <n v="3404"/>
    <n v="365"/>
    <n v="302"/>
    <n v="25"/>
    <n v="1333"/>
    <n v="6.4702630124002847E-2"/>
    <x v="0"/>
  </r>
  <r>
    <x v="946"/>
    <x v="946"/>
    <x v="3"/>
    <x v="4"/>
    <x v="5"/>
    <x v="4"/>
    <n v="695948"/>
    <n v="178699"/>
    <n v="155956"/>
    <n v="7598"/>
    <n v="275"/>
    <n v="857"/>
    <n v="40"/>
    <n v="3411"/>
    <n v="5.6233809536022979E-2"/>
    <x v="0"/>
  </r>
  <r>
    <x v="947"/>
    <x v="947"/>
    <x v="3"/>
    <x v="18"/>
    <x v="3"/>
    <x v="14"/>
    <n v="374825"/>
    <n v="33616"/>
    <n v="29289"/>
    <n v="2594"/>
    <n v="410"/>
    <n v="229"/>
    <n v="8"/>
    <n v="233"/>
    <n v="0.11065587763324115"/>
    <x v="0"/>
  </r>
  <r>
    <x v="948"/>
    <x v="948"/>
    <x v="0"/>
    <x v="13"/>
    <x v="2"/>
    <x v="10"/>
    <n v="557500"/>
    <n v="127732"/>
    <n v="96681"/>
    <n v="9122"/>
    <n v="516"/>
    <n v="1307"/>
    <n v="1365"/>
    <n v="4205"/>
    <n v="0.12732594822147061"/>
    <x v="0"/>
  </r>
  <r>
    <x v="949"/>
    <x v="949"/>
    <x v="3"/>
    <x v="11"/>
    <x v="3"/>
    <x v="4"/>
    <n v="256493"/>
    <n v="30100"/>
    <n v="23719"/>
    <n v="1826"/>
    <n v="253"/>
    <n v="160"/>
    <n v="41"/>
    <n v="755"/>
    <n v="9.6125469033264466E-2"/>
    <x v="1"/>
  </r>
  <r>
    <x v="950"/>
    <x v="950"/>
    <x v="1"/>
    <x v="1"/>
    <x v="4"/>
    <x v="16"/>
    <n v="388644"/>
    <n v="218290"/>
    <n v="163074"/>
    <n v="8420"/>
    <n v="1235"/>
    <n v="258"/>
    <n v="1891"/>
    <n v="6474"/>
    <n v="7.2384316322651063E-2"/>
    <x v="0"/>
  </r>
  <r>
    <x v="951"/>
    <x v="951"/>
    <x v="0"/>
    <x v="23"/>
    <x v="2"/>
    <x v="0"/>
    <n v="425368"/>
    <n v="208873"/>
    <n v="161831"/>
    <n v="12739"/>
    <n v="943"/>
    <n v="1843"/>
    <n v="2959"/>
    <n v="1190"/>
    <n v="0.11421791869295747"/>
    <x v="0"/>
  </r>
  <r>
    <x v="952"/>
    <x v="952"/>
    <x v="0"/>
    <x v="23"/>
    <x v="1"/>
    <x v="10"/>
    <n v="558617"/>
    <n v="337007"/>
    <n v="252650"/>
    <n v="8943"/>
    <n v="592"/>
    <n v="989"/>
    <n v="1374"/>
    <n v="10080"/>
    <n v="4.7092816148822485E-2"/>
    <x v="0"/>
  </r>
  <r>
    <x v="953"/>
    <x v="953"/>
    <x v="4"/>
    <x v="14"/>
    <x v="2"/>
    <x v="11"/>
    <n v="722690"/>
    <n v="466916"/>
    <n v="351372"/>
    <n v="35013"/>
    <n v="2147"/>
    <n v="4182"/>
    <n v="4237"/>
    <n v="13940"/>
    <n v="0.12971722277244629"/>
    <x v="0"/>
  </r>
  <r>
    <x v="954"/>
    <x v="954"/>
    <x v="1"/>
    <x v="8"/>
    <x v="2"/>
    <x v="6"/>
    <n v="101668"/>
    <n v="34486"/>
    <n v="29612"/>
    <n v="2318"/>
    <n v="258"/>
    <n v="229"/>
    <n v="207"/>
    <n v="786"/>
    <n v="0.10171552073483722"/>
    <x v="1"/>
  </r>
  <r>
    <x v="955"/>
    <x v="955"/>
    <x v="2"/>
    <x v="3"/>
    <x v="0"/>
    <x v="15"/>
    <n v="428900"/>
    <n v="211154"/>
    <n v="190458"/>
    <n v="11975"/>
    <n v="1266"/>
    <n v="1420"/>
    <n v="20"/>
    <n v="7336"/>
    <n v="7.7082611389387684E-2"/>
    <x v="0"/>
  </r>
  <r>
    <x v="956"/>
    <x v="956"/>
    <x v="3"/>
    <x v="11"/>
    <x v="2"/>
    <x v="9"/>
    <n v="221341"/>
    <n v="143526"/>
    <n v="118974"/>
    <n v="5751"/>
    <n v="530"/>
    <n v="526"/>
    <n v="38"/>
    <n v="2973"/>
    <n v="5.753357876510834E-2"/>
    <x v="0"/>
  </r>
  <r>
    <x v="957"/>
    <x v="957"/>
    <x v="2"/>
    <x v="3"/>
    <x v="4"/>
    <x v="3"/>
    <n v="627526"/>
    <n v="309447"/>
    <n v="279018"/>
    <n v="22570"/>
    <n v="2979"/>
    <n v="1600"/>
    <n v="39"/>
    <n v="8900"/>
    <n v="9.7441742109828033E-2"/>
    <x v="0"/>
  </r>
  <r>
    <x v="958"/>
    <x v="958"/>
    <x v="4"/>
    <x v="10"/>
    <x v="1"/>
    <x v="11"/>
    <n v="116643"/>
    <n v="24347"/>
    <n v="19881"/>
    <n v="987"/>
    <n v="33"/>
    <n v="37"/>
    <n v="246"/>
    <n v="263"/>
    <n v="6.5539962778532274E-2"/>
    <x v="1"/>
  </r>
  <r>
    <x v="959"/>
    <x v="959"/>
    <x v="3"/>
    <x v="4"/>
    <x v="2"/>
    <x v="9"/>
    <n v="475713"/>
    <n v="129625"/>
    <n v="93367"/>
    <n v="9854"/>
    <n v="1323"/>
    <n v="1295"/>
    <n v="18"/>
    <n v="1153"/>
    <n v="0.13377317467627747"/>
    <x v="0"/>
  </r>
  <r>
    <x v="960"/>
    <x v="960"/>
    <x v="4"/>
    <x v="14"/>
    <x v="0"/>
    <x v="13"/>
    <n v="417208"/>
    <n v="263168"/>
    <n v="186901"/>
    <n v="16216"/>
    <n v="769"/>
    <n v="595"/>
    <n v="3341"/>
    <n v="1457"/>
    <n v="0.11193626572356488"/>
    <x v="0"/>
  </r>
  <r>
    <x v="961"/>
    <x v="961"/>
    <x v="1"/>
    <x v="24"/>
    <x v="3"/>
    <x v="8"/>
    <n v="639433"/>
    <n v="368699"/>
    <n v="289422"/>
    <n v="22525"/>
    <n v="921"/>
    <n v="3203"/>
    <n v="2085"/>
    <n v="12382"/>
    <n v="9.9280635197047912E-2"/>
    <x v="1"/>
  </r>
  <r>
    <x v="962"/>
    <x v="962"/>
    <x v="2"/>
    <x v="2"/>
    <x v="1"/>
    <x v="5"/>
    <n v="459931"/>
    <n v="164043"/>
    <n v="130149"/>
    <n v="8806"/>
    <n v="1456"/>
    <n v="887"/>
    <n v="33"/>
    <n v="4911"/>
    <n v="8.5916910617830328E-2"/>
    <x v="0"/>
  </r>
  <r>
    <x v="963"/>
    <x v="963"/>
    <x v="3"/>
    <x v="11"/>
    <x v="1"/>
    <x v="4"/>
    <n v="820644"/>
    <n v="205252"/>
    <n v="182638"/>
    <n v="15345"/>
    <n v="2155"/>
    <n v="1361"/>
    <n v="26"/>
    <n v="1310"/>
    <n v="0.10341221432560585"/>
    <x v="0"/>
  </r>
  <r>
    <x v="964"/>
    <x v="964"/>
    <x v="4"/>
    <x v="10"/>
    <x v="4"/>
    <x v="11"/>
    <n v="475967"/>
    <n v="42975"/>
    <n v="30531"/>
    <n v="1809"/>
    <n v="207"/>
    <n v="202"/>
    <n v="381"/>
    <n v="583"/>
    <n v="8.5126592643542623E-2"/>
    <x v="0"/>
  </r>
  <r>
    <x v="965"/>
    <x v="965"/>
    <x v="3"/>
    <x v="4"/>
    <x v="3"/>
    <x v="14"/>
    <n v="742964"/>
    <n v="458614"/>
    <n v="398378"/>
    <n v="24931"/>
    <n v="2153"/>
    <n v="3028"/>
    <n v="18"/>
    <n v="13716"/>
    <n v="7.5631686488711727E-2"/>
    <x v="1"/>
  </r>
  <r>
    <x v="966"/>
    <x v="966"/>
    <x v="2"/>
    <x v="19"/>
    <x v="1"/>
    <x v="3"/>
    <n v="154733"/>
    <n v="44674"/>
    <n v="37530"/>
    <n v="2418"/>
    <n v="125"/>
    <n v="226"/>
    <n v="18"/>
    <n v="251"/>
    <n v="7.426059152677858E-2"/>
    <x v="0"/>
  </r>
  <r>
    <x v="967"/>
    <x v="967"/>
    <x v="1"/>
    <x v="8"/>
    <x v="0"/>
    <x v="6"/>
    <n v="196438"/>
    <n v="106083"/>
    <n v="81129"/>
    <n v="3020"/>
    <n v="529"/>
    <n v="219"/>
    <n v="489"/>
    <n v="3514"/>
    <n v="5.2471989054468808E-2"/>
    <x v="0"/>
  </r>
  <r>
    <x v="968"/>
    <x v="968"/>
    <x v="1"/>
    <x v="1"/>
    <x v="4"/>
    <x v="6"/>
    <n v="481889"/>
    <n v="305630"/>
    <n v="257103"/>
    <n v="9301"/>
    <n v="580"/>
    <n v="865"/>
    <n v="2315"/>
    <n v="3619"/>
    <n v="5.0800651878818992E-2"/>
    <x v="1"/>
  </r>
  <r>
    <x v="969"/>
    <x v="969"/>
    <x v="0"/>
    <x v="0"/>
    <x v="1"/>
    <x v="0"/>
    <n v="691686"/>
    <n v="353795"/>
    <n v="324007"/>
    <n v="24652"/>
    <n v="4057"/>
    <n v="3569"/>
    <n v="5607"/>
    <n v="3019"/>
    <n v="0.11692648615616329"/>
    <x v="0"/>
  </r>
  <r>
    <x v="970"/>
    <x v="970"/>
    <x v="0"/>
    <x v="22"/>
    <x v="1"/>
    <x v="0"/>
    <n v="428464"/>
    <n v="121885"/>
    <n v="89250"/>
    <n v="7271"/>
    <n v="320"/>
    <n v="665"/>
    <n v="1196"/>
    <n v="1869"/>
    <n v="0.1059047619047619"/>
    <x v="1"/>
  </r>
  <r>
    <x v="971"/>
    <x v="971"/>
    <x v="2"/>
    <x v="16"/>
    <x v="2"/>
    <x v="5"/>
    <n v="806224"/>
    <n v="307370"/>
    <n v="237937"/>
    <n v="23184"/>
    <n v="1113"/>
    <n v="3005"/>
    <n v="49"/>
    <n v="3999"/>
    <n v="0.11495059616621206"/>
    <x v="0"/>
  </r>
  <r>
    <x v="972"/>
    <x v="972"/>
    <x v="0"/>
    <x v="13"/>
    <x v="5"/>
    <x v="10"/>
    <n v="45032"/>
    <n v="24972"/>
    <n v="20108"/>
    <n v="834"/>
    <n v="25"/>
    <n v="109"/>
    <n v="114"/>
    <n v="417"/>
    <n v="5.3809429082952061E-2"/>
    <x v="2"/>
  </r>
  <r>
    <x v="973"/>
    <x v="973"/>
    <x v="2"/>
    <x v="2"/>
    <x v="0"/>
    <x v="15"/>
    <n v="87659"/>
    <n v="47700"/>
    <n v="42032"/>
    <n v="3310"/>
    <n v="111"/>
    <n v="472"/>
    <n v="24"/>
    <n v="993"/>
    <n v="9.3190902169775408E-2"/>
    <x v="1"/>
  </r>
  <r>
    <x v="974"/>
    <x v="974"/>
    <x v="3"/>
    <x v="11"/>
    <x v="4"/>
    <x v="4"/>
    <n v="59462"/>
    <n v="30978"/>
    <n v="25240"/>
    <n v="2240"/>
    <n v="386"/>
    <n v="231"/>
    <n v="40"/>
    <n v="288"/>
    <n v="0.11477812995245641"/>
    <x v="1"/>
  </r>
  <r>
    <x v="975"/>
    <x v="975"/>
    <x v="4"/>
    <x v="20"/>
    <x v="3"/>
    <x v="13"/>
    <n v="630424"/>
    <n v="108759"/>
    <n v="98692"/>
    <n v="7953"/>
    <n v="1104"/>
    <n v="947"/>
    <n v="1052"/>
    <n v="968"/>
    <n v="0.11202529080371255"/>
    <x v="0"/>
  </r>
  <r>
    <x v="976"/>
    <x v="976"/>
    <x v="2"/>
    <x v="16"/>
    <x v="3"/>
    <x v="15"/>
    <n v="171291"/>
    <n v="104747"/>
    <n v="91046"/>
    <n v="3751"/>
    <n v="336"/>
    <n v="330"/>
    <n v="34"/>
    <n v="1349"/>
    <n v="4.8887375612327831E-2"/>
    <x v="2"/>
  </r>
  <r>
    <x v="977"/>
    <x v="977"/>
    <x v="4"/>
    <x v="12"/>
    <x v="5"/>
    <x v="11"/>
    <n v="752146"/>
    <n v="147038"/>
    <n v="106443"/>
    <n v="7746"/>
    <n v="324"/>
    <n v="165"/>
    <n v="1703"/>
    <n v="4701"/>
    <n v="9.3364523735708319E-2"/>
    <x v="0"/>
  </r>
  <r>
    <x v="978"/>
    <x v="978"/>
    <x v="4"/>
    <x v="20"/>
    <x v="2"/>
    <x v="17"/>
    <n v="789286"/>
    <n v="434379"/>
    <n v="334431"/>
    <n v="20877"/>
    <n v="2336"/>
    <n v="3067"/>
    <n v="2613"/>
    <n v="4652"/>
    <n v="8.6394502901943893E-2"/>
    <x v="0"/>
  </r>
  <r>
    <x v="979"/>
    <x v="979"/>
    <x v="0"/>
    <x v="23"/>
    <x v="1"/>
    <x v="0"/>
    <n v="763752"/>
    <n v="437475"/>
    <n v="310831"/>
    <n v="31431"/>
    <n v="2329"/>
    <n v="804"/>
    <n v="6710"/>
    <n v="7846"/>
    <n v="0.13278598338003611"/>
    <x v="0"/>
  </r>
  <r>
    <x v="980"/>
    <x v="980"/>
    <x v="0"/>
    <x v="22"/>
    <x v="3"/>
    <x v="7"/>
    <n v="562630"/>
    <n v="90476"/>
    <n v="78080"/>
    <n v="4521"/>
    <n v="483"/>
    <n v="628"/>
    <n v="294"/>
    <n v="2715"/>
    <n v="7.5896516393442623E-2"/>
    <x v="1"/>
  </r>
  <r>
    <x v="981"/>
    <x v="981"/>
    <x v="3"/>
    <x v="18"/>
    <x v="0"/>
    <x v="9"/>
    <n v="661284"/>
    <n v="248690"/>
    <n v="183472"/>
    <n v="13122"/>
    <n v="1839"/>
    <n v="1100"/>
    <n v="46"/>
    <n v="6367"/>
    <n v="8.7789962501090085E-2"/>
    <x v="0"/>
  </r>
  <r>
    <x v="982"/>
    <x v="982"/>
    <x v="1"/>
    <x v="7"/>
    <x v="0"/>
    <x v="6"/>
    <n v="542831"/>
    <n v="254301"/>
    <n v="200860"/>
    <n v="10250"/>
    <n v="1187"/>
    <n v="804"/>
    <n v="2027"/>
    <n v="5031"/>
    <n v="7.1034551428855924E-2"/>
    <x v="1"/>
  </r>
  <r>
    <x v="983"/>
    <x v="983"/>
    <x v="2"/>
    <x v="19"/>
    <x v="3"/>
    <x v="2"/>
    <n v="736620"/>
    <n v="420400"/>
    <n v="316102"/>
    <n v="18625"/>
    <n v="2737"/>
    <n v="727"/>
    <n v="50"/>
    <n v="2297"/>
    <n v="7.0037519534833698E-2"/>
    <x v="1"/>
  </r>
  <r>
    <x v="984"/>
    <x v="984"/>
    <x v="1"/>
    <x v="8"/>
    <x v="0"/>
    <x v="1"/>
    <n v="346318"/>
    <n v="44719"/>
    <n v="37980"/>
    <n v="2664"/>
    <n v="85"/>
    <n v="169"/>
    <n v="660"/>
    <n v="1480"/>
    <n v="9.420747761979989E-2"/>
    <x v="1"/>
  </r>
  <r>
    <x v="985"/>
    <x v="985"/>
    <x v="4"/>
    <x v="21"/>
    <x v="4"/>
    <x v="17"/>
    <n v="78787"/>
    <n v="12533"/>
    <n v="9870"/>
    <n v="594"/>
    <n v="70"/>
    <n v="14"/>
    <n v="99"/>
    <n v="353"/>
    <n v="7.8723404255319152E-2"/>
    <x v="0"/>
  </r>
  <r>
    <x v="986"/>
    <x v="986"/>
    <x v="0"/>
    <x v="13"/>
    <x v="2"/>
    <x v="0"/>
    <n v="135537"/>
    <n v="13762"/>
    <n v="12050"/>
    <n v="1060"/>
    <n v="141"/>
    <n v="52"/>
    <n v="231"/>
    <n v="247"/>
    <n v="0.12315352697095436"/>
    <x v="1"/>
  </r>
  <r>
    <x v="987"/>
    <x v="987"/>
    <x v="0"/>
    <x v="0"/>
    <x v="5"/>
    <x v="10"/>
    <n v="356626"/>
    <n v="152474"/>
    <n v="127848"/>
    <n v="8970"/>
    <n v="650"/>
    <n v="706"/>
    <n v="1427"/>
    <n v="2856"/>
    <n v="9.1929478756022781E-2"/>
    <x v="1"/>
  </r>
  <r>
    <x v="988"/>
    <x v="988"/>
    <x v="4"/>
    <x v="14"/>
    <x v="0"/>
    <x v="17"/>
    <n v="572892"/>
    <n v="173347"/>
    <n v="141908"/>
    <n v="13577"/>
    <n v="787"/>
    <n v="1919"/>
    <n v="1906"/>
    <n v="2845"/>
    <n v="0.12817459198917608"/>
    <x v="0"/>
  </r>
  <r>
    <x v="989"/>
    <x v="989"/>
    <x v="2"/>
    <x v="16"/>
    <x v="1"/>
    <x v="2"/>
    <n v="405650"/>
    <n v="230613"/>
    <n v="207867"/>
    <n v="11610"/>
    <n v="1599"/>
    <n v="464"/>
    <n v="8"/>
    <n v="3367"/>
    <n v="6.5816122809296329E-2"/>
    <x v="0"/>
  </r>
  <r>
    <x v="990"/>
    <x v="990"/>
    <x v="3"/>
    <x v="15"/>
    <x v="4"/>
    <x v="14"/>
    <n v="3186"/>
    <n v="790"/>
    <n v="690"/>
    <n v="33"/>
    <n v="4"/>
    <n v="4"/>
    <n v="42"/>
    <n v="25"/>
    <n v="0.12028985507246377"/>
    <x v="0"/>
  </r>
  <r>
    <x v="991"/>
    <x v="991"/>
    <x v="0"/>
    <x v="6"/>
    <x v="1"/>
    <x v="0"/>
    <n v="34622"/>
    <n v="6083"/>
    <n v="4493"/>
    <n v="394"/>
    <n v="62"/>
    <n v="21"/>
    <n v="34"/>
    <n v="125"/>
    <n v="0.11373247273536613"/>
    <x v="0"/>
  </r>
  <r>
    <x v="992"/>
    <x v="992"/>
    <x v="3"/>
    <x v="15"/>
    <x v="0"/>
    <x v="14"/>
    <n v="261104"/>
    <n v="40697"/>
    <n v="35107"/>
    <n v="2881"/>
    <n v="427"/>
    <n v="368"/>
    <n v="14"/>
    <n v="1261"/>
    <n v="0.10510724356965848"/>
    <x v="0"/>
  </r>
  <r>
    <x v="993"/>
    <x v="993"/>
    <x v="0"/>
    <x v="6"/>
    <x v="0"/>
    <x v="7"/>
    <n v="85973"/>
    <n v="51765"/>
    <n v="42305"/>
    <n v="2084"/>
    <n v="371"/>
    <n v="172"/>
    <n v="485"/>
    <n v="792"/>
    <n v="7.3561044793759606E-2"/>
    <x v="0"/>
  </r>
  <r>
    <x v="994"/>
    <x v="994"/>
    <x v="1"/>
    <x v="8"/>
    <x v="5"/>
    <x v="1"/>
    <n v="109686"/>
    <n v="70760"/>
    <n v="51185"/>
    <n v="4432"/>
    <n v="378"/>
    <n v="103"/>
    <n v="794"/>
    <n v="1455"/>
    <n v="0.11149750903585035"/>
    <x v="2"/>
  </r>
  <r>
    <x v="995"/>
    <x v="995"/>
    <x v="3"/>
    <x v="15"/>
    <x v="3"/>
    <x v="14"/>
    <n v="303760"/>
    <n v="63120"/>
    <n v="48441"/>
    <n v="3622"/>
    <n v="585"/>
    <n v="493"/>
    <n v="36"/>
    <n v="456"/>
    <n v="9.77684193142173E-2"/>
    <x v="1"/>
  </r>
  <r>
    <x v="996"/>
    <x v="996"/>
    <x v="4"/>
    <x v="12"/>
    <x v="1"/>
    <x v="11"/>
    <n v="612747"/>
    <n v="326145"/>
    <n v="288469"/>
    <n v="10635"/>
    <n v="809"/>
    <n v="662"/>
    <n v="1496"/>
    <n v="4827"/>
    <n v="4.715238032509559E-2"/>
    <x v="0"/>
  </r>
  <r>
    <x v="997"/>
    <x v="997"/>
    <x v="0"/>
    <x v="13"/>
    <x v="0"/>
    <x v="7"/>
    <n v="501470"/>
    <n v="311841"/>
    <n v="234626"/>
    <n v="14212"/>
    <n v="2241"/>
    <n v="368"/>
    <n v="3438"/>
    <n v="4045"/>
    <n v="8.6345929266151242E-2"/>
    <x v="1"/>
  </r>
  <r>
    <x v="998"/>
    <x v="998"/>
    <x v="0"/>
    <x v="22"/>
    <x v="2"/>
    <x v="7"/>
    <n v="188438"/>
    <n v="81209"/>
    <n v="69282"/>
    <n v="4176"/>
    <n v="476"/>
    <n v="412"/>
    <n v="906"/>
    <n v="2252"/>
    <n v="8.616956785312202E-2"/>
    <x v="0"/>
  </r>
  <r>
    <x v="999"/>
    <x v="999"/>
    <x v="3"/>
    <x v="18"/>
    <x v="1"/>
    <x v="4"/>
    <n v="424230"/>
    <n v="67030"/>
    <n v="55140"/>
    <n v="5012"/>
    <n v="733"/>
    <n v="371"/>
    <n v="20"/>
    <n v="2072"/>
    <n v="0.1112803772216177"/>
    <x v="0"/>
  </r>
  <r>
    <x v="1000"/>
    <x v="1000"/>
    <x v="0"/>
    <x v="23"/>
    <x v="0"/>
    <x v="0"/>
    <n v="519145"/>
    <n v="192508"/>
    <n v="172582"/>
    <n v="7079"/>
    <n v="883"/>
    <n v="816"/>
    <n v="951"/>
    <n v="3063"/>
    <n v="5.637320230383238E-2"/>
    <x v="1"/>
  </r>
  <r>
    <x v="1001"/>
    <x v="1001"/>
    <x v="0"/>
    <x v="0"/>
    <x v="1"/>
    <x v="0"/>
    <n v="321835"/>
    <n v="192771"/>
    <n v="169394"/>
    <n v="8807"/>
    <n v="703"/>
    <n v="331"/>
    <n v="1939"/>
    <n v="6067"/>
    <n v="6.9542014475128991E-2"/>
    <x v="0"/>
  </r>
  <r>
    <x v="1002"/>
    <x v="1002"/>
    <x v="1"/>
    <x v="7"/>
    <x v="4"/>
    <x v="16"/>
    <n v="78781"/>
    <n v="12190"/>
    <n v="10901"/>
    <n v="848"/>
    <n v="127"/>
    <n v="112"/>
    <n v="54"/>
    <n v="62"/>
    <n v="0.10466929639482617"/>
    <x v="0"/>
  </r>
  <r>
    <x v="1003"/>
    <x v="1003"/>
    <x v="2"/>
    <x v="2"/>
    <x v="4"/>
    <x v="5"/>
    <n v="717623"/>
    <n v="181457"/>
    <n v="147969"/>
    <n v="7799"/>
    <n v="920"/>
    <n v="1164"/>
    <n v="31"/>
    <n v="1691"/>
    <n v="6.7000520379268624E-2"/>
    <x v="2"/>
  </r>
  <r>
    <x v="1004"/>
    <x v="1004"/>
    <x v="2"/>
    <x v="3"/>
    <x v="4"/>
    <x v="2"/>
    <n v="159476"/>
    <n v="24551"/>
    <n v="22504"/>
    <n v="1527"/>
    <n v="256"/>
    <n v="87"/>
    <n v="4"/>
    <n v="510"/>
    <n v="8.3274084607180943E-2"/>
    <x v="1"/>
  </r>
  <r>
    <x v="1005"/>
    <x v="1005"/>
    <x v="4"/>
    <x v="12"/>
    <x v="0"/>
    <x v="12"/>
    <n v="134930"/>
    <n v="21808"/>
    <n v="15299"/>
    <n v="835"/>
    <n v="36"/>
    <n v="57"/>
    <n v="43"/>
    <n v="167"/>
    <n v="6.3468200535982747E-2"/>
    <x v="0"/>
  </r>
  <r>
    <x v="1006"/>
    <x v="1006"/>
    <x v="3"/>
    <x v="9"/>
    <x v="5"/>
    <x v="9"/>
    <n v="560880"/>
    <n v="195661"/>
    <n v="167359"/>
    <n v="11721"/>
    <n v="662"/>
    <n v="509"/>
    <n v="22"/>
    <n v="3796"/>
    <n v="7.7163462974802671E-2"/>
    <x v="0"/>
  </r>
  <r>
    <x v="1007"/>
    <x v="1007"/>
    <x v="0"/>
    <x v="6"/>
    <x v="0"/>
    <x v="7"/>
    <n v="164772"/>
    <n v="101667"/>
    <n v="74352"/>
    <n v="2583"/>
    <n v="393"/>
    <n v="338"/>
    <n v="512"/>
    <n v="1674"/>
    <n v="5.1457929847213257E-2"/>
    <x v="1"/>
  </r>
  <r>
    <x v="1008"/>
    <x v="1008"/>
    <x v="4"/>
    <x v="21"/>
    <x v="0"/>
    <x v="13"/>
    <n v="129304"/>
    <n v="23282"/>
    <n v="19818"/>
    <n v="742"/>
    <n v="109"/>
    <n v="85"/>
    <n v="174"/>
    <n v="574"/>
    <n v="5.6009688162276715E-2"/>
    <x v="2"/>
  </r>
  <r>
    <x v="1009"/>
    <x v="1009"/>
    <x v="1"/>
    <x v="8"/>
    <x v="1"/>
    <x v="16"/>
    <n v="779489"/>
    <n v="138421"/>
    <n v="119210"/>
    <n v="9407"/>
    <n v="1209"/>
    <n v="903"/>
    <n v="1675"/>
    <n v="1673"/>
    <n v="0.11067863434275647"/>
    <x v="0"/>
  </r>
  <r>
    <x v="1010"/>
    <x v="1010"/>
    <x v="0"/>
    <x v="0"/>
    <x v="1"/>
    <x v="10"/>
    <n v="215556"/>
    <n v="132702"/>
    <n v="105091"/>
    <n v="6548"/>
    <n v="829"/>
    <n v="758"/>
    <n v="1483"/>
    <n v="1534"/>
    <n v="9.1520682075534543E-2"/>
    <x v="1"/>
  </r>
  <r>
    <x v="1011"/>
    <x v="1011"/>
    <x v="0"/>
    <x v="23"/>
    <x v="5"/>
    <x v="10"/>
    <n v="815074"/>
    <n v="397617"/>
    <n v="294117"/>
    <n v="18612"/>
    <n v="2861"/>
    <n v="2454"/>
    <n v="2563"/>
    <n v="4216"/>
    <n v="9.006619814563592E-2"/>
    <x v="0"/>
  </r>
  <r>
    <x v="1012"/>
    <x v="1012"/>
    <x v="1"/>
    <x v="7"/>
    <x v="3"/>
    <x v="8"/>
    <n v="756179"/>
    <n v="271836"/>
    <n v="209833"/>
    <n v="14889"/>
    <n v="1693"/>
    <n v="2068"/>
    <n v="1468"/>
    <n v="2576"/>
    <n v="9.5876244442008651E-2"/>
    <x v="1"/>
  </r>
  <r>
    <x v="1013"/>
    <x v="1013"/>
    <x v="0"/>
    <x v="6"/>
    <x v="4"/>
    <x v="10"/>
    <n v="59427"/>
    <n v="10623"/>
    <n v="8056"/>
    <n v="565"/>
    <n v="68"/>
    <n v="80"/>
    <n v="128"/>
    <n v="218"/>
    <n v="0.10439424031777557"/>
    <x v="0"/>
  </r>
  <r>
    <x v="1014"/>
    <x v="1014"/>
    <x v="1"/>
    <x v="24"/>
    <x v="4"/>
    <x v="1"/>
    <n v="196126"/>
    <n v="75497"/>
    <n v="66113"/>
    <n v="5688"/>
    <n v="844"/>
    <n v="715"/>
    <n v="330"/>
    <n v="416"/>
    <n v="0.11460680955334049"/>
    <x v="2"/>
  </r>
  <r>
    <x v="1015"/>
    <x v="1015"/>
    <x v="3"/>
    <x v="18"/>
    <x v="5"/>
    <x v="9"/>
    <n v="485070"/>
    <n v="269725"/>
    <n v="245422"/>
    <n v="19506"/>
    <n v="2254"/>
    <n v="2744"/>
    <n v="5"/>
    <n v="1533"/>
    <n v="9.9864722803986603E-2"/>
    <x v="0"/>
  </r>
  <r>
    <x v="1016"/>
    <x v="1016"/>
    <x v="3"/>
    <x v="15"/>
    <x v="4"/>
    <x v="9"/>
    <n v="99467"/>
    <n v="35056"/>
    <n v="31232"/>
    <n v="1776"/>
    <n v="68"/>
    <n v="225"/>
    <n v="0"/>
    <n v="781"/>
    <n v="6.6246157786885251E-2"/>
    <x v="2"/>
  </r>
  <r>
    <x v="1017"/>
    <x v="1017"/>
    <x v="2"/>
    <x v="19"/>
    <x v="1"/>
    <x v="15"/>
    <n v="154736"/>
    <n v="68234"/>
    <n v="50042"/>
    <n v="2213"/>
    <n v="105"/>
    <n v="241"/>
    <n v="44"/>
    <n v="2306"/>
    <n v="5.2016306302705727E-2"/>
    <x v="0"/>
  </r>
  <r>
    <x v="1018"/>
    <x v="1018"/>
    <x v="4"/>
    <x v="21"/>
    <x v="4"/>
    <x v="12"/>
    <n v="124065"/>
    <n v="38402"/>
    <n v="34597"/>
    <n v="864"/>
    <n v="105"/>
    <n v="20"/>
    <n v="66"/>
    <n v="587"/>
    <n v="3.0493973465907449E-2"/>
    <x v="1"/>
  </r>
  <r>
    <x v="1019"/>
    <x v="1019"/>
    <x v="1"/>
    <x v="7"/>
    <x v="4"/>
    <x v="16"/>
    <n v="41321"/>
    <n v="7838"/>
    <n v="6068"/>
    <n v="408"/>
    <n v="52"/>
    <n v="32"/>
    <n v="91"/>
    <n v="229"/>
    <n v="9.607778510217535E-2"/>
    <x v="1"/>
  </r>
  <r>
    <x v="1020"/>
    <x v="1020"/>
    <x v="0"/>
    <x v="0"/>
    <x v="2"/>
    <x v="0"/>
    <n v="300767"/>
    <n v="1206899"/>
    <n v="1010870"/>
    <n v="34320"/>
    <n v="2765"/>
    <n v="725"/>
    <n v="6280"/>
    <n v="41589"/>
    <n v="4.3615895218969795E-2"/>
    <x v="0"/>
  </r>
  <r>
    <x v="1021"/>
    <x v="1021"/>
    <x v="3"/>
    <x v="4"/>
    <x v="4"/>
    <x v="4"/>
    <n v="369475"/>
    <n v="206388"/>
    <n v="181271"/>
    <n v="13241"/>
    <n v="399"/>
    <n v="1866"/>
    <n v="45"/>
    <n v="5161"/>
    <n v="8.5788681035576561E-2"/>
    <x v="0"/>
  </r>
  <r>
    <x v="1022"/>
    <x v="1022"/>
    <x v="4"/>
    <x v="10"/>
    <x v="0"/>
    <x v="13"/>
    <n v="126913"/>
    <n v="23952"/>
    <n v="19662"/>
    <n v="1254"/>
    <n v="110"/>
    <n v="149"/>
    <n v="95"/>
    <n v="727"/>
    <n v="8.178211779066219E-2"/>
    <x v="0"/>
  </r>
  <r>
    <x v="1023"/>
    <x v="1023"/>
    <x v="4"/>
    <x v="12"/>
    <x v="3"/>
    <x v="12"/>
    <n v="445481"/>
    <n v="191611"/>
    <n v="143857"/>
    <n v="9521"/>
    <n v="371"/>
    <n v="931"/>
    <n v="593"/>
    <n v="5090"/>
    <n v="7.9356583273667597E-2"/>
    <x v="2"/>
  </r>
  <r>
    <x v="1024"/>
    <x v="1024"/>
    <x v="4"/>
    <x v="20"/>
    <x v="0"/>
    <x v="17"/>
    <n v="135126"/>
    <n v="51712"/>
    <n v="40093"/>
    <n v="1844"/>
    <n v="294"/>
    <n v="235"/>
    <n v="344"/>
    <n v="1254"/>
    <n v="6.7767440700371634E-2"/>
    <x v="0"/>
  </r>
  <r>
    <x v="1025"/>
    <x v="1025"/>
    <x v="4"/>
    <x v="10"/>
    <x v="2"/>
    <x v="11"/>
    <n v="427739"/>
    <n v="171833"/>
    <n v="144471"/>
    <n v="7236"/>
    <n v="1186"/>
    <n v="434"/>
    <n v="455"/>
    <n v="3141"/>
    <n v="6.4448920544607574E-2"/>
    <x v="1"/>
  </r>
  <r>
    <x v="1026"/>
    <x v="1026"/>
    <x v="1"/>
    <x v="8"/>
    <x v="5"/>
    <x v="8"/>
    <n v="114094"/>
    <n v="61810"/>
    <n v="49171"/>
    <n v="1646"/>
    <n v="186"/>
    <n v="197"/>
    <n v="344"/>
    <n v="1262"/>
    <n v="4.8260153342417275E-2"/>
    <x v="0"/>
  </r>
  <r>
    <x v="1027"/>
    <x v="1027"/>
    <x v="3"/>
    <x v="4"/>
    <x v="2"/>
    <x v="4"/>
    <n v="420502"/>
    <n v="259714"/>
    <n v="191048"/>
    <n v="13239"/>
    <n v="1478"/>
    <n v="1154"/>
    <n v="46"/>
    <n v="6520"/>
    <n v="8.331414094887149E-2"/>
    <x v="0"/>
  </r>
  <r>
    <x v="1028"/>
    <x v="1028"/>
    <x v="4"/>
    <x v="14"/>
    <x v="4"/>
    <x v="12"/>
    <n v="488468"/>
    <n v="180619"/>
    <n v="144432"/>
    <n v="6283"/>
    <n v="623"/>
    <n v="312"/>
    <n v="414"/>
    <n v="1162"/>
    <n v="5.2841475573280158E-2"/>
    <x v="1"/>
  </r>
  <r>
    <x v="1029"/>
    <x v="1029"/>
    <x v="0"/>
    <x v="0"/>
    <x v="3"/>
    <x v="0"/>
    <n v="122253"/>
    <n v="11507"/>
    <n v="9156"/>
    <n v="471"/>
    <n v="74"/>
    <n v="50"/>
    <n v="65"/>
    <n v="300"/>
    <n v="7.2083879423328959E-2"/>
    <x v="0"/>
  </r>
  <r>
    <x v="1030"/>
    <x v="1030"/>
    <x v="3"/>
    <x v="11"/>
    <x v="5"/>
    <x v="9"/>
    <n v="706147"/>
    <n v="369239"/>
    <n v="291169"/>
    <n v="25608"/>
    <n v="4300"/>
    <n v="1975"/>
    <n v="16"/>
    <n v="11132"/>
    <n v="0.10955493201542747"/>
    <x v="2"/>
  </r>
  <r>
    <x v="1031"/>
    <x v="1031"/>
    <x v="3"/>
    <x v="11"/>
    <x v="1"/>
    <x v="9"/>
    <n v="147436"/>
    <n v="51713"/>
    <n v="36854"/>
    <n v="1859"/>
    <n v="171"/>
    <n v="61"/>
    <n v="21"/>
    <n v="1231"/>
    <n v="5.7307212242904436E-2"/>
    <x v="0"/>
  </r>
  <r>
    <x v="1032"/>
    <x v="1032"/>
    <x v="3"/>
    <x v="9"/>
    <x v="4"/>
    <x v="4"/>
    <n v="132862"/>
    <n v="13457"/>
    <n v="11359"/>
    <n v="741"/>
    <n v="82"/>
    <n v="105"/>
    <n v="4"/>
    <n v="398"/>
    <n v="8.2049476186283998E-2"/>
    <x v="0"/>
  </r>
  <r>
    <x v="1033"/>
    <x v="1033"/>
    <x v="0"/>
    <x v="13"/>
    <x v="2"/>
    <x v="7"/>
    <n v="263900"/>
    <n v="127570"/>
    <n v="111315"/>
    <n v="2875"/>
    <n v="349"/>
    <n v="245"/>
    <n v="608"/>
    <n v="1776"/>
    <n v="3.662579167228136E-2"/>
    <x v="1"/>
  </r>
  <r>
    <x v="1034"/>
    <x v="1034"/>
    <x v="2"/>
    <x v="2"/>
    <x v="1"/>
    <x v="2"/>
    <n v="672415"/>
    <n v="78751"/>
    <n v="65353"/>
    <n v="4812"/>
    <n v="731"/>
    <n v="335"/>
    <n v="35"/>
    <n v="2165"/>
    <n v="9.0477866356555942E-2"/>
    <x v="0"/>
  </r>
  <r>
    <x v="1035"/>
    <x v="1035"/>
    <x v="2"/>
    <x v="3"/>
    <x v="2"/>
    <x v="2"/>
    <n v="505703"/>
    <n v="112012"/>
    <n v="82701"/>
    <n v="4406"/>
    <n v="253"/>
    <n v="510"/>
    <n v="32"/>
    <n v="2810"/>
    <n v="6.2889203274446498E-2"/>
    <x v="0"/>
  </r>
  <r>
    <x v="1036"/>
    <x v="1036"/>
    <x v="3"/>
    <x v="9"/>
    <x v="2"/>
    <x v="9"/>
    <n v="748548"/>
    <n v="172573"/>
    <n v="153000"/>
    <n v="13347"/>
    <n v="679"/>
    <n v="638"/>
    <n v="3"/>
    <n v="3532"/>
    <n v="9.5862745098039215E-2"/>
    <x v="1"/>
  </r>
  <r>
    <x v="1037"/>
    <x v="1037"/>
    <x v="2"/>
    <x v="19"/>
    <x v="0"/>
    <x v="15"/>
    <n v="663967"/>
    <n v="290703"/>
    <n v="257829"/>
    <n v="21545"/>
    <n v="2410"/>
    <n v="3156"/>
    <n v="5"/>
    <n v="3504"/>
    <n v="0.10517048121041465"/>
    <x v="1"/>
  </r>
  <r>
    <x v="1038"/>
    <x v="1038"/>
    <x v="3"/>
    <x v="18"/>
    <x v="1"/>
    <x v="4"/>
    <n v="156227"/>
    <n v="19933"/>
    <n v="18173"/>
    <n v="1272"/>
    <n v="140"/>
    <n v="128"/>
    <n v="18"/>
    <n v="654"/>
    <n v="8.5731579816210865E-2"/>
    <x v="0"/>
  </r>
  <r>
    <x v="1039"/>
    <x v="1039"/>
    <x v="2"/>
    <x v="3"/>
    <x v="5"/>
    <x v="5"/>
    <n v="171023"/>
    <n v="57675"/>
    <n v="46995"/>
    <n v="3705"/>
    <n v="240"/>
    <n v="547"/>
    <n v="32"/>
    <n v="935"/>
    <n v="9.6265560165975109E-2"/>
    <x v="2"/>
  </r>
  <r>
    <x v="1040"/>
    <x v="1040"/>
    <x v="4"/>
    <x v="14"/>
    <x v="1"/>
    <x v="12"/>
    <n v="441630"/>
    <n v="154467"/>
    <n v="136292"/>
    <n v="4756"/>
    <n v="277"/>
    <n v="443"/>
    <n v="522"/>
    <n v="2640"/>
    <n v="4.4008452440348664E-2"/>
    <x v="1"/>
  </r>
  <r>
    <x v="1041"/>
    <x v="1041"/>
    <x v="3"/>
    <x v="9"/>
    <x v="4"/>
    <x v="14"/>
    <n v="286051"/>
    <n v="120697"/>
    <n v="99349"/>
    <n v="6068"/>
    <n v="603"/>
    <n v="714"/>
    <n v="37"/>
    <n v="4018"/>
    <n v="7.4706338262086183E-2"/>
    <x v="1"/>
  </r>
  <r>
    <x v="1042"/>
    <x v="1042"/>
    <x v="4"/>
    <x v="14"/>
    <x v="2"/>
    <x v="11"/>
    <n v="242977"/>
    <n v="55260"/>
    <n v="39757"/>
    <n v="3031"/>
    <n v="142"/>
    <n v="228"/>
    <n v="451"/>
    <n v="1191"/>
    <n v="9.6888598234273204E-2"/>
    <x v="0"/>
  </r>
  <r>
    <x v="1043"/>
    <x v="1043"/>
    <x v="3"/>
    <x v="18"/>
    <x v="0"/>
    <x v="4"/>
    <n v="760479"/>
    <n v="107223"/>
    <n v="88762"/>
    <n v="7670"/>
    <n v="987"/>
    <n v="792"/>
    <n v="11"/>
    <n v="1478"/>
    <n v="0.10657713886573084"/>
    <x v="0"/>
  </r>
  <r>
    <x v="1044"/>
    <x v="1044"/>
    <x v="0"/>
    <x v="13"/>
    <x v="3"/>
    <x v="7"/>
    <n v="575859"/>
    <n v="132996"/>
    <n v="105658"/>
    <n v="4779"/>
    <n v="510"/>
    <n v="189"/>
    <n v="663"/>
    <n v="1275"/>
    <n v="5.8121486304870434E-2"/>
    <x v="0"/>
  </r>
  <r>
    <x v="1045"/>
    <x v="1045"/>
    <x v="0"/>
    <x v="13"/>
    <x v="0"/>
    <x v="10"/>
    <n v="428883"/>
    <n v="167961"/>
    <n v="136142"/>
    <n v="9142"/>
    <n v="1356"/>
    <n v="446"/>
    <n v="1434"/>
    <n v="3524"/>
    <n v="9.0919774940870557E-2"/>
    <x v="0"/>
  </r>
  <r>
    <x v="1046"/>
    <x v="1046"/>
    <x v="1"/>
    <x v="24"/>
    <x v="3"/>
    <x v="8"/>
    <n v="161190"/>
    <n v="82069"/>
    <n v="68316"/>
    <n v="1976"/>
    <n v="65"/>
    <n v="253"/>
    <n v="134"/>
    <n v="592"/>
    <n v="3.5540722524737979E-2"/>
    <x v="2"/>
  </r>
  <r>
    <x v="1047"/>
    <x v="1047"/>
    <x v="1"/>
    <x v="24"/>
    <x v="4"/>
    <x v="16"/>
    <n v="217008"/>
    <n v="30714"/>
    <n v="24710"/>
    <n v="1365"/>
    <n v="41"/>
    <n v="60"/>
    <n v="136"/>
    <n v="999"/>
    <n v="6.4832051800890328E-2"/>
    <x v="0"/>
  </r>
  <r>
    <x v="1048"/>
    <x v="1048"/>
    <x v="4"/>
    <x v="12"/>
    <x v="5"/>
    <x v="11"/>
    <n v="789431"/>
    <n v="128241"/>
    <n v="107155"/>
    <n v="5865"/>
    <n v="748"/>
    <n v="782"/>
    <n v="1110"/>
    <n v="1693"/>
    <n v="7.9371004619476465E-2"/>
    <x v="1"/>
  </r>
  <r>
    <x v="1049"/>
    <x v="1049"/>
    <x v="2"/>
    <x v="16"/>
    <x v="4"/>
    <x v="15"/>
    <n v="812419"/>
    <n v="389238"/>
    <n v="318557"/>
    <n v="25370"/>
    <n v="3160"/>
    <n v="2310"/>
    <n v="46"/>
    <n v="1979"/>
    <n v="9.6955960785667872E-2"/>
    <x v="0"/>
  </r>
  <r>
    <x v="1050"/>
    <x v="1050"/>
    <x v="0"/>
    <x v="22"/>
    <x v="3"/>
    <x v="7"/>
    <n v="436295"/>
    <n v="282417"/>
    <n v="211763"/>
    <n v="11180"/>
    <n v="645"/>
    <n v="796"/>
    <n v="1400"/>
    <n v="3657"/>
    <n v="6.6210811142645321E-2"/>
    <x v="0"/>
  </r>
  <r>
    <x v="1051"/>
    <x v="1051"/>
    <x v="1"/>
    <x v="7"/>
    <x v="3"/>
    <x v="8"/>
    <n v="329252"/>
    <n v="97874"/>
    <n v="83340"/>
    <n v="7047"/>
    <n v="557"/>
    <n v="679"/>
    <n v="1732"/>
    <n v="2848"/>
    <n v="0.12017038636909047"/>
    <x v="0"/>
  </r>
  <r>
    <x v="1052"/>
    <x v="1052"/>
    <x v="3"/>
    <x v="4"/>
    <x v="2"/>
    <x v="14"/>
    <n v="821486"/>
    <n v="234904"/>
    <n v="212429"/>
    <n v="17230"/>
    <n v="631"/>
    <n v="598"/>
    <n v="30"/>
    <n v="1728"/>
    <n v="8.7036139133545798E-2"/>
    <x v="1"/>
  </r>
  <r>
    <x v="1053"/>
    <x v="1053"/>
    <x v="3"/>
    <x v="18"/>
    <x v="3"/>
    <x v="9"/>
    <n v="444211"/>
    <n v="139548"/>
    <n v="117565"/>
    <n v="3628"/>
    <n v="424"/>
    <n v="227"/>
    <n v="38"/>
    <n v="931"/>
    <n v="3.6720112278314121E-2"/>
    <x v="0"/>
  </r>
  <r>
    <x v="1054"/>
    <x v="1054"/>
    <x v="3"/>
    <x v="15"/>
    <x v="0"/>
    <x v="4"/>
    <n v="558615"/>
    <n v="124361"/>
    <n v="95077"/>
    <n v="5295"/>
    <n v="456"/>
    <n v="701"/>
    <n v="50"/>
    <n v="3990"/>
    <n v="6.8386676062559826E-2"/>
    <x v="1"/>
  </r>
  <r>
    <x v="1055"/>
    <x v="1055"/>
    <x v="2"/>
    <x v="19"/>
    <x v="5"/>
    <x v="2"/>
    <n v="277364"/>
    <n v="151859"/>
    <n v="116816"/>
    <n v="10920"/>
    <n v="1130"/>
    <n v="847"/>
    <n v="34"/>
    <n v="4825"/>
    <n v="0.11069545267771538"/>
    <x v="0"/>
  </r>
  <r>
    <x v="1056"/>
    <x v="1056"/>
    <x v="1"/>
    <x v="8"/>
    <x v="1"/>
    <x v="6"/>
    <n v="448303"/>
    <n v="254865"/>
    <n v="192876"/>
    <n v="11281"/>
    <n v="983"/>
    <n v="417"/>
    <n v="1993"/>
    <n v="7164"/>
    <n v="7.6079968477156312E-2"/>
    <x v="0"/>
  </r>
  <r>
    <x v="1057"/>
    <x v="1057"/>
    <x v="0"/>
    <x v="13"/>
    <x v="1"/>
    <x v="7"/>
    <n v="242521"/>
    <n v="20667"/>
    <n v="16401"/>
    <n v="1474"/>
    <n v="70"/>
    <n v="58"/>
    <n v="127"/>
    <n v="575"/>
    <n v="0.10542040119504908"/>
    <x v="0"/>
  </r>
  <r>
    <x v="1058"/>
    <x v="1058"/>
    <x v="2"/>
    <x v="3"/>
    <x v="3"/>
    <x v="5"/>
    <n v="803411"/>
    <n v="95107"/>
    <n v="68743"/>
    <n v="2911"/>
    <n v="396"/>
    <n v="96"/>
    <n v="23"/>
    <n v="3074"/>
    <n v="4.9837801667078831E-2"/>
    <x v="1"/>
  </r>
  <r>
    <x v="1059"/>
    <x v="1059"/>
    <x v="3"/>
    <x v="9"/>
    <x v="2"/>
    <x v="9"/>
    <n v="799934"/>
    <n v="308778"/>
    <n v="248383"/>
    <n v="15740"/>
    <n v="1407"/>
    <n v="1769"/>
    <n v="35"/>
    <n v="2728"/>
    <n v="7.6297492179416462E-2"/>
    <x v="1"/>
  </r>
  <r>
    <x v="1060"/>
    <x v="1060"/>
    <x v="0"/>
    <x v="6"/>
    <x v="2"/>
    <x v="7"/>
    <n v="470285"/>
    <n v="230166"/>
    <n v="174439"/>
    <n v="6869"/>
    <n v="1042"/>
    <n v="205"/>
    <n v="1346"/>
    <n v="7500"/>
    <n v="5.4242457248665721E-2"/>
    <x v="0"/>
  </r>
  <r>
    <x v="1061"/>
    <x v="1061"/>
    <x v="2"/>
    <x v="3"/>
    <x v="0"/>
    <x v="2"/>
    <n v="365012"/>
    <n v="180977"/>
    <n v="147876"/>
    <n v="8627"/>
    <n v="712"/>
    <n v="1091"/>
    <n v="10"/>
    <n v="2905"/>
    <n v="7.0599691633530789E-2"/>
    <x v="0"/>
  </r>
  <r>
    <x v="1062"/>
    <x v="1062"/>
    <x v="4"/>
    <x v="21"/>
    <x v="4"/>
    <x v="17"/>
    <n v="530418"/>
    <n v="118990"/>
    <n v="102989"/>
    <n v="9162"/>
    <n v="339"/>
    <n v="988"/>
    <n v="1244"/>
    <n v="1685"/>
    <n v="0.11392478808416433"/>
    <x v="0"/>
  </r>
  <r>
    <x v="1063"/>
    <x v="1063"/>
    <x v="1"/>
    <x v="8"/>
    <x v="2"/>
    <x v="6"/>
    <n v="149241"/>
    <n v="25053"/>
    <n v="22964"/>
    <n v="930"/>
    <n v="102"/>
    <n v="111"/>
    <n v="182"/>
    <n v="494"/>
    <n v="5.7699007141612961E-2"/>
    <x v="2"/>
  </r>
  <r>
    <x v="1064"/>
    <x v="1064"/>
    <x v="2"/>
    <x v="5"/>
    <x v="0"/>
    <x v="3"/>
    <n v="678899"/>
    <n v="341546"/>
    <n v="251835"/>
    <n v="10757"/>
    <n v="1666"/>
    <n v="968"/>
    <n v="43"/>
    <n v="3446"/>
    <n v="5.3344451724343322E-2"/>
    <x v="0"/>
  </r>
  <r>
    <x v="1065"/>
    <x v="1065"/>
    <x v="3"/>
    <x v="11"/>
    <x v="2"/>
    <x v="14"/>
    <n v="824623"/>
    <n v="182039"/>
    <n v="137636"/>
    <n v="11447"/>
    <n v="677"/>
    <n v="804"/>
    <n v="50"/>
    <n v="6255"/>
    <n v="9.4292190996541597E-2"/>
    <x v="0"/>
  </r>
  <r>
    <x v="1066"/>
    <x v="1066"/>
    <x v="0"/>
    <x v="13"/>
    <x v="0"/>
    <x v="7"/>
    <n v="243167"/>
    <n v="21091"/>
    <n v="18419"/>
    <n v="1358"/>
    <n v="145"/>
    <n v="153"/>
    <n v="175"/>
    <n v="405"/>
    <n v="9.9408219773060427E-2"/>
    <x v="0"/>
  </r>
  <r>
    <x v="1067"/>
    <x v="1067"/>
    <x v="0"/>
    <x v="23"/>
    <x v="5"/>
    <x v="10"/>
    <n v="379425"/>
    <n v="122809"/>
    <n v="100332"/>
    <n v="8494"/>
    <n v="1374"/>
    <n v="930"/>
    <n v="1231"/>
    <n v="2896"/>
    <n v="0.11989195869712554"/>
    <x v="0"/>
  </r>
  <r>
    <x v="1068"/>
    <x v="1068"/>
    <x v="0"/>
    <x v="0"/>
    <x v="4"/>
    <x v="10"/>
    <n v="131823"/>
    <n v="44846"/>
    <n v="36448"/>
    <n v="1584"/>
    <n v="175"/>
    <n v="111"/>
    <n v="276"/>
    <n v="1003"/>
    <n v="5.8878402107111504E-2"/>
    <x v="2"/>
  </r>
  <r>
    <x v="1069"/>
    <x v="1069"/>
    <x v="3"/>
    <x v="11"/>
    <x v="5"/>
    <x v="4"/>
    <n v="507117"/>
    <n v="78969"/>
    <n v="57096"/>
    <n v="5558"/>
    <n v="734"/>
    <n v="294"/>
    <n v="14"/>
    <n v="481"/>
    <n v="0.11559478772593526"/>
    <x v="0"/>
  </r>
  <r>
    <x v="1070"/>
    <x v="1070"/>
    <x v="2"/>
    <x v="3"/>
    <x v="0"/>
    <x v="3"/>
    <n v="141122"/>
    <n v="78186"/>
    <n v="58624"/>
    <n v="3672"/>
    <n v="397"/>
    <n v="187"/>
    <n v="50"/>
    <n v="633"/>
    <n v="7.3451146288209604E-2"/>
    <x v="2"/>
  </r>
  <r>
    <x v="1071"/>
    <x v="1071"/>
    <x v="4"/>
    <x v="20"/>
    <x v="0"/>
    <x v="17"/>
    <n v="183277"/>
    <n v="68430"/>
    <n v="58615"/>
    <n v="3655"/>
    <n v="225"/>
    <n v="142"/>
    <n v="215"/>
    <n v="582"/>
    <n v="7.2285251215559163E-2"/>
    <x v="0"/>
  </r>
  <r>
    <x v="1072"/>
    <x v="1072"/>
    <x v="3"/>
    <x v="9"/>
    <x v="3"/>
    <x v="4"/>
    <n v="400332"/>
    <n v="239688"/>
    <n v="212143"/>
    <n v="13377"/>
    <n v="2142"/>
    <n v="1866"/>
    <n v="43"/>
    <n v="4656"/>
    <n v="8.2152133230886715E-2"/>
    <x v="0"/>
  </r>
  <r>
    <x v="1073"/>
    <x v="1073"/>
    <x v="0"/>
    <x v="0"/>
    <x v="5"/>
    <x v="7"/>
    <n v="838067"/>
    <n v="96524"/>
    <n v="72562"/>
    <n v="5133"/>
    <n v="868"/>
    <n v="536"/>
    <n v="914"/>
    <n v="728"/>
    <n v="0.10268460075521622"/>
    <x v="0"/>
  </r>
  <r>
    <x v="1074"/>
    <x v="1074"/>
    <x v="3"/>
    <x v="4"/>
    <x v="0"/>
    <x v="4"/>
    <n v="326856"/>
    <n v="209185"/>
    <n v="184721"/>
    <n v="14100"/>
    <n v="496"/>
    <n v="645"/>
    <n v="49"/>
    <n v="7287"/>
    <n v="8.2773480004980485E-2"/>
    <x v="0"/>
  </r>
  <r>
    <x v="1075"/>
    <x v="1075"/>
    <x v="4"/>
    <x v="14"/>
    <x v="5"/>
    <x v="11"/>
    <n v="780747"/>
    <n v="257174"/>
    <n v="198772"/>
    <n v="19076"/>
    <n v="704"/>
    <n v="1454"/>
    <n v="4375"/>
    <n v="4294"/>
    <n v="0.12883605336767753"/>
    <x v="0"/>
  </r>
  <r>
    <x v="1076"/>
    <x v="1076"/>
    <x v="2"/>
    <x v="3"/>
    <x v="5"/>
    <x v="15"/>
    <n v="745897"/>
    <n v="417114"/>
    <n v="382531"/>
    <n v="8381"/>
    <n v="813"/>
    <n v="520"/>
    <n v="25"/>
    <n v="9770"/>
    <n v="2.5459374534351466E-2"/>
    <x v="2"/>
  </r>
  <r>
    <x v="1077"/>
    <x v="1077"/>
    <x v="2"/>
    <x v="19"/>
    <x v="1"/>
    <x v="15"/>
    <n v="387625"/>
    <n v="198975"/>
    <n v="157654"/>
    <n v="6394"/>
    <n v="723"/>
    <n v="442"/>
    <n v="46"/>
    <n v="4382"/>
    <n v="4.8238547705735345E-2"/>
    <x v="1"/>
  </r>
  <r>
    <x v="1078"/>
    <x v="1078"/>
    <x v="4"/>
    <x v="21"/>
    <x v="0"/>
    <x v="13"/>
    <n v="587636"/>
    <n v="347699"/>
    <n v="252439"/>
    <n v="17992"/>
    <n v="2380"/>
    <n v="1858"/>
    <n v="3712"/>
    <n v="2496"/>
    <n v="0.10276542055704546"/>
    <x v="0"/>
  </r>
  <r>
    <x v="1079"/>
    <x v="1079"/>
    <x v="0"/>
    <x v="6"/>
    <x v="2"/>
    <x v="10"/>
    <n v="479047"/>
    <n v="44706"/>
    <n v="33622"/>
    <n v="953"/>
    <n v="41"/>
    <n v="72"/>
    <n v="181"/>
    <n v="1548"/>
    <n v="3.7088810897626556E-2"/>
    <x v="0"/>
  </r>
  <r>
    <x v="1080"/>
    <x v="1080"/>
    <x v="1"/>
    <x v="1"/>
    <x v="2"/>
    <x v="1"/>
    <n v="84980"/>
    <n v="7081"/>
    <n v="5530"/>
    <n v="200"/>
    <n v="8"/>
    <n v="15"/>
    <n v="23"/>
    <n v="102"/>
    <n v="4.4484629294755877E-2"/>
    <x v="2"/>
  </r>
  <r>
    <x v="1081"/>
    <x v="1081"/>
    <x v="4"/>
    <x v="12"/>
    <x v="3"/>
    <x v="11"/>
    <n v="406303"/>
    <n v="214086"/>
    <n v="175378"/>
    <n v="14522"/>
    <n v="1840"/>
    <n v="563"/>
    <n v="993"/>
    <n v="5648"/>
    <n v="0.10216788878878764"/>
    <x v="0"/>
  </r>
  <r>
    <x v="1082"/>
    <x v="1082"/>
    <x v="1"/>
    <x v="8"/>
    <x v="1"/>
    <x v="8"/>
    <n v="353004"/>
    <n v="43220"/>
    <n v="37966"/>
    <n v="3150"/>
    <n v="526"/>
    <n v="171"/>
    <n v="618"/>
    <n v="561"/>
    <n v="0.11760522572828321"/>
    <x v="0"/>
  </r>
  <r>
    <x v="1083"/>
    <x v="1083"/>
    <x v="0"/>
    <x v="23"/>
    <x v="3"/>
    <x v="0"/>
    <n v="336954"/>
    <n v="124101"/>
    <n v="109938"/>
    <n v="3535"/>
    <n v="553"/>
    <n v="239"/>
    <n v="763"/>
    <n v="3264"/>
    <n v="4.6298822972948392E-2"/>
    <x v="0"/>
  </r>
  <r>
    <x v="1084"/>
    <x v="1084"/>
    <x v="2"/>
    <x v="5"/>
    <x v="4"/>
    <x v="3"/>
    <n v="432425"/>
    <n v="47618"/>
    <n v="35545"/>
    <n v="1340"/>
    <n v="210"/>
    <n v="108"/>
    <n v="11"/>
    <n v="956"/>
    <n v="4.6954564636376421E-2"/>
    <x v="2"/>
  </r>
  <r>
    <x v="1085"/>
    <x v="1085"/>
    <x v="0"/>
    <x v="22"/>
    <x v="2"/>
    <x v="0"/>
    <n v="511557"/>
    <n v="316568"/>
    <n v="257583"/>
    <n v="9387"/>
    <n v="650"/>
    <n v="740"/>
    <n v="638"/>
    <n v="11019"/>
    <n v="4.4315812767146898E-2"/>
    <x v="0"/>
  </r>
  <r>
    <x v="1086"/>
    <x v="1086"/>
    <x v="4"/>
    <x v="10"/>
    <x v="5"/>
    <x v="12"/>
    <n v="98409"/>
    <n v="28728"/>
    <n v="23967"/>
    <n v="2029"/>
    <n v="330"/>
    <n v="69"/>
    <n v="432"/>
    <n v="217"/>
    <n v="0.11933074644302583"/>
    <x v="0"/>
  </r>
  <r>
    <x v="1087"/>
    <x v="1087"/>
    <x v="0"/>
    <x v="0"/>
    <x v="3"/>
    <x v="0"/>
    <n v="599676"/>
    <n v="62962"/>
    <n v="45055"/>
    <n v="2884"/>
    <n v="222"/>
    <n v="63"/>
    <n v="696"/>
    <n v="799"/>
    <n v="8.5784041726778379E-2"/>
    <x v="1"/>
  </r>
  <r>
    <x v="1088"/>
    <x v="1088"/>
    <x v="3"/>
    <x v="15"/>
    <x v="1"/>
    <x v="14"/>
    <n v="345624"/>
    <n v="72370"/>
    <n v="52901"/>
    <n v="3911"/>
    <n v="392"/>
    <n v="379"/>
    <n v="36"/>
    <n v="825"/>
    <n v="8.9185459632143055E-2"/>
    <x v="1"/>
  </r>
  <r>
    <x v="1089"/>
    <x v="1089"/>
    <x v="0"/>
    <x v="6"/>
    <x v="2"/>
    <x v="7"/>
    <n v="770794"/>
    <n v="335997"/>
    <n v="273241"/>
    <n v="9567"/>
    <n v="967"/>
    <n v="1192"/>
    <n v="2029"/>
    <n v="2513"/>
    <n v="5.0340175888684349E-2"/>
    <x v="2"/>
  </r>
  <r>
    <x v="1090"/>
    <x v="1090"/>
    <x v="0"/>
    <x v="22"/>
    <x v="0"/>
    <x v="7"/>
    <n v="814814"/>
    <n v="348855"/>
    <n v="296740"/>
    <n v="8415"/>
    <n v="1378"/>
    <n v="401"/>
    <n v="1904"/>
    <n v="10019"/>
    <n v="4.0769697378176178E-2"/>
    <x v="0"/>
  </r>
  <r>
    <x v="1091"/>
    <x v="1091"/>
    <x v="1"/>
    <x v="24"/>
    <x v="0"/>
    <x v="8"/>
    <n v="558182"/>
    <n v="318925"/>
    <n v="253798"/>
    <n v="20640"/>
    <n v="2005"/>
    <n v="1991"/>
    <n v="1936"/>
    <n v="8461"/>
    <n v="0.10469743654402321"/>
    <x v="0"/>
  </r>
  <r>
    <x v="1092"/>
    <x v="1092"/>
    <x v="3"/>
    <x v="15"/>
    <x v="0"/>
    <x v="4"/>
    <n v="841572"/>
    <n v="509191"/>
    <n v="458122"/>
    <n v="39789"/>
    <n v="2971"/>
    <n v="5528"/>
    <n v="34"/>
    <n v="3270"/>
    <n v="0.1054784533377572"/>
    <x v="0"/>
  </r>
  <r>
    <x v="1093"/>
    <x v="1093"/>
    <x v="4"/>
    <x v="20"/>
    <x v="5"/>
    <x v="13"/>
    <n v="652485"/>
    <n v="81975"/>
    <n v="60258"/>
    <n v="4416"/>
    <n v="615"/>
    <n v="93"/>
    <n v="250"/>
    <n v="2713"/>
    <n v="8.9183178996979653E-2"/>
    <x v="2"/>
  </r>
  <r>
    <x v="1094"/>
    <x v="1094"/>
    <x v="0"/>
    <x v="22"/>
    <x v="4"/>
    <x v="10"/>
    <n v="109157"/>
    <n v="14937"/>
    <n v="13731"/>
    <n v="713"/>
    <n v="75"/>
    <n v="50"/>
    <n v="121"/>
    <n v="382"/>
    <n v="6.9841963440390356E-2"/>
    <x v="0"/>
  </r>
  <r>
    <x v="1095"/>
    <x v="1095"/>
    <x v="2"/>
    <x v="19"/>
    <x v="4"/>
    <x v="5"/>
    <n v="178860"/>
    <n v="55713"/>
    <n v="43545"/>
    <n v="1895"/>
    <n v="289"/>
    <n v="267"/>
    <n v="44"/>
    <n v="1850"/>
    <n v="5.7297049029739353E-2"/>
    <x v="1"/>
  </r>
  <r>
    <x v="1096"/>
    <x v="1096"/>
    <x v="1"/>
    <x v="1"/>
    <x v="5"/>
    <x v="1"/>
    <n v="64912"/>
    <n v="348557"/>
    <n v="306291"/>
    <n v="26190"/>
    <n v="1095"/>
    <n v="901"/>
    <n v="2433"/>
    <n v="9266"/>
    <n v="9.9967024822799233E-2"/>
    <x v="0"/>
  </r>
  <r>
    <x v="1097"/>
    <x v="1097"/>
    <x v="3"/>
    <x v="15"/>
    <x v="3"/>
    <x v="14"/>
    <n v="650137"/>
    <n v="214347"/>
    <n v="195117"/>
    <n v="10618"/>
    <n v="1536"/>
    <n v="1184"/>
    <n v="8"/>
    <n v="4053"/>
    <n v="6.8399985649635855E-2"/>
    <x v="0"/>
  </r>
  <r>
    <x v="1098"/>
    <x v="1098"/>
    <x v="0"/>
    <x v="22"/>
    <x v="0"/>
    <x v="10"/>
    <n v="789976"/>
    <n v="84876"/>
    <n v="64788"/>
    <n v="5147"/>
    <n v="321"/>
    <n v="306"/>
    <n v="999"/>
    <n v="941"/>
    <n v="0.10454096437611904"/>
    <x v="2"/>
  </r>
  <r>
    <x v="1099"/>
    <x v="1099"/>
    <x v="1"/>
    <x v="17"/>
    <x v="0"/>
    <x v="8"/>
    <n v="50322"/>
    <n v="24067"/>
    <n v="18351"/>
    <n v="585"/>
    <n v="43"/>
    <n v="58"/>
    <n v="40"/>
    <n v="280"/>
    <n v="3.9561876736962563E-2"/>
    <x v="1"/>
  </r>
  <r>
    <x v="1100"/>
    <x v="1100"/>
    <x v="1"/>
    <x v="7"/>
    <x v="5"/>
    <x v="1"/>
    <n v="799381"/>
    <n v="478271"/>
    <n v="394457"/>
    <n v="13769"/>
    <n v="1159"/>
    <n v="401"/>
    <n v="851"/>
    <n v="16219"/>
    <n v="4.101841265334371E-2"/>
    <x v="0"/>
  </r>
  <r>
    <x v="1101"/>
    <x v="1101"/>
    <x v="2"/>
    <x v="2"/>
    <x v="3"/>
    <x v="15"/>
    <n v="79767"/>
    <n v="38987"/>
    <n v="29544"/>
    <n v="2600"/>
    <n v="427"/>
    <n v="388"/>
    <n v="32"/>
    <n v="507"/>
    <n v="0.11667343623070674"/>
    <x v="1"/>
  </r>
  <r>
    <x v="1102"/>
    <x v="1102"/>
    <x v="3"/>
    <x v="15"/>
    <x v="5"/>
    <x v="14"/>
    <n v="735338"/>
    <n v="215992"/>
    <n v="152169"/>
    <n v="9408"/>
    <n v="929"/>
    <n v="1116"/>
    <n v="10"/>
    <n v="3245"/>
    <n v="7.5330717820318194E-2"/>
    <x v="0"/>
  </r>
  <r>
    <x v="1103"/>
    <x v="1103"/>
    <x v="4"/>
    <x v="10"/>
    <x v="3"/>
    <x v="17"/>
    <n v="400416"/>
    <n v="61705"/>
    <n v="45686"/>
    <n v="1625"/>
    <n v="179"/>
    <n v="71"/>
    <n v="101"/>
    <n v="654"/>
    <n v="4.3251762027754673E-2"/>
    <x v="2"/>
  </r>
  <r>
    <x v="1104"/>
    <x v="1104"/>
    <x v="1"/>
    <x v="24"/>
    <x v="5"/>
    <x v="6"/>
    <n v="75631"/>
    <n v="381448"/>
    <n v="270356"/>
    <n v="28113"/>
    <n v="2621"/>
    <n v="3035"/>
    <n v="3408"/>
    <n v="1971"/>
    <n v="0.1375112814215331"/>
    <x v="1"/>
  </r>
  <r>
    <x v="1105"/>
    <x v="1105"/>
    <x v="3"/>
    <x v="15"/>
    <x v="0"/>
    <x v="9"/>
    <n v="161324"/>
    <n v="23632"/>
    <n v="18583"/>
    <n v="784"/>
    <n v="39"/>
    <n v="110"/>
    <n v="18"/>
    <n v="753"/>
    <n v="5.1175805844051014E-2"/>
    <x v="0"/>
  </r>
  <r>
    <x v="1106"/>
    <x v="1106"/>
    <x v="3"/>
    <x v="18"/>
    <x v="1"/>
    <x v="4"/>
    <n v="341481"/>
    <n v="194849"/>
    <n v="143724"/>
    <n v="12512"/>
    <n v="1822"/>
    <n v="757"/>
    <n v="25"/>
    <n v="1245"/>
    <n v="0.10517380534914141"/>
    <x v="2"/>
  </r>
  <r>
    <x v="1107"/>
    <x v="1107"/>
    <x v="1"/>
    <x v="17"/>
    <x v="4"/>
    <x v="16"/>
    <n v="482300"/>
    <n v="181719"/>
    <n v="137431"/>
    <n v="14355"/>
    <n v="2346"/>
    <n v="1583"/>
    <n v="1079"/>
    <n v="5854"/>
    <n v="0.14089252061034263"/>
    <x v="0"/>
  </r>
  <r>
    <x v="1108"/>
    <x v="1108"/>
    <x v="1"/>
    <x v="7"/>
    <x v="2"/>
    <x v="16"/>
    <n v="200728"/>
    <n v="125603"/>
    <n v="105801"/>
    <n v="7094"/>
    <n v="915"/>
    <n v="204"/>
    <n v="1641"/>
    <n v="2604"/>
    <n v="9.3137115906276879E-2"/>
    <x v="0"/>
  </r>
  <r>
    <x v="1109"/>
    <x v="1109"/>
    <x v="0"/>
    <x v="13"/>
    <x v="2"/>
    <x v="7"/>
    <n v="114085"/>
    <n v="41844"/>
    <n v="34220"/>
    <n v="1671"/>
    <n v="188"/>
    <n v="192"/>
    <n v="377"/>
    <n v="923"/>
    <n v="7.0952659263588541E-2"/>
    <x v="0"/>
  </r>
  <r>
    <x v="1110"/>
    <x v="1110"/>
    <x v="4"/>
    <x v="20"/>
    <x v="1"/>
    <x v="12"/>
    <n v="745761"/>
    <n v="481520"/>
    <n v="434223"/>
    <n v="23462"/>
    <n v="3398"/>
    <n v="2602"/>
    <n v="5199"/>
    <n v="3377"/>
    <n v="7.9823040235086573E-2"/>
    <x v="2"/>
  </r>
  <r>
    <x v="1111"/>
    <x v="1111"/>
    <x v="3"/>
    <x v="9"/>
    <x v="0"/>
    <x v="14"/>
    <n v="292023"/>
    <n v="170184"/>
    <n v="143740"/>
    <n v="13568"/>
    <n v="688"/>
    <n v="1545"/>
    <n v="30"/>
    <n v="1680"/>
    <n v="0.110136357311813"/>
    <x v="0"/>
  </r>
  <r>
    <x v="1112"/>
    <x v="1112"/>
    <x v="3"/>
    <x v="4"/>
    <x v="4"/>
    <x v="9"/>
    <n v="144341"/>
    <n v="24339"/>
    <n v="17512"/>
    <n v="893"/>
    <n v="159"/>
    <n v="93"/>
    <n v="46"/>
    <n v="217"/>
    <n v="6.8010507080858845E-2"/>
    <x v="1"/>
  </r>
  <r>
    <x v="1113"/>
    <x v="1113"/>
    <x v="2"/>
    <x v="3"/>
    <x v="1"/>
    <x v="5"/>
    <n v="737657"/>
    <n v="1526506"/>
    <n v="1315318"/>
    <n v="42215"/>
    <n v="5281"/>
    <n v="6215"/>
    <n v="17"/>
    <n v="50547"/>
    <n v="4.0847916625485245E-2"/>
    <x v="1"/>
  </r>
  <r>
    <x v="1114"/>
    <x v="1114"/>
    <x v="2"/>
    <x v="16"/>
    <x v="5"/>
    <x v="5"/>
    <n v="731734"/>
    <n v="160182"/>
    <n v="118962"/>
    <n v="11839"/>
    <n v="1703"/>
    <n v="1011"/>
    <n v="26"/>
    <n v="2412"/>
    <n v="0.12255173921084044"/>
    <x v="0"/>
  </r>
  <r>
    <x v="1115"/>
    <x v="1115"/>
    <x v="4"/>
    <x v="14"/>
    <x v="4"/>
    <x v="17"/>
    <n v="463842"/>
    <n v="131192"/>
    <n v="94603"/>
    <n v="6852"/>
    <n v="341"/>
    <n v="200"/>
    <n v="374"/>
    <n v="1293"/>
    <n v="8.2100990454848158E-2"/>
    <x v="0"/>
  </r>
  <r>
    <x v="1116"/>
    <x v="1116"/>
    <x v="4"/>
    <x v="20"/>
    <x v="5"/>
    <x v="13"/>
    <n v="640158"/>
    <n v="395993"/>
    <n v="342453"/>
    <n v="20533"/>
    <n v="983"/>
    <n v="2506"/>
    <n v="2109"/>
    <n v="11984"/>
    <n v="7.6305361611666414E-2"/>
    <x v="1"/>
  </r>
  <r>
    <x v="1117"/>
    <x v="1117"/>
    <x v="2"/>
    <x v="16"/>
    <x v="0"/>
    <x v="5"/>
    <n v="597555"/>
    <n v="343666"/>
    <n v="272305"/>
    <n v="7161"/>
    <n v="274"/>
    <n v="521"/>
    <n v="23"/>
    <n v="11707"/>
    <n v="2.930170213547309E-2"/>
    <x v="0"/>
  </r>
  <r>
    <x v="1118"/>
    <x v="1118"/>
    <x v="4"/>
    <x v="20"/>
    <x v="0"/>
    <x v="13"/>
    <n v="162902"/>
    <n v="60586"/>
    <n v="47235"/>
    <n v="1431"/>
    <n v="167"/>
    <n v="173"/>
    <n v="295"/>
    <n v="849"/>
    <n v="4.3738753043294165E-2"/>
    <x v="0"/>
  </r>
  <r>
    <x v="1119"/>
    <x v="1119"/>
    <x v="0"/>
    <x v="13"/>
    <x v="0"/>
    <x v="10"/>
    <n v="238135"/>
    <n v="65715"/>
    <n v="55357"/>
    <n v="2800"/>
    <n v="274"/>
    <n v="103"/>
    <n v="234"/>
    <n v="594"/>
    <n v="6.1618223530899435E-2"/>
    <x v="2"/>
  </r>
  <r>
    <x v="1120"/>
    <x v="1120"/>
    <x v="0"/>
    <x v="0"/>
    <x v="3"/>
    <x v="10"/>
    <n v="146621"/>
    <n v="73477"/>
    <n v="60402"/>
    <n v="2882"/>
    <n v="377"/>
    <n v="95"/>
    <n v="440"/>
    <n v="1498"/>
    <n v="6.2812489652660508E-2"/>
    <x v="2"/>
  </r>
  <r>
    <x v="1121"/>
    <x v="1121"/>
    <x v="3"/>
    <x v="18"/>
    <x v="2"/>
    <x v="14"/>
    <n v="655526"/>
    <n v="107562"/>
    <n v="92434"/>
    <n v="8007"/>
    <n v="1094"/>
    <n v="845"/>
    <n v="36"/>
    <n v="2740"/>
    <n v="0.10799056624185906"/>
    <x v="0"/>
  </r>
  <r>
    <x v="1122"/>
    <x v="1122"/>
    <x v="1"/>
    <x v="8"/>
    <x v="4"/>
    <x v="1"/>
    <n v="485823"/>
    <n v="90555"/>
    <n v="76670"/>
    <n v="3792"/>
    <n v="247"/>
    <n v="196"/>
    <n v="909"/>
    <n v="3031"/>
    <n v="6.709273509847398E-2"/>
    <x v="0"/>
  </r>
  <r>
    <x v="1123"/>
    <x v="1123"/>
    <x v="0"/>
    <x v="13"/>
    <x v="3"/>
    <x v="7"/>
    <n v="31849"/>
    <n v="15596"/>
    <n v="13880"/>
    <n v="1040"/>
    <n v="92"/>
    <n v="114"/>
    <n v="192"/>
    <n v="311"/>
    <n v="0.10360230547550432"/>
    <x v="1"/>
  </r>
  <r>
    <x v="1124"/>
    <x v="1124"/>
    <x v="0"/>
    <x v="23"/>
    <x v="0"/>
    <x v="7"/>
    <n v="254083"/>
    <n v="102055"/>
    <n v="80262"/>
    <n v="7743"/>
    <n v="922"/>
    <n v="660"/>
    <n v="1877"/>
    <n v="704"/>
    <n v="0.13956791507811916"/>
    <x v="0"/>
  </r>
  <r>
    <x v="1125"/>
    <x v="1125"/>
    <x v="0"/>
    <x v="23"/>
    <x v="5"/>
    <x v="0"/>
    <n v="563998"/>
    <n v="47665"/>
    <n v="43068"/>
    <n v="3632"/>
    <n v="608"/>
    <n v="217"/>
    <n v="245"/>
    <n v="726"/>
    <n v="0.10917618649577412"/>
    <x v="1"/>
  </r>
  <r>
    <x v="1126"/>
    <x v="1126"/>
    <x v="0"/>
    <x v="13"/>
    <x v="3"/>
    <x v="7"/>
    <n v="319261"/>
    <n v="58610"/>
    <n v="41201"/>
    <n v="4232"/>
    <n v="302"/>
    <n v="216"/>
    <n v="869"/>
    <n v="1327"/>
    <n v="0.1363801849469673"/>
    <x v="0"/>
  </r>
  <r>
    <x v="1127"/>
    <x v="1127"/>
    <x v="0"/>
    <x v="22"/>
    <x v="4"/>
    <x v="7"/>
    <n v="684771"/>
    <n v="131055"/>
    <n v="117608"/>
    <n v="10020"/>
    <n v="1527"/>
    <n v="592"/>
    <n v="1135"/>
    <n v="1869"/>
    <n v="0.11286647166859397"/>
    <x v="1"/>
  </r>
  <r>
    <x v="1128"/>
    <x v="1128"/>
    <x v="1"/>
    <x v="1"/>
    <x v="0"/>
    <x v="6"/>
    <n v="716233"/>
    <n v="69541"/>
    <n v="59177"/>
    <n v="1899"/>
    <n v="324"/>
    <n v="240"/>
    <n v="444"/>
    <n v="644"/>
    <n v="4.9123814995690893E-2"/>
    <x v="0"/>
  </r>
  <r>
    <x v="1129"/>
    <x v="1129"/>
    <x v="4"/>
    <x v="21"/>
    <x v="5"/>
    <x v="11"/>
    <n v="166516"/>
    <n v="90737"/>
    <n v="69092"/>
    <n v="6694"/>
    <n v="635"/>
    <n v="922"/>
    <n v="1402"/>
    <n v="1160"/>
    <n v="0.13971226770103629"/>
    <x v="1"/>
  </r>
  <r>
    <x v="1130"/>
    <x v="1130"/>
    <x v="4"/>
    <x v="20"/>
    <x v="0"/>
    <x v="17"/>
    <n v="682087"/>
    <n v="317662"/>
    <n v="259335"/>
    <n v="21536"/>
    <n v="3473"/>
    <n v="2727"/>
    <n v="2035"/>
    <n v="5826"/>
    <n v="0.11479746274124203"/>
    <x v="0"/>
  </r>
  <r>
    <x v="1131"/>
    <x v="1131"/>
    <x v="0"/>
    <x v="6"/>
    <x v="0"/>
    <x v="0"/>
    <n v="493265"/>
    <n v="1358431"/>
    <n v="1143873"/>
    <n v="30970"/>
    <n v="4474"/>
    <n v="3438"/>
    <n v="6598"/>
    <n v="39951"/>
    <n v="3.9759658633432206E-2"/>
    <x v="2"/>
  </r>
  <r>
    <x v="1132"/>
    <x v="1132"/>
    <x v="0"/>
    <x v="23"/>
    <x v="4"/>
    <x v="10"/>
    <n v="692762"/>
    <n v="69781"/>
    <n v="56274"/>
    <n v="4252"/>
    <n v="592"/>
    <n v="121"/>
    <n v="371"/>
    <n v="1318"/>
    <n v="9.4821764935849595E-2"/>
    <x v="1"/>
  </r>
  <r>
    <x v="1133"/>
    <x v="1133"/>
    <x v="3"/>
    <x v="15"/>
    <x v="0"/>
    <x v="14"/>
    <n v="728428"/>
    <n v="377665"/>
    <n v="327765"/>
    <n v="19542"/>
    <n v="2425"/>
    <n v="611"/>
    <n v="10"/>
    <n v="12180"/>
    <n v="6.8915228898753678E-2"/>
    <x v="0"/>
  </r>
  <r>
    <x v="1134"/>
    <x v="1134"/>
    <x v="0"/>
    <x v="0"/>
    <x v="1"/>
    <x v="7"/>
    <n v="187060"/>
    <n v="17821"/>
    <n v="13205"/>
    <n v="1132"/>
    <n v="179"/>
    <n v="138"/>
    <n v="134"/>
    <n v="473"/>
    <n v="0.11987883377508519"/>
    <x v="2"/>
  </r>
  <r>
    <x v="1135"/>
    <x v="1135"/>
    <x v="1"/>
    <x v="8"/>
    <x v="0"/>
    <x v="16"/>
    <n v="673522"/>
    <n v="366644"/>
    <n v="313058"/>
    <n v="11514"/>
    <n v="1247"/>
    <n v="1140"/>
    <n v="578"/>
    <n v="5832"/>
    <n v="4.6250215614997862E-2"/>
    <x v="0"/>
  </r>
  <r>
    <x v="1136"/>
    <x v="1136"/>
    <x v="1"/>
    <x v="8"/>
    <x v="0"/>
    <x v="8"/>
    <n v="450054"/>
    <n v="125792"/>
    <n v="101048"/>
    <n v="3207"/>
    <n v="119"/>
    <n v="471"/>
    <n v="189"/>
    <n v="1336"/>
    <n v="3.9446599635816641E-2"/>
    <x v="1"/>
  </r>
  <r>
    <x v="1137"/>
    <x v="1137"/>
    <x v="1"/>
    <x v="8"/>
    <x v="3"/>
    <x v="6"/>
    <n v="105963"/>
    <n v="218396"/>
    <n v="157671"/>
    <n v="12817"/>
    <n v="2215"/>
    <n v="1890"/>
    <n v="1210"/>
    <n v="7399"/>
    <n v="0.11499895351713378"/>
    <x v="1"/>
  </r>
  <r>
    <x v="1138"/>
    <x v="1138"/>
    <x v="2"/>
    <x v="16"/>
    <x v="4"/>
    <x v="3"/>
    <n v="562578"/>
    <n v="294920"/>
    <n v="219440"/>
    <n v="13730"/>
    <n v="952"/>
    <n v="533"/>
    <n v="13"/>
    <n v="10164"/>
    <n v="6.9394823186292379E-2"/>
    <x v="2"/>
  </r>
  <r>
    <x v="1139"/>
    <x v="1139"/>
    <x v="3"/>
    <x v="11"/>
    <x v="4"/>
    <x v="9"/>
    <n v="793526"/>
    <n v="178258"/>
    <n v="138353"/>
    <n v="14157"/>
    <n v="2246"/>
    <n v="1324"/>
    <n v="45"/>
    <n v="5253"/>
    <n v="0.12845402701784567"/>
    <x v="2"/>
  </r>
  <r>
    <x v="1140"/>
    <x v="1140"/>
    <x v="0"/>
    <x v="6"/>
    <x v="2"/>
    <x v="7"/>
    <n v="194431"/>
    <n v="84037"/>
    <n v="62728"/>
    <n v="4988"/>
    <n v="823"/>
    <n v="256"/>
    <n v="1144"/>
    <n v="2412"/>
    <n v="0.11495663818390511"/>
    <x v="0"/>
  </r>
  <r>
    <x v="1141"/>
    <x v="1141"/>
    <x v="4"/>
    <x v="21"/>
    <x v="2"/>
    <x v="11"/>
    <n v="418595"/>
    <n v="150825"/>
    <n v="133040"/>
    <n v="3073"/>
    <n v="400"/>
    <n v="152"/>
    <n v="497"/>
    <n v="2133"/>
    <n v="3.0983162958508718E-2"/>
    <x v="0"/>
  </r>
  <r>
    <x v="1142"/>
    <x v="1142"/>
    <x v="4"/>
    <x v="12"/>
    <x v="3"/>
    <x v="17"/>
    <n v="423285"/>
    <n v="156602"/>
    <n v="132496"/>
    <n v="5285"/>
    <n v="815"/>
    <n v="431"/>
    <n v="650"/>
    <n v="1080"/>
    <n v="5.4197862576983453E-2"/>
    <x v="1"/>
  </r>
  <r>
    <x v="1143"/>
    <x v="1143"/>
    <x v="0"/>
    <x v="23"/>
    <x v="1"/>
    <x v="0"/>
    <n v="840608"/>
    <n v="367294"/>
    <n v="286865"/>
    <n v="16780"/>
    <n v="2316"/>
    <n v="492"/>
    <n v="2739"/>
    <n v="11955"/>
    <n v="7.7831035504505597E-2"/>
    <x v="0"/>
  </r>
  <r>
    <x v="1144"/>
    <x v="1144"/>
    <x v="4"/>
    <x v="21"/>
    <x v="4"/>
    <x v="13"/>
    <n v="623702"/>
    <n v="259979"/>
    <n v="213278"/>
    <n v="10780"/>
    <n v="622"/>
    <n v="884"/>
    <n v="540"/>
    <n v="2369"/>
    <n v="6.0137473157100121E-2"/>
    <x v="0"/>
  </r>
  <r>
    <x v="1145"/>
    <x v="1145"/>
    <x v="4"/>
    <x v="21"/>
    <x v="4"/>
    <x v="13"/>
    <n v="103261"/>
    <n v="47203"/>
    <n v="36235"/>
    <n v="3608"/>
    <n v="417"/>
    <n v="424"/>
    <n v="490"/>
    <n v="1576"/>
    <n v="0.13630467779770938"/>
    <x v="0"/>
  </r>
  <r>
    <x v="1146"/>
    <x v="1146"/>
    <x v="2"/>
    <x v="19"/>
    <x v="1"/>
    <x v="2"/>
    <n v="228593"/>
    <n v="73841"/>
    <n v="55446"/>
    <n v="5011"/>
    <n v="890"/>
    <n v="220"/>
    <n v="28"/>
    <n v="1813"/>
    <n v="0.11090069617285286"/>
    <x v="1"/>
  </r>
  <r>
    <x v="1147"/>
    <x v="1147"/>
    <x v="3"/>
    <x v="18"/>
    <x v="1"/>
    <x v="14"/>
    <n v="500735"/>
    <n v="160036"/>
    <n v="141623"/>
    <n v="12188"/>
    <n v="2085"/>
    <n v="1329"/>
    <n v="44"/>
    <n v="4127"/>
    <n v="0.11047640566857078"/>
    <x v="0"/>
  </r>
  <r>
    <x v="1148"/>
    <x v="1148"/>
    <x v="2"/>
    <x v="3"/>
    <x v="5"/>
    <x v="5"/>
    <n v="34877"/>
    <n v="16151"/>
    <n v="13360"/>
    <n v="647"/>
    <n v="42"/>
    <n v="25"/>
    <n v="10"/>
    <n v="139"/>
    <n v="5.4191616766467068E-2"/>
    <x v="0"/>
  </r>
  <r>
    <x v="1149"/>
    <x v="1149"/>
    <x v="2"/>
    <x v="16"/>
    <x v="5"/>
    <x v="3"/>
    <n v="592890"/>
    <n v="317633"/>
    <n v="255880"/>
    <n v="19902"/>
    <n v="600"/>
    <n v="1486"/>
    <n v="35"/>
    <n v="6012"/>
    <n v="8.6067687978740037E-2"/>
    <x v="0"/>
  </r>
  <r>
    <x v="1150"/>
    <x v="1150"/>
    <x v="2"/>
    <x v="16"/>
    <x v="5"/>
    <x v="2"/>
    <n v="624395"/>
    <n v="160107"/>
    <n v="126861"/>
    <n v="5135"/>
    <n v="839"/>
    <n v="387"/>
    <n v="2"/>
    <n v="2034"/>
    <n v="5.0157258731998014E-2"/>
    <x v="0"/>
  </r>
  <r>
    <x v="1151"/>
    <x v="1151"/>
    <x v="0"/>
    <x v="0"/>
    <x v="3"/>
    <x v="0"/>
    <n v="41963"/>
    <n v="12592"/>
    <n v="10379"/>
    <n v="717"/>
    <n v="125"/>
    <n v="55"/>
    <n v="51"/>
    <n v="302"/>
    <n v="9.1338279217651031E-2"/>
    <x v="1"/>
  </r>
  <r>
    <x v="1152"/>
    <x v="1152"/>
    <x v="1"/>
    <x v="24"/>
    <x v="0"/>
    <x v="6"/>
    <n v="730968"/>
    <n v="252617"/>
    <n v="186793"/>
    <n v="10353"/>
    <n v="561"/>
    <n v="423"/>
    <n v="1373"/>
    <n v="2827"/>
    <n v="6.8043235024867102E-2"/>
    <x v="0"/>
  </r>
  <r>
    <x v="1153"/>
    <x v="1153"/>
    <x v="3"/>
    <x v="18"/>
    <x v="1"/>
    <x v="14"/>
    <n v="803036"/>
    <n v="244346"/>
    <n v="193294"/>
    <n v="11258"/>
    <n v="841"/>
    <n v="708"/>
    <n v="16"/>
    <n v="7633"/>
    <n v="6.6339358697114242E-2"/>
    <x v="2"/>
  </r>
  <r>
    <x v="1154"/>
    <x v="1154"/>
    <x v="0"/>
    <x v="22"/>
    <x v="5"/>
    <x v="10"/>
    <n v="129705"/>
    <n v="78985"/>
    <n v="59539"/>
    <n v="4458"/>
    <n v="691"/>
    <n v="636"/>
    <n v="453"/>
    <n v="1765"/>
    <n v="0.10477166227178825"/>
    <x v="0"/>
  </r>
  <r>
    <x v="1155"/>
    <x v="1155"/>
    <x v="0"/>
    <x v="22"/>
    <x v="1"/>
    <x v="10"/>
    <n v="691815"/>
    <n v="122909"/>
    <n v="87327"/>
    <n v="4878"/>
    <n v="453"/>
    <n v="481"/>
    <n v="709"/>
    <n v="4062"/>
    <n v="7.467335417453938E-2"/>
    <x v="2"/>
  </r>
  <r>
    <x v="1156"/>
    <x v="1156"/>
    <x v="3"/>
    <x v="18"/>
    <x v="5"/>
    <x v="9"/>
    <n v="263781"/>
    <n v="166546"/>
    <n v="137503"/>
    <n v="4620"/>
    <n v="617"/>
    <n v="161"/>
    <n v="30"/>
    <n v="4638"/>
    <n v="3.947550235267594E-2"/>
    <x v="0"/>
  </r>
  <r>
    <x v="1157"/>
    <x v="1157"/>
    <x v="0"/>
    <x v="6"/>
    <x v="5"/>
    <x v="7"/>
    <n v="498075"/>
    <n v="77296"/>
    <n v="56244"/>
    <n v="2679"/>
    <n v="97"/>
    <n v="150"/>
    <n v="365"/>
    <n v="1092"/>
    <n v="5.8512908043524645E-2"/>
    <x v="2"/>
  </r>
  <r>
    <x v="1158"/>
    <x v="1158"/>
    <x v="3"/>
    <x v="11"/>
    <x v="2"/>
    <x v="9"/>
    <n v="775611"/>
    <n v="109192"/>
    <n v="79192"/>
    <n v="6991"/>
    <n v="693"/>
    <n v="920"/>
    <n v="22"/>
    <n v="2278"/>
    <n v="0.10892514395393474"/>
    <x v="0"/>
  </r>
  <r>
    <x v="1159"/>
    <x v="1159"/>
    <x v="2"/>
    <x v="19"/>
    <x v="1"/>
    <x v="2"/>
    <n v="847824"/>
    <n v="345054"/>
    <n v="313227"/>
    <n v="12306"/>
    <n v="1034"/>
    <n v="723"/>
    <n v="16"/>
    <n v="8927"/>
    <n v="4.494823243207003E-2"/>
    <x v="0"/>
  </r>
  <r>
    <x v="1160"/>
    <x v="1160"/>
    <x v="3"/>
    <x v="18"/>
    <x v="5"/>
    <x v="9"/>
    <n v="217147"/>
    <n v="40092"/>
    <n v="31657"/>
    <n v="3045"/>
    <n v="429"/>
    <n v="74"/>
    <n v="15"/>
    <n v="434"/>
    <n v="0.11255014688694444"/>
    <x v="0"/>
  </r>
  <r>
    <x v="1161"/>
    <x v="1161"/>
    <x v="4"/>
    <x v="10"/>
    <x v="5"/>
    <x v="17"/>
    <n v="698005"/>
    <n v="286380"/>
    <n v="247180"/>
    <n v="17322"/>
    <n v="2229"/>
    <n v="2106"/>
    <n v="2737"/>
    <n v="1672"/>
    <n v="9.8689214337729592E-2"/>
    <x v="0"/>
  </r>
  <r>
    <x v="1162"/>
    <x v="1162"/>
    <x v="1"/>
    <x v="7"/>
    <x v="5"/>
    <x v="8"/>
    <n v="792353"/>
    <n v="86025"/>
    <n v="72591"/>
    <n v="5058"/>
    <n v="889"/>
    <n v="389"/>
    <n v="542"/>
    <n v="1632"/>
    <n v="9.4750037883484184E-2"/>
    <x v="0"/>
  </r>
  <r>
    <x v="1163"/>
    <x v="1163"/>
    <x v="0"/>
    <x v="22"/>
    <x v="0"/>
    <x v="0"/>
    <n v="565125"/>
    <n v="314089"/>
    <n v="231151"/>
    <n v="21641"/>
    <n v="2627"/>
    <n v="1221"/>
    <n v="2773"/>
    <n v="3277"/>
    <n v="0.12226639729008311"/>
    <x v="1"/>
  </r>
  <r>
    <x v="1164"/>
    <x v="1164"/>
    <x v="1"/>
    <x v="7"/>
    <x v="0"/>
    <x v="16"/>
    <n v="12271"/>
    <n v="1922"/>
    <n v="1587"/>
    <n v="50"/>
    <n v="3"/>
    <n v="1"/>
    <n v="2"/>
    <n v="20"/>
    <n v="3.5286704473850031E-2"/>
    <x v="0"/>
  </r>
  <r>
    <x v="1165"/>
    <x v="1165"/>
    <x v="4"/>
    <x v="20"/>
    <x v="3"/>
    <x v="11"/>
    <n v="13726"/>
    <n v="4437"/>
    <n v="3572"/>
    <n v="251"/>
    <n v="35"/>
    <n v="15"/>
    <n v="57"/>
    <n v="29"/>
    <n v="0.10022396416573348"/>
    <x v="0"/>
  </r>
  <r>
    <x v="1166"/>
    <x v="1166"/>
    <x v="1"/>
    <x v="8"/>
    <x v="4"/>
    <x v="1"/>
    <n v="513823"/>
    <n v="49612"/>
    <n v="42551"/>
    <n v="3822"/>
    <n v="190"/>
    <n v="139"/>
    <n v="417"/>
    <n v="349"/>
    <n v="0.1073535287067284"/>
    <x v="2"/>
  </r>
  <r>
    <x v="1167"/>
    <x v="1167"/>
    <x v="4"/>
    <x v="10"/>
    <x v="3"/>
    <x v="17"/>
    <n v="173844"/>
    <n v="27027"/>
    <n v="24157"/>
    <n v="635"/>
    <n v="96"/>
    <n v="72"/>
    <n v="148"/>
    <n v="345"/>
    <n v="3.9367471126381587E-2"/>
    <x v="2"/>
  </r>
  <r>
    <x v="1168"/>
    <x v="1168"/>
    <x v="2"/>
    <x v="16"/>
    <x v="5"/>
    <x v="3"/>
    <n v="436526"/>
    <n v="230658"/>
    <n v="208943"/>
    <n v="7144"/>
    <n v="496"/>
    <n v="501"/>
    <n v="40"/>
    <n v="4901"/>
    <n v="3.9154219093245526E-2"/>
    <x v="0"/>
  </r>
  <r>
    <x v="1169"/>
    <x v="1169"/>
    <x v="2"/>
    <x v="5"/>
    <x v="5"/>
    <x v="15"/>
    <n v="191116"/>
    <n v="80519"/>
    <n v="73294"/>
    <n v="5388"/>
    <n v="439"/>
    <n v="383"/>
    <n v="34"/>
    <n v="1083"/>
    <n v="8.519114797937076E-2"/>
    <x v="0"/>
  </r>
  <r>
    <x v="1170"/>
    <x v="1170"/>
    <x v="1"/>
    <x v="1"/>
    <x v="0"/>
    <x v="16"/>
    <n v="475795"/>
    <n v="293127"/>
    <n v="217203"/>
    <n v="8148"/>
    <n v="349"/>
    <n v="212"/>
    <n v="1272"/>
    <n v="9960"/>
    <n v="4.5952403972320824E-2"/>
    <x v="0"/>
  </r>
  <r>
    <x v="1171"/>
    <x v="1171"/>
    <x v="2"/>
    <x v="2"/>
    <x v="2"/>
    <x v="15"/>
    <n v="478988"/>
    <n v="273925"/>
    <n v="209305"/>
    <n v="6071"/>
    <n v="755"/>
    <n v="299"/>
    <n v="9"/>
    <n v="4266"/>
    <n v="3.4084231145935361E-2"/>
    <x v="0"/>
  </r>
  <r>
    <x v="1172"/>
    <x v="1172"/>
    <x v="0"/>
    <x v="0"/>
    <x v="1"/>
    <x v="7"/>
    <n v="773432"/>
    <n v="398828"/>
    <n v="288131"/>
    <n v="12176"/>
    <n v="2018"/>
    <n v="1739"/>
    <n v="2431"/>
    <n v="4982"/>
    <n v="6.3734898362203307E-2"/>
    <x v="0"/>
  </r>
  <r>
    <x v="1173"/>
    <x v="1173"/>
    <x v="0"/>
    <x v="0"/>
    <x v="0"/>
    <x v="0"/>
    <n v="396429"/>
    <n v="185172"/>
    <n v="162655"/>
    <n v="10270"/>
    <n v="1303"/>
    <n v="1340"/>
    <n v="908"/>
    <n v="2010"/>
    <n v="8.4971258184500936E-2"/>
    <x v="1"/>
  </r>
  <r>
    <x v="1174"/>
    <x v="1174"/>
    <x v="1"/>
    <x v="24"/>
    <x v="5"/>
    <x v="1"/>
    <n v="466828"/>
    <n v="259137"/>
    <n v="210026"/>
    <n v="13245"/>
    <n v="1407"/>
    <n v="1263"/>
    <n v="1537"/>
    <n v="3402"/>
    <n v="8.3094474017502598E-2"/>
    <x v="0"/>
  </r>
  <r>
    <x v="1175"/>
    <x v="1175"/>
    <x v="3"/>
    <x v="9"/>
    <x v="1"/>
    <x v="14"/>
    <n v="368831"/>
    <n v="190564"/>
    <n v="141338"/>
    <n v="11607"/>
    <n v="1213"/>
    <n v="1173"/>
    <n v="11"/>
    <n v="3223"/>
    <n v="9.9081634096987364E-2"/>
    <x v="1"/>
  </r>
  <r>
    <x v="1176"/>
    <x v="1176"/>
    <x v="0"/>
    <x v="6"/>
    <x v="0"/>
    <x v="7"/>
    <n v="196472"/>
    <n v="71489"/>
    <n v="62542"/>
    <n v="2116"/>
    <n v="177"/>
    <n v="84"/>
    <n v="282"/>
    <n v="2257"/>
    <n v="4.2515429631287772E-2"/>
    <x v="0"/>
  </r>
  <r>
    <x v="1177"/>
    <x v="1177"/>
    <x v="1"/>
    <x v="17"/>
    <x v="4"/>
    <x v="1"/>
    <n v="603024"/>
    <n v="102436"/>
    <n v="78146"/>
    <n v="2487"/>
    <n v="419"/>
    <n v="358"/>
    <n v="506"/>
    <n v="1183"/>
    <n v="4.8243032272925035E-2"/>
    <x v="0"/>
  </r>
  <r>
    <x v="1178"/>
    <x v="1178"/>
    <x v="3"/>
    <x v="9"/>
    <x v="0"/>
    <x v="4"/>
    <n v="258733"/>
    <n v="126912"/>
    <n v="106868"/>
    <n v="3850"/>
    <n v="474"/>
    <n v="225"/>
    <n v="48"/>
    <n v="4266"/>
    <n v="4.3015682898529028E-2"/>
    <x v="0"/>
  </r>
  <r>
    <x v="1179"/>
    <x v="1179"/>
    <x v="0"/>
    <x v="13"/>
    <x v="1"/>
    <x v="0"/>
    <n v="680202"/>
    <n v="186100"/>
    <n v="138653"/>
    <n v="4916"/>
    <n v="630"/>
    <n v="584"/>
    <n v="285"/>
    <n v="2452"/>
    <n v="4.6266579158042019E-2"/>
    <x v="0"/>
  </r>
  <r>
    <x v="1180"/>
    <x v="1180"/>
    <x v="1"/>
    <x v="17"/>
    <x v="4"/>
    <x v="6"/>
    <n v="187867"/>
    <n v="25133"/>
    <n v="18549"/>
    <n v="617"/>
    <n v="87"/>
    <n v="53"/>
    <n v="143"/>
    <n v="210"/>
    <n v="4.8520135856380396E-2"/>
    <x v="0"/>
  </r>
  <r>
    <x v="1181"/>
    <x v="1181"/>
    <x v="3"/>
    <x v="9"/>
    <x v="3"/>
    <x v="4"/>
    <n v="11345"/>
    <n v="4676"/>
    <n v="3609"/>
    <n v="249"/>
    <n v="9"/>
    <n v="14"/>
    <n v="19"/>
    <n v="128"/>
    <n v="8.0631753948462184E-2"/>
    <x v="1"/>
  </r>
  <r>
    <x v="1182"/>
    <x v="1182"/>
    <x v="2"/>
    <x v="5"/>
    <x v="1"/>
    <x v="2"/>
    <n v="466226"/>
    <n v="164974"/>
    <n v="134383"/>
    <n v="10980"/>
    <n v="1910"/>
    <n v="1130"/>
    <n v="18"/>
    <n v="5505"/>
    <n v="0.10446261803948416"/>
    <x v="0"/>
  </r>
  <r>
    <x v="1183"/>
    <x v="1183"/>
    <x v="2"/>
    <x v="5"/>
    <x v="0"/>
    <x v="3"/>
    <n v="692991"/>
    <n v="296595"/>
    <n v="268310"/>
    <n v="20322"/>
    <n v="1155"/>
    <n v="917"/>
    <n v="1"/>
    <n v="4202"/>
    <n v="8.3466885319220308E-2"/>
    <x v="0"/>
  </r>
  <r>
    <x v="1184"/>
    <x v="1184"/>
    <x v="3"/>
    <x v="4"/>
    <x v="2"/>
    <x v="4"/>
    <n v="770832"/>
    <n v="286221"/>
    <n v="248997"/>
    <n v="17746"/>
    <n v="830"/>
    <n v="1441"/>
    <n v="39"/>
    <n v="5265"/>
    <n v="8.0547155186608668E-2"/>
    <x v="1"/>
  </r>
  <r>
    <x v="1185"/>
    <x v="1185"/>
    <x v="3"/>
    <x v="15"/>
    <x v="1"/>
    <x v="14"/>
    <n v="554938"/>
    <n v="95284"/>
    <n v="70873"/>
    <n v="6109"/>
    <n v="201"/>
    <n v="296"/>
    <n v="27"/>
    <n v="1683"/>
    <n v="9.3589942573335402E-2"/>
    <x v="0"/>
  </r>
  <r>
    <x v="1186"/>
    <x v="1186"/>
    <x v="4"/>
    <x v="10"/>
    <x v="2"/>
    <x v="11"/>
    <n v="208763"/>
    <n v="80868"/>
    <n v="66285"/>
    <n v="2532"/>
    <n v="112"/>
    <n v="156"/>
    <n v="150"/>
    <n v="2368"/>
    <n v="4.45047899223052E-2"/>
    <x v="0"/>
  </r>
  <r>
    <x v="1187"/>
    <x v="1187"/>
    <x v="3"/>
    <x v="11"/>
    <x v="5"/>
    <x v="14"/>
    <n v="725086"/>
    <n v="230736"/>
    <n v="192781"/>
    <n v="13751"/>
    <n v="1577"/>
    <n v="1368"/>
    <n v="3"/>
    <n v="4276"/>
    <n v="8.6621606901095022E-2"/>
    <x v="0"/>
  </r>
  <r>
    <x v="1188"/>
    <x v="1188"/>
    <x v="2"/>
    <x v="5"/>
    <x v="0"/>
    <x v="5"/>
    <n v="585309"/>
    <n v="115821"/>
    <n v="96602"/>
    <n v="4994"/>
    <n v="741"/>
    <n v="722"/>
    <n v="13"/>
    <n v="3409"/>
    <n v="6.6975839009544319E-2"/>
    <x v="0"/>
  </r>
  <r>
    <x v="1189"/>
    <x v="1189"/>
    <x v="4"/>
    <x v="21"/>
    <x v="3"/>
    <x v="17"/>
    <n v="419465"/>
    <n v="92812"/>
    <n v="71190"/>
    <n v="6182"/>
    <n v="186"/>
    <n v="183"/>
    <n v="500"/>
    <n v="1872"/>
    <n v="9.9044809664278685E-2"/>
    <x v="0"/>
  </r>
  <r>
    <x v="1190"/>
    <x v="1190"/>
    <x v="1"/>
    <x v="17"/>
    <x v="4"/>
    <x v="16"/>
    <n v="368796"/>
    <n v="126430"/>
    <n v="108759"/>
    <n v="3008"/>
    <n v="305"/>
    <n v="337"/>
    <n v="610"/>
    <n v="4201"/>
    <n v="3.9169172206438091E-2"/>
    <x v="0"/>
  </r>
  <r>
    <x v="1191"/>
    <x v="1191"/>
    <x v="4"/>
    <x v="10"/>
    <x v="3"/>
    <x v="11"/>
    <n v="612772"/>
    <n v="270746"/>
    <n v="220653"/>
    <n v="19325"/>
    <n v="2937"/>
    <n v="1007"/>
    <n v="1256"/>
    <n v="2388"/>
    <n v="0.11114736713300975"/>
    <x v="1"/>
  </r>
  <r>
    <x v="1192"/>
    <x v="1192"/>
    <x v="3"/>
    <x v="11"/>
    <x v="5"/>
    <x v="14"/>
    <n v="441852"/>
    <n v="169647"/>
    <n v="138944"/>
    <n v="6435"/>
    <n v="830"/>
    <n v="277"/>
    <n v="43"/>
    <n v="932"/>
    <n v="5.459033855366191E-2"/>
    <x v="1"/>
  </r>
  <r>
    <x v="1193"/>
    <x v="1193"/>
    <x v="2"/>
    <x v="3"/>
    <x v="4"/>
    <x v="2"/>
    <n v="562299"/>
    <n v="99731"/>
    <n v="82422"/>
    <n v="2558"/>
    <n v="200"/>
    <n v="119"/>
    <n v="39"/>
    <n v="2016"/>
    <n v="3.5378903690762173E-2"/>
    <x v="0"/>
  </r>
  <r>
    <x v="1194"/>
    <x v="1194"/>
    <x v="3"/>
    <x v="15"/>
    <x v="4"/>
    <x v="4"/>
    <n v="661293"/>
    <n v="340881"/>
    <n v="260954"/>
    <n v="9609"/>
    <n v="1530"/>
    <n v="220"/>
    <n v="17"/>
    <n v="8120"/>
    <n v="4.3593890110900771E-2"/>
    <x v="0"/>
  </r>
  <r>
    <x v="1195"/>
    <x v="1195"/>
    <x v="0"/>
    <x v="22"/>
    <x v="3"/>
    <x v="10"/>
    <n v="651291"/>
    <n v="60119"/>
    <n v="49400"/>
    <n v="3349"/>
    <n v="254"/>
    <n v="362"/>
    <n v="338"/>
    <n v="935"/>
    <n v="8.7105263157894741E-2"/>
    <x v="1"/>
  </r>
  <r>
    <x v="1196"/>
    <x v="1196"/>
    <x v="4"/>
    <x v="21"/>
    <x v="0"/>
    <x v="11"/>
    <n v="120511"/>
    <n v="26300"/>
    <n v="21412"/>
    <n v="1520"/>
    <n v="92"/>
    <n v="175"/>
    <n v="239"/>
    <n v="552"/>
    <n v="9.4619839342424808E-2"/>
    <x v="2"/>
  </r>
  <r>
    <x v="1197"/>
    <x v="1197"/>
    <x v="0"/>
    <x v="23"/>
    <x v="5"/>
    <x v="0"/>
    <n v="833323"/>
    <n v="381530"/>
    <n v="334740"/>
    <n v="27680"/>
    <n v="2186"/>
    <n v="1168"/>
    <n v="6010"/>
    <n v="13200"/>
    <n v="0.11066499372647427"/>
    <x v="0"/>
  </r>
  <r>
    <x v="1198"/>
    <x v="1198"/>
    <x v="2"/>
    <x v="3"/>
    <x v="1"/>
    <x v="15"/>
    <n v="21456"/>
    <n v="3907"/>
    <n v="3451"/>
    <n v="162"/>
    <n v="7"/>
    <n v="7"/>
    <n v="35"/>
    <n v="122"/>
    <n v="6.1141698058533755E-2"/>
    <x v="0"/>
  </r>
  <r>
    <x v="1199"/>
    <x v="1199"/>
    <x v="0"/>
    <x v="6"/>
    <x v="5"/>
    <x v="10"/>
    <n v="569629"/>
    <n v="246505"/>
    <n v="198244"/>
    <n v="17256"/>
    <n v="2442"/>
    <n v="582"/>
    <n v="2062"/>
    <n v="8511"/>
    <n v="0.11269950162426101"/>
    <x v="0"/>
  </r>
  <r>
    <x v="1200"/>
    <x v="1200"/>
    <x v="4"/>
    <x v="10"/>
    <x v="2"/>
    <x v="17"/>
    <n v="50655"/>
    <n v="24847"/>
    <n v="21103"/>
    <n v="648"/>
    <n v="105"/>
    <n v="78"/>
    <n v="78"/>
    <n v="275"/>
    <n v="4.3074444391792636E-2"/>
    <x v="2"/>
  </r>
  <r>
    <x v="1201"/>
    <x v="1201"/>
    <x v="3"/>
    <x v="15"/>
    <x v="1"/>
    <x v="9"/>
    <n v="462064"/>
    <n v="212101"/>
    <n v="168628"/>
    <n v="11489"/>
    <n v="1210"/>
    <n v="946"/>
    <n v="46"/>
    <n v="6865"/>
    <n v="8.1190549612164056E-2"/>
    <x v="1"/>
  </r>
  <r>
    <x v="1202"/>
    <x v="1202"/>
    <x v="4"/>
    <x v="10"/>
    <x v="2"/>
    <x v="17"/>
    <n v="451004"/>
    <n v="212928"/>
    <n v="159867"/>
    <n v="15998"/>
    <n v="1207"/>
    <n v="2335"/>
    <n v="1220"/>
    <n v="4867"/>
    <n v="0.12985794441629606"/>
    <x v="0"/>
  </r>
  <r>
    <x v="1203"/>
    <x v="1203"/>
    <x v="2"/>
    <x v="2"/>
    <x v="3"/>
    <x v="3"/>
    <n v="175341"/>
    <n v="17887"/>
    <n v="15619"/>
    <n v="493"/>
    <n v="38"/>
    <n v="31"/>
    <n v="38"/>
    <n v="323"/>
    <n v="3.8414751264485562E-2"/>
    <x v="0"/>
  </r>
  <r>
    <x v="1204"/>
    <x v="1204"/>
    <x v="1"/>
    <x v="8"/>
    <x v="2"/>
    <x v="6"/>
    <n v="350402"/>
    <n v="214153"/>
    <n v="180997"/>
    <n v="9931"/>
    <n v="341"/>
    <n v="842"/>
    <n v="1450"/>
    <n v="3568"/>
    <n v="6.9415515174284653E-2"/>
    <x v="0"/>
  </r>
  <r>
    <x v="1205"/>
    <x v="1205"/>
    <x v="1"/>
    <x v="7"/>
    <x v="3"/>
    <x v="1"/>
    <n v="181515"/>
    <n v="99784"/>
    <n v="81579"/>
    <n v="3866"/>
    <n v="399"/>
    <n v="118"/>
    <n v="299"/>
    <n v="1495"/>
    <n v="5.7392221037276751E-2"/>
    <x v="0"/>
  </r>
  <r>
    <x v="1206"/>
    <x v="1206"/>
    <x v="3"/>
    <x v="11"/>
    <x v="2"/>
    <x v="14"/>
    <n v="263738"/>
    <n v="120078"/>
    <n v="108636"/>
    <n v="2891"/>
    <n v="397"/>
    <n v="235"/>
    <n v="49"/>
    <n v="2906"/>
    <n v="3.2880444788099712E-2"/>
    <x v="1"/>
  </r>
  <r>
    <x v="1207"/>
    <x v="1207"/>
    <x v="0"/>
    <x v="13"/>
    <x v="4"/>
    <x v="10"/>
    <n v="769540"/>
    <n v="213553"/>
    <n v="182955"/>
    <n v="8387"/>
    <n v="660"/>
    <n v="365"/>
    <n v="1540"/>
    <n v="2158"/>
    <n v="5.9861714629280423E-2"/>
    <x v="1"/>
  </r>
  <r>
    <x v="1208"/>
    <x v="1208"/>
    <x v="4"/>
    <x v="20"/>
    <x v="2"/>
    <x v="11"/>
    <n v="515519"/>
    <n v="65934"/>
    <n v="46947"/>
    <n v="4943"/>
    <n v="540"/>
    <n v="508"/>
    <n v="606"/>
    <n v="1515"/>
    <n v="0.14052016103265386"/>
    <x v="0"/>
  </r>
  <r>
    <x v="1209"/>
    <x v="1209"/>
    <x v="1"/>
    <x v="24"/>
    <x v="4"/>
    <x v="16"/>
    <n v="376445"/>
    <n v="93964"/>
    <n v="80902"/>
    <n v="6689"/>
    <n v="497"/>
    <n v="858"/>
    <n v="1463"/>
    <n v="805"/>
    <n v="0.1175125460433611"/>
    <x v="0"/>
  </r>
  <r>
    <x v="1210"/>
    <x v="1210"/>
    <x v="0"/>
    <x v="23"/>
    <x v="1"/>
    <x v="0"/>
    <n v="40927"/>
    <n v="14666"/>
    <n v="10363"/>
    <n v="465"/>
    <n v="50"/>
    <n v="34"/>
    <n v="104"/>
    <n v="103"/>
    <n v="6.3012641127086752E-2"/>
    <x v="0"/>
  </r>
  <r>
    <x v="1211"/>
    <x v="1211"/>
    <x v="3"/>
    <x v="4"/>
    <x v="3"/>
    <x v="9"/>
    <n v="540398"/>
    <n v="208010"/>
    <n v="182769"/>
    <n v="11109"/>
    <n v="920"/>
    <n v="473"/>
    <n v="34"/>
    <n v="4005"/>
    <n v="6.8589312191892501E-2"/>
    <x v="0"/>
  </r>
  <r>
    <x v="1212"/>
    <x v="1212"/>
    <x v="0"/>
    <x v="22"/>
    <x v="5"/>
    <x v="0"/>
    <n v="130664"/>
    <n v="33223"/>
    <n v="29335"/>
    <n v="1088"/>
    <n v="86"/>
    <n v="53"/>
    <n v="231"/>
    <n v="947"/>
    <n v="4.9701721493096984E-2"/>
    <x v="0"/>
  </r>
  <r>
    <x v="1213"/>
    <x v="1213"/>
    <x v="0"/>
    <x v="6"/>
    <x v="4"/>
    <x v="7"/>
    <n v="199623"/>
    <n v="114889"/>
    <n v="82637"/>
    <n v="5601"/>
    <n v="791"/>
    <n v="791"/>
    <n v="943"/>
    <n v="1944"/>
    <n v="9.8333676198313111E-2"/>
    <x v="2"/>
  </r>
  <r>
    <x v="1214"/>
    <x v="1214"/>
    <x v="2"/>
    <x v="5"/>
    <x v="1"/>
    <x v="3"/>
    <n v="396838"/>
    <n v="129014"/>
    <n v="91804"/>
    <n v="7128"/>
    <n v="840"/>
    <n v="169"/>
    <n v="2"/>
    <n v="1079"/>
    <n v="8.8656267700753785E-2"/>
    <x v="0"/>
  </r>
  <r>
    <x v="1215"/>
    <x v="1215"/>
    <x v="3"/>
    <x v="11"/>
    <x v="1"/>
    <x v="9"/>
    <n v="719472"/>
    <n v="124701"/>
    <n v="89622"/>
    <n v="6941"/>
    <n v="899"/>
    <n v="400"/>
    <n v="18"/>
    <n v="1260"/>
    <n v="9.2142554283546452E-2"/>
    <x v="0"/>
  </r>
  <r>
    <x v="1216"/>
    <x v="1216"/>
    <x v="3"/>
    <x v="15"/>
    <x v="1"/>
    <x v="14"/>
    <n v="647449"/>
    <n v="266890"/>
    <n v="196845"/>
    <n v="19923"/>
    <n v="1706"/>
    <n v="2406"/>
    <n v="31"/>
    <n v="3965"/>
    <n v="0.12225862988645889"/>
    <x v="1"/>
  </r>
  <r>
    <x v="1217"/>
    <x v="1217"/>
    <x v="4"/>
    <x v="21"/>
    <x v="2"/>
    <x v="17"/>
    <n v="152927"/>
    <n v="77191"/>
    <n v="66449"/>
    <n v="4365"/>
    <n v="718"/>
    <n v="567"/>
    <n v="950"/>
    <n v="2284"/>
    <n v="9.9324293819320078E-2"/>
    <x v="0"/>
  </r>
  <r>
    <x v="1218"/>
    <x v="1218"/>
    <x v="2"/>
    <x v="19"/>
    <x v="3"/>
    <x v="15"/>
    <n v="346607"/>
    <n v="132264"/>
    <n v="119513"/>
    <n v="9080"/>
    <n v="1348"/>
    <n v="1119"/>
    <n v="13"/>
    <n v="2349"/>
    <n v="9.67258791930585E-2"/>
    <x v="1"/>
  </r>
  <r>
    <x v="1219"/>
    <x v="1219"/>
    <x v="4"/>
    <x v="10"/>
    <x v="0"/>
    <x v="17"/>
    <n v="671696"/>
    <n v="2603986"/>
    <n v="2253585"/>
    <n v="184714"/>
    <n v="8702"/>
    <n v="5661"/>
    <n v="18314"/>
    <n v="90051"/>
    <n v="9.6464522083702195E-2"/>
    <x v="0"/>
  </r>
  <r>
    <x v="1220"/>
    <x v="1220"/>
    <x v="0"/>
    <x v="13"/>
    <x v="2"/>
    <x v="0"/>
    <n v="776232"/>
    <n v="352653"/>
    <n v="291301"/>
    <n v="24952"/>
    <n v="3867"/>
    <n v="1943"/>
    <n v="4127"/>
    <n v="5682"/>
    <n v="0.11976958541165324"/>
    <x v="0"/>
  </r>
  <r>
    <x v="1221"/>
    <x v="1221"/>
    <x v="3"/>
    <x v="4"/>
    <x v="0"/>
    <x v="4"/>
    <n v="96274"/>
    <n v="43755"/>
    <n v="35485"/>
    <n v="2846"/>
    <n v="407"/>
    <n v="228"/>
    <n v="47"/>
    <n v="234"/>
    <n v="9.9422291108919258E-2"/>
    <x v="1"/>
  </r>
  <r>
    <x v="1222"/>
    <x v="1222"/>
    <x v="2"/>
    <x v="19"/>
    <x v="4"/>
    <x v="15"/>
    <n v="130280"/>
    <n v="68884"/>
    <n v="48376"/>
    <n v="5339"/>
    <n v="586"/>
    <n v="698"/>
    <n v="30"/>
    <n v="979"/>
    <n v="0.13752687282950224"/>
    <x v="1"/>
  </r>
  <r>
    <x v="1223"/>
    <x v="1223"/>
    <x v="2"/>
    <x v="19"/>
    <x v="1"/>
    <x v="15"/>
    <n v="726105"/>
    <n v="400098"/>
    <n v="288964"/>
    <n v="20059"/>
    <n v="971"/>
    <n v="1140"/>
    <n v="3"/>
    <n v="12554"/>
    <n v="7.6732741794825657E-2"/>
    <x v="0"/>
  </r>
  <r>
    <x v="1224"/>
    <x v="1224"/>
    <x v="4"/>
    <x v="14"/>
    <x v="4"/>
    <x v="13"/>
    <n v="218130"/>
    <n v="67439"/>
    <n v="48377"/>
    <n v="4141"/>
    <n v="440"/>
    <n v="405"/>
    <n v="677"/>
    <n v="760"/>
    <n v="0.11705975980321227"/>
    <x v="0"/>
  </r>
  <r>
    <x v="1225"/>
    <x v="1225"/>
    <x v="0"/>
    <x v="13"/>
    <x v="5"/>
    <x v="7"/>
    <n v="97236"/>
    <n v="60744"/>
    <n v="51416"/>
    <n v="1528"/>
    <n v="122"/>
    <n v="107"/>
    <n v="191"/>
    <n v="1369"/>
    <n v="3.7887039053990976E-2"/>
    <x v="0"/>
  </r>
  <r>
    <x v="1226"/>
    <x v="1226"/>
    <x v="4"/>
    <x v="10"/>
    <x v="3"/>
    <x v="11"/>
    <n v="260553"/>
    <n v="121662"/>
    <n v="102829"/>
    <n v="8552"/>
    <n v="1425"/>
    <n v="695"/>
    <n v="738"/>
    <n v="711"/>
    <n v="0.11096091569498877"/>
    <x v="0"/>
  </r>
  <r>
    <x v="1227"/>
    <x v="1227"/>
    <x v="2"/>
    <x v="16"/>
    <x v="2"/>
    <x v="3"/>
    <n v="263987"/>
    <n v="99551"/>
    <n v="87365"/>
    <n v="3522"/>
    <n v="537"/>
    <n v="383"/>
    <n v="4"/>
    <n v="602"/>
    <n v="5.0889944485778056E-2"/>
    <x v="0"/>
  </r>
  <r>
    <x v="1228"/>
    <x v="1228"/>
    <x v="1"/>
    <x v="24"/>
    <x v="1"/>
    <x v="1"/>
    <n v="431991"/>
    <n v="45111"/>
    <n v="41138"/>
    <n v="1003"/>
    <n v="130"/>
    <n v="91"/>
    <n v="77"/>
    <n v="1551"/>
    <n v="3.162526131557198E-2"/>
    <x v="0"/>
  </r>
  <r>
    <x v="1229"/>
    <x v="1229"/>
    <x v="2"/>
    <x v="5"/>
    <x v="1"/>
    <x v="15"/>
    <n v="278587"/>
    <n v="129700"/>
    <n v="94101"/>
    <n v="8469"/>
    <n v="546"/>
    <n v="518"/>
    <n v="13"/>
    <n v="4253"/>
    <n v="0.10144419294162656"/>
    <x v="0"/>
  </r>
  <r>
    <x v="1230"/>
    <x v="1230"/>
    <x v="2"/>
    <x v="3"/>
    <x v="4"/>
    <x v="15"/>
    <n v="599839"/>
    <n v="220875"/>
    <n v="196314"/>
    <n v="16854"/>
    <n v="1792"/>
    <n v="2013"/>
    <n v="20"/>
    <n v="6103"/>
    <n v="0.10533634891041903"/>
    <x v="0"/>
  </r>
  <r>
    <x v="1231"/>
    <x v="1231"/>
    <x v="0"/>
    <x v="13"/>
    <x v="4"/>
    <x v="7"/>
    <n v="144880"/>
    <n v="21771"/>
    <n v="19494"/>
    <n v="463"/>
    <n v="81"/>
    <n v="57"/>
    <n v="112"/>
    <n v="752"/>
    <n v="3.657535651995486E-2"/>
    <x v="1"/>
  </r>
  <r>
    <x v="1232"/>
    <x v="1232"/>
    <x v="0"/>
    <x v="22"/>
    <x v="0"/>
    <x v="7"/>
    <n v="220881"/>
    <n v="113356"/>
    <n v="91999"/>
    <n v="3665"/>
    <n v="368"/>
    <n v="383"/>
    <n v="446"/>
    <n v="2307"/>
    <n v="5.2848400526092673E-2"/>
    <x v="1"/>
  </r>
  <r>
    <x v="1233"/>
    <x v="1233"/>
    <x v="2"/>
    <x v="16"/>
    <x v="2"/>
    <x v="3"/>
    <n v="101373"/>
    <n v="8596"/>
    <n v="7194"/>
    <n v="230"/>
    <n v="39"/>
    <n v="10"/>
    <n v="40"/>
    <n v="268"/>
    <n v="4.4342507645259939E-2"/>
    <x v="2"/>
  </r>
  <r>
    <x v="1234"/>
    <x v="1234"/>
    <x v="1"/>
    <x v="24"/>
    <x v="5"/>
    <x v="16"/>
    <n v="43938"/>
    <n v="5213"/>
    <n v="4638"/>
    <n v="177"/>
    <n v="7"/>
    <n v="4"/>
    <n v="31"/>
    <n v="96"/>
    <n v="4.7218628719275547E-2"/>
    <x v="0"/>
  </r>
  <r>
    <x v="1235"/>
    <x v="1235"/>
    <x v="4"/>
    <x v="20"/>
    <x v="4"/>
    <x v="11"/>
    <n v="107048"/>
    <n v="18299"/>
    <n v="16826"/>
    <n v="629"/>
    <n v="70"/>
    <n v="18"/>
    <n v="109"/>
    <n v="483"/>
    <n v="4.9090692975157495E-2"/>
    <x v="0"/>
  </r>
  <r>
    <x v="1236"/>
    <x v="1236"/>
    <x v="0"/>
    <x v="13"/>
    <x v="3"/>
    <x v="0"/>
    <n v="618414"/>
    <n v="246173"/>
    <n v="212636"/>
    <n v="19442"/>
    <n v="3107"/>
    <n v="1840"/>
    <n v="1768"/>
    <n v="2541"/>
    <n v="0.12301303636261028"/>
    <x v="0"/>
  </r>
  <r>
    <x v="1237"/>
    <x v="1237"/>
    <x v="1"/>
    <x v="24"/>
    <x v="2"/>
    <x v="1"/>
    <n v="730103"/>
    <n v="147459"/>
    <n v="106454"/>
    <n v="7669"/>
    <n v="945"/>
    <n v="188"/>
    <n v="851"/>
    <n v="3063"/>
    <n v="9.0677663591786126E-2"/>
    <x v="0"/>
  </r>
  <r>
    <x v="1238"/>
    <x v="1238"/>
    <x v="4"/>
    <x v="12"/>
    <x v="1"/>
    <x v="13"/>
    <n v="472944"/>
    <n v="83619"/>
    <n v="72864"/>
    <n v="1831"/>
    <n v="146"/>
    <n v="225"/>
    <n v="234"/>
    <n v="2431"/>
    <n v="3.3432147562582344E-2"/>
    <x v="1"/>
  </r>
  <r>
    <x v="1239"/>
    <x v="1239"/>
    <x v="2"/>
    <x v="2"/>
    <x v="1"/>
    <x v="15"/>
    <n v="12961"/>
    <n v="4551"/>
    <n v="3215"/>
    <n v="117"/>
    <n v="7"/>
    <n v="7"/>
    <n v="36"/>
    <n v="154"/>
    <n v="5.1944012441679628E-2"/>
    <x v="0"/>
  </r>
  <r>
    <x v="1240"/>
    <x v="1240"/>
    <x v="4"/>
    <x v="12"/>
    <x v="2"/>
    <x v="13"/>
    <n v="182503"/>
    <n v="25955"/>
    <n v="22810"/>
    <n v="1401"/>
    <n v="198"/>
    <n v="114"/>
    <n v="91"/>
    <n v="433"/>
    <n v="7.9088119245944763E-2"/>
    <x v="0"/>
  </r>
  <r>
    <x v="1241"/>
    <x v="1241"/>
    <x v="0"/>
    <x v="23"/>
    <x v="4"/>
    <x v="7"/>
    <n v="782096"/>
    <n v="112440"/>
    <n v="81452"/>
    <n v="3376"/>
    <n v="510"/>
    <n v="490"/>
    <n v="488"/>
    <n v="583"/>
    <n v="5.971615184403084E-2"/>
    <x v="0"/>
  </r>
  <r>
    <x v="1242"/>
    <x v="1242"/>
    <x v="1"/>
    <x v="24"/>
    <x v="5"/>
    <x v="16"/>
    <n v="195088"/>
    <n v="25931"/>
    <n v="18239"/>
    <n v="1051"/>
    <n v="65"/>
    <n v="101"/>
    <n v="211"/>
    <n v="240"/>
    <n v="7.8293766105597892E-2"/>
    <x v="1"/>
  </r>
  <r>
    <x v="1243"/>
    <x v="1243"/>
    <x v="0"/>
    <x v="23"/>
    <x v="4"/>
    <x v="7"/>
    <n v="839091"/>
    <n v="489594"/>
    <n v="409175"/>
    <n v="15909"/>
    <n v="913"/>
    <n v="1645"/>
    <n v="1919"/>
    <n v="3834"/>
    <n v="4.9822203213783833E-2"/>
    <x v="2"/>
  </r>
  <r>
    <x v="1244"/>
    <x v="1244"/>
    <x v="2"/>
    <x v="2"/>
    <x v="5"/>
    <x v="15"/>
    <n v="712519"/>
    <n v="442025"/>
    <n v="376715"/>
    <n v="24338"/>
    <n v="2010"/>
    <n v="1696"/>
    <n v="8"/>
    <n v="3612"/>
    <n v="7.4464781067916069E-2"/>
    <x v="0"/>
  </r>
  <r>
    <x v="1245"/>
    <x v="1245"/>
    <x v="3"/>
    <x v="11"/>
    <x v="0"/>
    <x v="4"/>
    <n v="569247"/>
    <n v="367858"/>
    <n v="280608"/>
    <n v="20746"/>
    <n v="2289"/>
    <n v="1530"/>
    <n v="30"/>
    <n v="7975"/>
    <n v="8.7648962253392637E-2"/>
    <x v="1"/>
  </r>
  <r>
    <x v="1246"/>
    <x v="1246"/>
    <x v="1"/>
    <x v="1"/>
    <x v="3"/>
    <x v="6"/>
    <n v="12641"/>
    <n v="2951"/>
    <n v="2233"/>
    <n v="149"/>
    <n v="9"/>
    <n v="18"/>
    <n v="24"/>
    <n v="22"/>
    <n v="8.9565606806986123E-2"/>
    <x v="0"/>
  </r>
  <r>
    <x v="1247"/>
    <x v="1247"/>
    <x v="3"/>
    <x v="18"/>
    <x v="0"/>
    <x v="9"/>
    <n v="460919"/>
    <n v="50102"/>
    <n v="43194"/>
    <n v="3298"/>
    <n v="560"/>
    <n v="395"/>
    <n v="12"/>
    <n v="841"/>
    <n v="9.8740565819326762E-2"/>
    <x v="2"/>
  </r>
  <r>
    <x v="1248"/>
    <x v="1248"/>
    <x v="0"/>
    <x v="0"/>
    <x v="5"/>
    <x v="10"/>
    <n v="284583"/>
    <n v="66631"/>
    <n v="54032"/>
    <n v="1801"/>
    <n v="209"/>
    <n v="159"/>
    <n v="204"/>
    <n v="1196"/>
    <n v="4.391841871483565E-2"/>
    <x v="0"/>
  </r>
  <r>
    <x v="1249"/>
    <x v="1249"/>
    <x v="1"/>
    <x v="8"/>
    <x v="4"/>
    <x v="8"/>
    <n v="722157"/>
    <n v="118851"/>
    <n v="92589"/>
    <n v="4722"/>
    <n v="764"/>
    <n v="561"/>
    <n v="237"/>
    <n v="667"/>
    <n v="6.7869833349533962E-2"/>
    <x v="0"/>
  </r>
  <r>
    <x v="1250"/>
    <x v="1250"/>
    <x v="2"/>
    <x v="16"/>
    <x v="0"/>
    <x v="15"/>
    <n v="644424"/>
    <n v="2463446"/>
    <n v="2140699"/>
    <n v="133242"/>
    <n v="5795"/>
    <n v="7031"/>
    <n v="25"/>
    <n v="71315"/>
    <n v="6.8245465616604675E-2"/>
    <x v="0"/>
  </r>
  <r>
    <x v="1251"/>
    <x v="1251"/>
    <x v="1"/>
    <x v="8"/>
    <x v="0"/>
    <x v="8"/>
    <n v="213831"/>
    <n v="107564"/>
    <n v="91226"/>
    <n v="8250"/>
    <n v="961"/>
    <n v="658"/>
    <n v="1594"/>
    <n v="682"/>
    <n v="0.12565496678578475"/>
    <x v="0"/>
  </r>
  <r>
    <x v="1252"/>
    <x v="1252"/>
    <x v="3"/>
    <x v="11"/>
    <x v="1"/>
    <x v="4"/>
    <n v="505846"/>
    <n v="152487"/>
    <n v="108440"/>
    <n v="11479"/>
    <n v="1749"/>
    <n v="1680"/>
    <n v="32"/>
    <n v="2031"/>
    <n v="0.13777203983769826"/>
    <x v="0"/>
  </r>
  <r>
    <x v="1253"/>
    <x v="1253"/>
    <x v="1"/>
    <x v="1"/>
    <x v="2"/>
    <x v="6"/>
    <n v="551315"/>
    <n v="144143"/>
    <n v="120057"/>
    <n v="8467"/>
    <n v="1135"/>
    <n v="532"/>
    <n v="663"/>
    <n v="3199"/>
    <n v="8.993228216597117E-2"/>
    <x v="1"/>
  </r>
  <r>
    <x v="1254"/>
    <x v="1254"/>
    <x v="0"/>
    <x v="22"/>
    <x v="2"/>
    <x v="7"/>
    <n v="215836"/>
    <n v="46691"/>
    <n v="36906"/>
    <n v="2184"/>
    <n v="188"/>
    <n v="206"/>
    <n v="370"/>
    <n v="630"/>
    <n v="7.9878610524034027E-2"/>
    <x v="2"/>
  </r>
  <r>
    <x v="1255"/>
    <x v="1255"/>
    <x v="1"/>
    <x v="17"/>
    <x v="2"/>
    <x v="6"/>
    <n v="579779"/>
    <n v="337607"/>
    <n v="237515"/>
    <n v="9573"/>
    <n v="1392"/>
    <n v="1324"/>
    <n v="1797"/>
    <n v="3229"/>
    <n v="5.9305728059280464E-2"/>
    <x v="0"/>
  </r>
  <r>
    <x v="1256"/>
    <x v="1256"/>
    <x v="0"/>
    <x v="22"/>
    <x v="0"/>
    <x v="7"/>
    <n v="150074"/>
    <n v="459215"/>
    <n v="371649"/>
    <n v="28163"/>
    <n v="4667"/>
    <n v="2275"/>
    <n v="5856"/>
    <n v="7235"/>
    <n v="0.11021420749147717"/>
    <x v="2"/>
  </r>
  <r>
    <x v="1257"/>
    <x v="1257"/>
    <x v="1"/>
    <x v="24"/>
    <x v="3"/>
    <x v="6"/>
    <n v="11330"/>
    <n v="1936"/>
    <n v="1777"/>
    <n v="103"/>
    <n v="5"/>
    <n v="11"/>
    <n v="7"/>
    <n v="16"/>
    <n v="7.0906021384355658E-2"/>
    <x v="0"/>
  </r>
  <r>
    <x v="1258"/>
    <x v="1258"/>
    <x v="0"/>
    <x v="23"/>
    <x v="1"/>
    <x v="0"/>
    <n v="303299"/>
    <n v="178517"/>
    <n v="159655"/>
    <n v="4221"/>
    <n v="507"/>
    <n v="204"/>
    <n v="434"/>
    <n v="3079"/>
    <n v="3.3609971501049135E-2"/>
    <x v="0"/>
  </r>
  <r>
    <x v="1259"/>
    <x v="1259"/>
    <x v="1"/>
    <x v="1"/>
    <x v="2"/>
    <x v="6"/>
    <n v="96589"/>
    <n v="48778"/>
    <n v="36296"/>
    <n v="3621"/>
    <n v="417"/>
    <n v="538"/>
    <n v="635"/>
    <n v="344"/>
    <n v="0.14356953934317832"/>
    <x v="0"/>
  </r>
  <r>
    <x v="1260"/>
    <x v="1260"/>
    <x v="3"/>
    <x v="15"/>
    <x v="2"/>
    <x v="4"/>
    <n v="773652"/>
    <n v="393259"/>
    <n v="357967"/>
    <n v="26078"/>
    <n v="3639"/>
    <n v="3822"/>
    <n v="16"/>
    <n v="5647"/>
    <n v="9.3737690904468846E-2"/>
    <x v="1"/>
  </r>
  <r>
    <x v="1261"/>
    <x v="1261"/>
    <x v="1"/>
    <x v="1"/>
    <x v="3"/>
    <x v="16"/>
    <n v="667310"/>
    <n v="367270"/>
    <n v="265740"/>
    <n v="9287"/>
    <n v="608"/>
    <n v="627"/>
    <n v="1800"/>
    <n v="10634"/>
    <n v="4.6368630992699632E-2"/>
    <x v="2"/>
  </r>
  <r>
    <x v="1262"/>
    <x v="1262"/>
    <x v="1"/>
    <x v="24"/>
    <x v="0"/>
    <x v="1"/>
    <n v="587955"/>
    <n v="74877"/>
    <n v="61222"/>
    <n v="2230"/>
    <n v="173"/>
    <n v="74"/>
    <n v="414"/>
    <n v="2229"/>
    <n v="4.7221587011205123E-2"/>
    <x v="1"/>
  </r>
  <r>
    <x v="1263"/>
    <x v="1263"/>
    <x v="3"/>
    <x v="9"/>
    <x v="3"/>
    <x v="14"/>
    <n v="408746"/>
    <n v="249814"/>
    <n v="196863"/>
    <n v="7284"/>
    <n v="360"/>
    <n v="1077"/>
    <n v="39"/>
    <n v="7839"/>
    <n v="4.4497950351259502E-2"/>
    <x v="2"/>
  </r>
  <r>
    <x v="1264"/>
    <x v="1264"/>
    <x v="0"/>
    <x v="13"/>
    <x v="5"/>
    <x v="7"/>
    <n v="492270"/>
    <n v="225244"/>
    <n v="160648"/>
    <n v="7311"/>
    <n v="235"/>
    <n v="538"/>
    <n v="1729"/>
    <n v="6574"/>
    <n v="6.1083860365519646E-2"/>
    <x v="0"/>
  </r>
  <r>
    <x v="1265"/>
    <x v="1265"/>
    <x v="1"/>
    <x v="8"/>
    <x v="5"/>
    <x v="1"/>
    <n v="222150"/>
    <n v="56676"/>
    <n v="50629"/>
    <n v="3697"/>
    <n v="414"/>
    <n v="529"/>
    <n v="296"/>
    <n v="855"/>
    <n v="9.7493531375298745E-2"/>
    <x v="1"/>
  </r>
  <r>
    <x v="1266"/>
    <x v="1266"/>
    <x v="0"/>
    <x v="0"/>
    <x v="5"/>
    <x v="7"/>
    <n v="605255"/>
    <n v="54351"/>
    <n v="45936"/>
    <n v="1988"/>
    <n v="144"/>
    <n v="251"/>
    <n v="404"/>
    <n v="436"/>
    <n v="6.0671368861024033E-2"/>
    <x v="1"/>
  </r>
  <r>
    <x v="1267"/>
    <x v="1267"/>
    <x v="4"/>
    <x v="21"/>
    <x v="0"/>
    <x v="13"/>
    <n v="263676"/>
    <n v="1188942"/>
    <n v="912488"/>
    <n v="47845"/>
    <n v="5646"/>
    <n v="2745"/>
    <n v="10759"/>
    <n v="23874"/>
    <n v="7.3420143607367983E-2"/>
    <x v="0"/>
  </r>
  <r>
    <x v="1268"/>
    <x v="1268"/>
    <x v="3"/>
    <x v="9"/>
    <x v="1"/>
    <x v="9"/>
    <n v="427332"/>
    <n v="245167"/>
    <n v="190350"/>
    <n v="6349"/>
    <n v="286"/>
    <n v="163"/>
    <n v="5"/>
    <n v="2409"/>
    <n v="3.5739427370633042E-2"/>
    <x v="1"/>
  </r>
  <r>
    <x v="1269"/>
    <x v="1269"/>
    <x v="0"/>
    <x v="22"/>
    <x v="4"/>
    <x v="0"/>
    <n v="261639"/>
    <n v="38598"/>
    <n v="27451"/>
    <n v="2187"/>
    <n v="377"/>
    <n v="164"/>
    <n v="469"/>
    <n v="470"/>
    <n v="0.11646205966995737"/>
    <x v="0"/>
  </r>
  <r>
    <x v="1270"/>
    <x v="1270"/>
    <x v="3"/>
    <x v="9"/>
    <x v="2"/>
    <x v="9"/>
    <n v="214978"/>
    <n v="139674"/>
    <n v="100999"/>
    <n v="6537"/>
    <n v="1008"/>
    <n v="660"/>
    <n v="3"/>
    <n v="1034"/>
    <n v="8.1268131367637303E-2"/>
    <x v="1"/>
  </r>
  <r>
    <x v="1271"/>
    <x v="1271"/>
    <x v="2"/>
    <x v="19"/>
    <x v="0"/>
    <x v="15"/>
    <n v="789154"/>
    <n v="399388"/>
    <n v="351852"/>
    <n v="26246"/>
    <n v="2971"/>
    <n v="680"/>
    <n v="47"/>
    <n v="3254"/>
    <n v="8.5103964166751936E-2"/>
    <x v="1"/>
  </r>
  <r>
    <x v="1272"/>
    <x v="1272"/>
    <x v="3"/>
    <x v="11"/>
    <x v="4"/>
    <x v="14"/>
    <n v="273421"/>
    <n v="122866"/>
    <n v="98620"/>
    <n v="6319"/>
    <n v="1011"/>
    <n v="883"/>
    <n v="40"/>
    <n v="1058"/>
    <n v="8.3684850943013589E-2"/>
    <x v="0"/>
  </r>
  <r>
    <x v="1273"/>
    <x v="1273"/>
    <x v="3"/>
    <x v="4"/>
    <x v="4"/>
    <x v="9"/>
    <n v="26233"/>
    <n v="4587"/>
    <n v="3893"/>
    <n v="322"/>
    <n v="34"/>
    <n v="6"/>
    <n v="8"/>
    <n v="130"/>
    <n v="9.5042383765733374E-2"/>
    <x v="0"/>
  </r>
  <r>
    <x v="1274"/>
    <x v="1274"/>
    <x v="4"/>
    <x v="20"/>
    <x v="2"/>
    <x v="13"/>
    <n v="31325"/>
    <n v="11647"/>
    <n v="9730"/>
    <n v="914"/>
    <n v="48"/>
    <n v="124"/>
    <n v="169"/>
    <n v="365"/>
    <n v="0.1289825282631038"/>
    <x v="0"/>
  </r>
  <r>
    <x v="1275"/>
    <x v="1275"/>
    <x v="4"/>
    <x v="21"/>
    <x v="0"/>
    <x v="13"/>
    <n v="357807"/>
    <n v="36847"/>
    <n v="30329"/>
    <n v="971"/>
    <n v="160"/>
    <n v="42"/>
    <n v="104"/>
    <n v="200"/>
    <n v="4.2104916086913517E-2"/>
    <x v="1"/>
  </r>
  <r>
    <x v="1276"/>
    <x v="1276"/>
    <x v="2"/>
    <x v="2"/>
    <x v="2"/>
    <x v="15"/>
    <n v="180460"/>
    <n v="83264"/>
    <n v="61841"/>
    <n v="5502"/>
    <n v="341"/>
    <n v="392"/>
    <n v="11"/>
    <n v="821"/>
    <n v="0.10100095405960446"/>
    <x v="1"/>
  </r>
  <r>
    <x v="1277"/>
    <x v="1277"/>
    <x v="2"/>
    <x v="2"/>
    <x v="4"/>
    <x v="2"/>
    <n v="580775"/>
    <n v="197381"/>
    <n v="167103"/>
    <n v="4183"/>
    <n v="627"/>
    <n v="454"/>
    <n v="22"/>
    <n v="1379"/>
    <n v="3.1633184323441234E-2"/>
    <x v="1"/>
  </r>
  <r>
    <x v="1278"/>
    <x v="1278"/>
    <x v="0"/>
    <x v="0"/>
    <x v="2"/>
    <x v="7"/>
    <n v="60086"/>
    <n v="33532"/>
    <n v="29547"/>
    <n v="1452"/>
    <n v="44"/>
    <n v="204"/>
    <n v="135"/>
    <n v="533"/>
    <n v="6.2104443767556777E-2"/>
    <x v="2"/>
  </r>
  <r>
    <x v="1279"/>
    <x v="1279"/>
    <x v="0"/>
    <x v="0"/>
    <x v="5"/>
    <x v="0"/>
    <n v="739456"/>
    <n v="106576"/>
    <n v="94901"/>
    <n v="5826"/>
    <n v="426"/>
    <n v="764"/>
    <n v="877"/>
    <n v="1237"/>
    <n v="8.3170883341587551E-2"/>
    <x v="0"/>
  </r>
  <r>
    <x v="1280"/>
    <x v="1280"/>
    <x v="4"/>
    <x v="10"/>
    <x v="5"/>
    <x v="17"/>
    <n v="51626"/>
    <n v="14968"/>
    <n v="11719"/>
    <n v="945"/>
    <n v="136"/>
    <n v="106"/>
    <n v="234"/>
    <n v="388"/>
    <n v="0.1212560798702961"/>
    <x v="0"/>
  </r>
  <r>
    <x v="1281"/>
    <x v="1281"/>
    <x v="3"/>
    <x v="15"/>
    <x v="0"/>
    <x v="4"/>
    <n v="579165"/>
    <n v="47369"/>
    <n v="41705"/>
    <n v="3449"/>
    <n v="246"/>
    <n v="292"/>
    <n v="16"/>
    <n v="1329"/>
    <n v="9.5983695000599445E-2"/>
    <x v="0"/>
  </r>
  <r>
    <x v="1282"/>
    <x v="1282"/>
    <x v="4"/>
    <x v="14"/>
    <x v="3"/>
    <x v="17"/>
    <n v="581114"/>
    <n v="293080"/>
    <n v="213977"/>
    <n v="19409"/>
    <n v="3219"/>
    <n v="2678"/>
    <n v="2249"/>
    <n v="2331"/>
    <n v="0.12877552260289657"/>
    <x v="0"/>
  </r>
  <r>
    <x v="1283"/>
    <x v="1283"/>
    <x v="4"/>
    <x v="14"/>
    <x v="5"/>
    <x v="11"/>
    <n v="164782"/>
    <n v="101368"/>
    <n v="87960"/>
    <n v="6966"/>
    <n v="691"/>
    <n v="344"/>
    <n v="882"/>
    <n v="973"/>
    <n v="0.10098908594815825"/>
    <x v="1"/>
  </r>
  <r>
    <x v="1284"/>
    <x v="1284"/>
    <x v="0"/>
    <x v="6"/>
    <x v="3"/>
    <x v="7"/>
    <n v="150712"/>
    <n v="269919"/>
    <n v="190565"/>
    <n v="8695"/>
    <n v="1339"/>
    <n v="698"/>
    <n v="1063"/>
    <n v="7872"/>
    <n v="6.1894891506834936E-2"/>
    <x v="1"/>
  </r>
  <r>
    <x v="1285"/>
    <x v="1285"/>
    <x v="1"/>
    <x v="1"/>
    <x v="4"/>
    <x v="6"/>
    <n v="229530"/>
    <n v="59973"/>
    <n v="48974"/>
    <n v="3992"/>
    <n v="651"/>
    <n v="233"/>
    <n v="257"/>
    <n v="842"/>
    <n v="0.10481071589006412"/>
    <x v="1"/>
  </r>
  <r>
    <x v="1286"/>
    <x v="1286"/>
    <x v="2"/>
    <x v="19"/>
    <x v="0"/>
    <x v="5"/>
    <n v="350974"/>
    <n v="178467"/>
    <n v="145660"/>
    <n v="14076"/>
    <n v="2308"/>
    <n v="621"/>
    <n v="33"/>
    <n v="5357"/>
    <n v="0.11697102842235342"/>
    <x v="2"/>
  </r>
  <r>
    <x v="1287"/>
    <x v="1287"/>
    <x v="1"/>
    <x v="17"/>
    <x v="3"/>
    <x v="8"/>
    <n v="718879"/>
    <n v="253472"/>
    <n v="225368"/>
    <n v="15812"/>
    <n v="2711"/>
    <n v="744"/>
    <n v="2525"/>
    <n v="8269"/>
    <n v="9.6695182989599227E-2"/>
    <x v="0"/>
  </r>
  <r>
    <x v="1288"/>
    <x v="1288"/>
    <x v="1"/>
    <x v="8"/>
    <x v="1"/>
    <x v="8"/>
    <n v="759609"/>
    <n v="266512"/>
    <n v="210388"/>
    <n v="16073"/>
    <n v="555"/>
    <n v="871"/>
    <n v="3756"/>
    <n v="5516"/>
    <n v="0.10102762514972337"/>
    <x v="0"/>
  </r>
  <r>
    <x v="1289"/>
    <x v="1289"/>
    <x v="0"/>
    <x v="23"/>
    <x v="0"/>
    <x v="7"/>
    <n v="8819"/>
    <n v="833"/>
    <n v="756"/>
    <n v="46"/>
    <n v="2"/>
    <n v="2"/>
    <n v="6"/>
    <n v="6"/>
    <n v="7.407407407407407E-2"/>
    <x v="2"/>
  </r>
  <r>
    <x v="1290"/>
    <x v="1290"/>
    <x v="4"/>
    <x v="14"/>
    <x v="0"/>
    <x v="11"/>
    <n v="433982"/>
    <n v="216967"/>
    <n v="180295"/>
    <n v="10371"/>
    <n v="1416"/>
    <n v="671"/>
    <n v="847"/>
    <n v="6620"/>
    <n v="7.3795723675088049E-2"/>
    <x v="0"/>
  </r>
  <r>
    <x v="1291"/>
    <x v="1291"/>
    <x v="3"/>
    <x v="15"/>
    <x v="0"/>
    <x v="9"/>
    <n v="502520"/>
    <n v="155475"/>
    <n v="124410"/>
    <n v="5033"/>
    <n v="196"/>
    <n v="215"/>
    <n v="41"/>
    <n v="1464"/>
    <n v="4.4088095812233746E-2"/>
    <x v="0"/>
  </r>
  <r>
    <x v="1292"/>
    <x v="1292"/>
    <x v="0"/>
    <x v="6"/>
    <x v="3"/>
    <x v="10"/>
    <n v="129054"/>
    <n v="18166"/>
    <n v="12944"/>
    <n v="684"/>
    <n v="83"/>
    <n v="61"/>
    <n v="49"/>
    <n v="236"/>
    <n v="6.775339925834363E-2"/>
    <x v="0"/>
  </r>
  <r>
    <x v="1293"/>
    <x v="1293"/>
    <x v="0"/>
    <x v="0"/>
    <x v="2"/>
    <x v="7"/>
    <n v="609190"/>
    <n v="2516145"/>
    <n v="1860482"/>
    <n v="54789"/>
    <n v="3124"/>
    <n v="4038"/>
    <n v="13270"/>
    <n v="55504"/>
    <n v="4.0430920589395652E-2"/>
    <x v="0"/>
  </r>
  <r>
    <x v="1294"/>
    <x v="1294"/>
    <x v="2"/>
    <x v="3"/>
    <x v="3"/>
    <x v="15"/>
    <n v="65991"/>
    <n v="6229"/>
    <n v="4977"/>
    <n v="454"/>
    <n v="65"/>
    <n v="63"/>
    <n v="5"/>
    <n v="105"/>
    <n v="0.11794253566405465"/>
    <x v="0"/>
  </r>
  <r>
    <x v="1295"/>
    <x v="1295"/>
    <x v="4"/>
    <x v="10"/>
    <x v="5"/>
    <x v="17"/>
    <n v="221315"/>
    <n v="123056"/>
    <n v="93010"/>
    <n v="4525"/>
    <n v="527"/>
    <n v="592"/>
    <n v="1007"/>
    <n v="2241"/>
    <n v="7.1508439952693265E-2"/>
    <x v="0"/>
  </r>
  <r>
    <x v="1296"/>
    <x v="1296"/>
    <x v="3"/>
    <x v="11"/>
    <x v="1"/>
    <x v="9"/>
    <n v="592661"/>
    <n v="1949643"/>
    <n v="1476316"/>
    <n v="57273"/>
    <n v="4723"/>
    <n v="6569"/>
    <n v="35"/>
    <n v="28760"/>
    <n v="4.6467016546593007E-2"/>
    <x v="1"/>
  </r>
  <r>
    <x v="1297"/>
    <x v="1297"/>
    <x v="1"/>
    <x v="1"/>
    <x v="4"/>
    <x v="16"/>
    <n v="797436"/>
    <n v="309663"/>
    <n v="227668"/>
    <n v="16831"/>
    <n v="2580"/>
    <n v="822"/>
    <n v="3037"/>
    <n v="4321"/>
    <n v="0.10221023595762251"/>
    <x v="1"/>
  </r>
  <r>
    <x v="1298"/>
    <x v="1298"/>
    <x v="2"/>
    <x v="16"/>
    <x v="3"/>
    <x v="2"/>
    <n v="679756"/>
    <n v="120886"/>
    <n v="99326"/>
    <n v="4620"/>
    <n v="815"/>
    <n v="445"/>
    <n v="16"/>
    <n v="2865"/>
    <n v="5.9360086986287579E-2"/>
    <x v="1"/>
  </r>
  <r>
    <x v="1299"/>
    <x v="1299"/>
    <x v="4"/>
    <x v="21"/>
    <x v="1"/>
    <x v="13"/>
    <n v="318491"/>
    <n v="101489"/>
    <n v="93229"/>
    <n v="6618"/>
    <n v="1038"/>
    <n v="151"/>
    <n v="389"/>
    <n v="538"/>
    <n v="8.7912559396754228E-2"/>
    <x v="1"/>
  </r>
  <r>
    <x v="1300"/>
    <x v="1300"/>
    <x v="1"/>
    <x v="7"/>
    <x v="2"/>
    <x v="16"/>
    <n v="197714"/>
    <n v="117708"/>
    <n v="103766"/>
    <n v="4467"/>
    <n v="679"/>
    <n v="449"/>
    <n v="473"/>
    <n v="2503"/>
    <n v="5.847772873580942E-2"/>
    <x v="2"/>
  </r>
  <r>
    <x v="1301"/>
    <x v="1301"/>
    <x v="1"/>
    <x v="24"/>
    <x v="0"/>
    <x v="16"/>
    <n v="218810"/>
    <n v="136913"/>
    <n v="106607"/>
    <n v="3072"/>
    <n v="465"/>
    <n v="423"/>
    <n v="648"/>
    <n v="2097"/>
    <n v="4.3224178524862343E-2"/>
    <x v="2"/>
  </r>
  <r>
    <x v="1302"/>
    <x v="1302"/>
    <x v="1"/>
    <x v="24"/>
    <x v="5"/>
    <x v="1"/>
    <n v="837391"/>
    <n v="495361"/>
    <n v="439964"/>
    <n v="27172"/>
    <n v="4129"/>
    <n v="3399"/>
    <n v="2906"/>
    <n v="14118"/>
    <n v="8.5475175241610676E-2"/>
    <x v="1"/>
  </r>
  <r>
    <x v="1303"/>
    <x v="1303"/>
    <x v="1"/>
    <x v="24"/>
    <x v="0"/>
    <x v="8"/>
    <n v="173639"/>
    <n v="26981"/>
    <n v="22076"/>
    <n v="1101"/>
    <n v="156"/>
    <n v="99"/>
    <n v="197"/>
    <n v="234"/>
    <n v="7.0347889110346076E-2"/>
    <x v="1"/>
  </r>
  <r>
    <x v="1304"/>
    <x v="1304"/>
    <x v="4"/>
    <x v="12"/>
    <x v="1"/>
    <x v="12"/>
    <n v="468414"/>
    <n v="238082"/>
    <n v="183054"/>
    <n v="17254"/>
    <n v="2073"/>
    <n v="645"/>
    <n v="1057"/>
    <n v="2209"/>
    <n v="0.1148786696821703"/>
    <x v="2"/>
  </r>
  <r>
    <x v="1305"/>
    <x v="1305"/>
    <x v="2"/>
    <x v="3"/>
    <x v="1"/>
    <x v="3"/>
    <n v="293852"/>
    <n v="175328"/>
    <n v="129759"/>
    <n v="11657"/>
    <n v="818"/>
    <n v="373"/>
    <n v="13"/>
    <n v="5619"/>
    <n v="9.911451228816498E-2"/>
    <x v="0"/>
  </r>
  <r>
    <x v="1306"/>
    <x v="1306"/>
    <x v="1"/>
    <x v="1"/>
    <x v="3"/>
    <x v="6"/>
    <n v="739639"/>
    <n v="262218"/>
    <n v="225234"/>
    <n v="7259"/>
    <n v="678"/>
    <n v="1042"/>
    <n v="1050"/>
    <n v="2500"/>
    <n v="4.4527025227097151E-2"/>
    <x v="1"/>
  </r>
  <r>
    <x v="1307"/>
    <x v="1307"/>
    <x v="4"/>
    <x v="12"/>
    <x v="4"/>
    <x v="12"/>
    <n v="653467"/>
    <n v="219358"/>
    <n v="164581"/>
    <n v="4446"/>
    <n v="528"/>
    <n v="470"/>
    <n v="1004"/>
    <n v="7035"/>
    <n v="3.917827695785054E-2"/>
    <x v="0"/>
  </r>
  <r>
    <x v="1308"/>
    <x v="1308"/>
    <x v="1"/>
    <x v="17"/>
    <x v="2"/>
    <x v="1"/>
    <n v="727153"/>
    <n v="195722"/>
    <n v="150689"/>
    <n v="7095"/>
    <n v="978"/>
    <n v="270"/>
    <n v="1180"/>
    <n v="1595"/>
    <n v="6.3196384606706527E-2"/>
    <x v="0"/>
  </r>
  <r>
    <x v="1309"/>
    <x v="1309"/>
    <x v="2"/>
    <x v="16"/>
    <x v="1"/>
    <x v="2"/>
    <n v="671188"/>
    <n v="232028"/>
    <n v="181529"/>
    <n v="14959"/>
    <n v="2378"/>
    <n v="597"/>
    <n v="5"/>
    <n v="4652"/>
    <n v="9.882167587547995E-2"/>
    <x v="0"/>
  </r>
  <r>
    <x v="1310"/>
    <x v="1310"/>
    <x v="0"/>
    <x v="13"/>
    <x v="2"/>
    <x v="10"/>
    <n v="191592"/>
    <n v="121163"/>
    <n v="105383"/>
    <n v="5935"/>
    <n v="214"/>
    <n v="498"/>
    <n v="750"/>
    <n v="2694"/>
    <n v="7.0191586878339013E-2"/>
    <x v="2"/>
  </r>
  <r>
    <x v="1311"/>
    <x v="1311"/>
    <x v="3"/>
    <x v="18"/>
    <x v="1"/>
    <x v="4"/>
    <n v="374000"/>
    <n v="215942"/>
    <n v="159042"/>
    <n v="10373"/>
    <n v="1155"/>
    <n v="598"/>
    <n v="27"/>
    <n v="2860"/>
    <n v="7.6413777492737769E-2"/>
    <x v="2"/>
  </r>
  <r>
    <x v="1312"/>
    <x v="1312"/>
    <x v="0"/>
    <x v="13"/>
    <x v="1"/>
    <x v="0"/>
    <n v="777206"/>
    <n v="493072"/>
    <n v="421026"/>
    <n v="30884"/>
    <n v="3140"/>
    <n v="2241"/>
    <n v="2605"/>
    <n v="13406"/>
    <n v="9.2322089372152791E-2"/>
    <x v="0"/>
  </r>
  <r>
    <x v="1313"/>
    <x v="1313"/>
    <x v="1"/>
    <x v="24"/>
    <x v="5"/>
    <x v="16"/>
    <n v="820535"/>
    <n v="214785"/>
    <n v="154136"/>
    <n v="11842"/>
    <n v="655"/>
    <n v="481"/>
    <n v="1026"/>
    <n v="3331"/>
    <n v="9.0854829501219703E-2"/>
    <x v="1"/>
  </r>
  <r>
    <x v="1314"/>
    <x v="1314"/>
    <x v="2"/>
    <x v="5"/>
    <x v="5"/>
    <x v="2"/>
    <n v="182963"/>
    <n v="34316"/>
    <n v="25923"/>
    <n v="1057"/>
    <n v="33"/>
    <n v="138"/>
    <n v="10"/>
    <n v="987"/>
    <n v="4.7756818269490416E-2"/>
    <x v="0"/>
  </r>
  <r>
    <x v="1315"/>
    <x v="1315"/>
    <x v="3"/>
    <x v="4"/>
    <x v="1"/>
    <x v="9"/>
    <n v="828841"/>
    <n v="3862188"/>
    <n v="3038662"/>
    <n v="269922"/>
    <n v="26049"/>
    <n v="10113"/>
    <n v="25"/>
    <n v="19339"/>
    <n v="0.10073808801373763"/>
    <x v="2"/>
  </r>
  <r>
    <x v="1316"/>
    <x v="1316"/>
    <x v="4"/>
    <x v="21"/>
    <x v="5"/>
    <x v="13"/>
    <n v="206139"/>
    <n v="72563"/>
    <n v="61122"/>
    <n v="1532"/>
    <n v="99"/>
    <n v="45"/>
    <n v="302"/>
    <n v="546"/>
    <n v="3.2361506495206312E-2"/>
    <x v="0"/>
  </r>
  <r>
    <x v="1317"/>
    <x v="1317"/>
    <x v="1"/>
    <x v="8"/>
    <x v="0"/>
    <x v="1"/>
    <n v="488704"/>
    <n v="303628"/>
    <n v="238077"/>
    <n v="6178"/>
    <n v="228"/>
    <n v="898"/>
    <n v="1460"/>
    <n v="2825"/>
    <n v="3.681161977007439E-2"/>
    <x v="0"/>
  </r>
  <r>
    <x v="1318"/>
    <x v="1318"/>
    <x v="2"/>
    <x v="19"/>
    <x v="4"/>
    <x v="2"/>
    <n v="60059"/>
    <n v="19728"/>
    <n v="15506"/>
    <n v="653"/>
    <n v="71"/>
    <n v="92"/>
    <n v="0"/>
    <n v="107"/>
    <n v="5.2624790403714691E-2"/>
    <x v="0"/>
  </r>
  <r>
    <x v="1319"/>
    <x v="1319"/>
    <x v="2"/>
    <x v="19"/>
    <x v="3"/>
    <x v="2"/>
    <n v="693548"/>
    <n v="143613"/>
    <n v="107024"/>
    <n v="10345"/>
    <n v="617"/>
    <n v="758"/>
    <n v="0"/>
    <n v="3487"/>
    <n v="0.10950814770518762"/>
    <x v="1"/>
  </r>
  <r>
    <x v="1320"/>
    <x v="1320"/>
    <x v="2"/>
    <x v="3"/>
    <x v="0"/>
    <x v="5"/>
    <n v="752668"/>
    <n v="209927"/>
    <n v="160236"/>
    <n v="15728"/>
    <n v="935"/>
    <n v="679"/>
    <n v="30"/>
    <n v="5196"/>
    <n v="0.10841508774557528"/>
    <x v="0"/>
  </r>
  <r>
    <x v="1321"/>
    <x v="1321"/>
    <x v="4"/>
    <x v="20"/>
    <x v="4"/>
    <x v="17"/>
    <n v="830916"/>
    <n v="204921"/>
    <n v="187385"/>
    <n v="14165"/>
    <n v="2294"/>
    <n v="1772"/>
    <n v="2049"/>
    <n v="6301"/>
    <n v="0.10822637884569203"/>
    <x v="0"/>
  </r>
  <r>
    <x v="1322"/>
    <x v="1322"/>
    <x v="2"/>
    <x v="2"/>
    <x v="1"/>
    <x v="5"/>
    <n v="183311"/>
    <n v="33760"/>
    <n v="25763"/>
    <n v="1119"/>
    <n v="85"/>
    <n v="134"/>
    <n v="4"/>
    <n v="947"/>
    <n v="5.2090206885844037E-2"/>
    <x v="0"/>
  </r>
  <r>
    <x v="1323"/>
    <x v="1323"/>
    <x v="0"/>
    <x v="0"/>
    <x v="1"/>
    <x v="7"/>
    <n v="602914"/>
    <n v="244213"/>
    <n v="179841"/>
    <n v="17692"/>
    <n v="2581"/>
    <n v="1204"/>
    <n v="1682"/>
    <n v="7390"/>
    <n v="0.12877486223942261"/>
    <x v="0"/>
  </r>
  <r>
    <x v="1324"/>
    <x v="1324"/>
    <x v="2"/>
    <x v="5"/>
    <x v="0"/>
    <x v="2"/>
    <n v="772094"/>
    <n v="89589"/>
    <n v="82012"/>
    <n v="1809"/>
    <n v="146"/>
    <n v="153"/>
    <n v="21"/>
    <n v="2129"/>
    <n v="2.5959615666000097E-2"/>
    <x v="0"/>
  </r>
  <r>
    <x v="1325"/>
    <x v="1325"/>
    <x v="2"/>
    <x v="3"/>
    <x v="0"/>
    <x v="3"/>
    <n v="820630"/>
    <n v="73136"/>
    <n v="51718"/>
    <n v="4889"/>
    <n v="496"/>
    <n v="147"/>
    <n v="43"/>
    <n v="1303"/>
    <n v="0.1077961251401833"/>
    <x v="0"/>
  </r>
  <r>
    <x v="1326"/>
    <x v="1326"/>
    <x v="4"/>
    <x v="14"/>
    <x v="0"/>
    <x v="13"/>
    <n v="532228"/>
    <n v="201104"/>
    <n v="150164"/>
    <n v="4640"/>
    <n v="645"/>
    <n v="142"/>
    <n v="930"/>
    <n v="6092"/>
    <n v="4.2333715138115659E-2"/>
    <x v="2"/>
  </r>
  <r>
    <x v="1327"/>
    <x v="1327"/>
    <x v="2"/>
    <x v="16"/>
    <x v="0"/>
    <x v="2"/>
    <n v="794194"/>
    <n v="314078"/>
    <n v="282133"/>
    <n v="21020"/>
    <n v="1790"/>
    <n v="1231"/>
    <n v="44"/>
    <n v="2391"/>
    <n v="8.5367539422896294E-2"/>
    <x v="0"/>
  </r>
  <r>
    <x v="1328"/>
    <x v="1328"/>
    <x v="4"/>
    <x v="10"/>
    <x v="0"/>
    <x v="13"/>
    <n v="500969"/>
    <n v="87746"/>
    <n v="61636"/>
    <n v="4476"/>
    <n v="358"/>
    <n v="495"/>
    <n v="805"/>
    <n v="2643"/>
    <n v="9.9519761178532021E-2"/>
    <x v="0"/>
  </r>
  <r>
    <x v="1329"/>
    <x v="1329"/>
    <x v="2"/>
    <x v="19"/>
    <x v="5"/>
    <x v="15"/>
    <n v="241463"/>
    <n v="80454"/>
    <n v="66798"/>
    <n v="2794"/>
    <n v="95"/>
    <n v="231"/>
    <n v="28"/>
    <n v="2009"/>
    <n v="4.712715949579329E-2"/>
    <x v="0"/>
  </r>
  <r>
    <x v="1330"/>
    <x v="1330"/>
    <x v="4"/>
    <x v="21"/>
    <x v="0"/>
    <x v="17"/>
    <n v="773093"/>
    <n v="242657"/>
    <n v="218505"/>
    <n v="14205"/>
    <n v="2079"/>
    <n v="1418"/>
    <n v="2900"/>
    <n v="4504"/>
    <n v="9.4286171941145511E-2"/>
    <x v="1"/>
  </r>
  <r>
    <x v="1331"/>
    <x v="1331"/>
    <x v="0"/>
    <x v="13"/>
    <x v="2"/>
    <x v="7"/>
    <n v="496094"/>
    <n v="201615"/>
    <n v="154644"/>
    <n v="13869"/>
    <n v="1864"/>
    <n v="1527"/>
    <n v="3102"/>
    <n v="4054"/>
    <n v="0.13167015855771966"/>
    <x v="0"/>
  </r>
  <r>
    <x v="1332"/>
    <x v="1332"/>
    <x v="0"/>
    <x v="23"/>
    <x v="2"/>
    <x v="10"/>
    <n v="670233"/>
    <n v="106358"/>
    <n v="77210"/>
    <n v="5033"/>
    <n v="349"/>
    <n v="661"/>
    <n v="677"/>
    <n v="2765"/>
    <n v="8.7035358114233907E-2"/>
    <x v="0"/>
  </r>
  <r>
    <x v="1333"/>
    <x v="1333"/>
    <x v="2"/>
    <x v="19"/>
    <x v="3"/>
    <x v="2"/>
    <n v="218436"/>
    <n v="25093"/>
    <n v="19785"/>
    <n v="747"/>
    <n v="126"/>
    <n v="80"/>
    <n v="0"/>
    <n v="482"/>
    <n v="4.8167803891837252E-2"/>
    <x v="2"/>
  </r>
  <r>
    <x v="1334"/>
    <x v="1334"/>
    <x v="3"/>
    <x v="18"/>
    <x v="2"/>
    <x v="14"/>
    <n v="596675"/>
    <n v="364197"/>
    <n v="264552"/>
    <n v="10647"/>
    <n v="1441"/>
    <n v="1549"/>
    <n v="49"/>
    <n v="4050"/>
    <n v="5.1732740633221447E-2"/>
    <x v="1"/>
  </r>
  <r>
    <x v="1335"/>
    <x v="1335"/>
    <x v="4"/>
    <x v="21"/>
    <x v="3"/>
    <x v="11"/>
    <n v="642913"/>
    <n v="199932"/>
    <n v="146890"/>
    <n v="6472"/>
    <n v="869"/>
    <n v="580"/>
    <n v="1558"/>
    <n v="2405"/>
    <n v="6.4531281911634555E-2"/>
    <x v="2"/>
  </r>
  <r>
    <x v="1336"/>
    <x v="1336"/>
    <x v="3"/>
    <x v="11"/>
    <x v="2"/>
    <x v="4"/>
    <n v="378721"/>
    <n v="162085"/>
    <n v="129493"/>
    <n v="12907"/>
    <n v="1546"/>
    <n v="364"/>
    <n v="21"/>
    <n v="4795"/>
    <n v="0.11458534438154958"/>
    <x v="0"/>
  </r>
  <r>
    <x v="1337"/>
    <x v="1337"/>
    <x v="3"/>
    <x v="4"/>
    <x v="5"/>
    <x v="9"/>
    <n v="591182"/>
    <n v="297497"/>
    <n v="251358"/>
    <n v="10329"/>
    <n v="394"/>
    <n v="403"/>
    <n v="44"/>
    <n v="7541"/>
    <n v="4.4438609473340815E-2"/>
    <x v="1"/>
  </r>
  <r>
    <x v="1338"/>
    <x v="1338"/>
    <x v="2"/>
    <x v="16"/>
    <x v="1"/>
    <x v="15"/>
    <n v="407632"/>
    <n v="254237"/>
    <n v="215067"/>
    <n v="15424"/>
    <n v="1257"/>
    <n v="1602"/>
    <n v="37"/>
    <n v="7858"/>
    <n v="8.5182757001306564E-2"/>
    <x v="1"/>
  </r>
  <r>
    <x v="1339"/>
    <x v="1339"/>
    <x v="0"/>
    <x v="13"/>
    <x v="4"/>
    <x v="10"/>
    <n v="151310"/>
    <n v="68514"/>
    <n v="52912"/>
    <n v="2191"/>
    <n v="213"/>
    <n v="57"/>
    <n v="318"/>
    <n v="2268"/>
    <n v="5.2521167221046265E-2"/>
    <x v="2"/>
  </r>
  <r>
    <x v="1340"/>
    <x v="1340"/>
    <x v="2"/>
    <x v="19"/>
    <x v="0"/>
    <x v="15"/>
    <n v="540605"/>
    <n v="52938"/>
    <n v="47517"/>
    <n v="4110"/>
    <n v="163"/>
    <n v="167"/>
    <n v="9"/>
    <n v="1104"/>
    <n v="9.3629648336384874E-2"/>
    <x v="1"/>
  </r>
  <r>
    <x v="1341"/>
    <x v="1341"/>
    <x v="0"/>
    <x v="23"/>
    <x v="1"/>
    <x v="7"/>
    <n v="791307"/>
    <n v="361225"/>
    <n v="289226"/>
    <n v="18415"/>
    <n v="2374"/>
    <n v="2680"/>
    <n v="4424"/>
    <n v="3798"/>
    <n v="9.6440154066370243E-2"/>
    <x v="1"/>
  </r>
  <r>
    <x v="1342"/>
    <x v="1342"/>
    <x v="2"/>
    <x v="2"/>
    <x v="2"/>
    <x v="2"/>
    <n v="623609"/>
    <n v="305544"/>
    <n v="271594"/>
    <n v="9254"/>
    <n v="933"/>
    <n v="656"/>
    <n v="0"/>
    <n v="6637"/>
    <n v="3.9923562376193877E-2"/>
    <x v="0"/>
  </r>
  <r>
    <x v="1343"/>
    <x v="1343"/>
    <x v="4"/>
    <x v="20"/>
    <x v="2"/>
    <x v="17"/>
    <n v="444243"/>
    <n v="263779"/>
    <n v="200929"/>
    <n v="8731"/>
    <n v="1313"/>
    <n v="607"/>
    <n v="1573"/>
    <n v="6398"/>
    <n v="6.0837410229484044E-2"/>
    <x v="0"/>
  </r>
  <r>
    <x v="1344"/>
    <x v="1344"/>
    <x v="2"/>
    <x v="19"/>
    <x v="2"/>
    <x v="5"/>
    <n v="13984"/>
    <n v="3472"/>
    <n v="3141"/>
    <n v="99"/>
    <n v="5"/>
    <n v="13"/>
    <n v="13"/>
    <n v="59"/>
    <n v="4.1388092964024195E-2"/>
    <x v="0"/>
  </r>
  <r>
    <x v="1345"/>
    <x v="1345"/>
    <x v="0"/>
    <x v="0"/>
    <x v="2"/>
    <x v="0"/>
    <n v="580600"/>
    <n v="235043"/>
    <n v="207082"/>
    <n v="17771"/>
    <n v="689"/>
    <n v="1764"/>
    <n v="3195"/>
    <n v="4340"/>
    <n v="0.11309046657845684"/>
    <x v="0"/>
  </r>
  <r>
    <x v="1346"/>
    <x v="1346"/>
    <x v="0"/>
    <x v="0"/>
    <x v="4"/>
    <x v="7"/>
    <n v="46570"/>
    <n v="9626"/>
    <n v="7638"/>
    <n v="482"/>
    <n v="20"/>
    <n v="43"/>
    <n v="66"/>
    <n v="154"/>
    <n v="7.9994763026970409E-2"/>
    <x v="2"/>
  </r>
  <r>
    <x v="1347"/>
    <x v="1347"/>
    <x v="2"/>
    <x v="3"/>
    <x v="1"/>
    <x v="5"/>
    <n v="127130"/>
    <n v="62116"/>
    <n v="57120"/>
    <n v="2169"/>
    <n v="185"/>
    <n v="308"/>
    <n v="25"/>
    <n v="1076"/>
    <n v="4.7041316526610644E-2"/>
    <x v="2"/>
  </r>
  <r>
    <x v="1348"/>
    <x v="1348"/>
    <x v="2"/>
    <x v="16"/>
    <x v="3"/>
    <x v="2"/>
    <n v="299985"/>
    <n v="46116"/>
    <n v="35430"/>
    <n v="3181"/>
    <n v="557"/>
    <n v="417"/>
    <n v="42"/>
    <n v="1482"/>
    <n v="0.11845893310753598"/>
    <x v="0"/>
  </r>
  <r>
    <x v="1349"/>
    <x v="1349"/>
    <x v="3"/>
    <x v="9"/>
    <x v="0"/>
    <x v="9"/>
    <n v="433180"/>
    <n v="66459"/>
    <n v="52617"/>
    <n v="1618"/>
    <n v="158"/>
    <n v="228"/>
    <n v="37"/>
    <n v="1146"/>
    <n v="3.8789744759298327E-2"/>
    <x v="0"/>
  </r>
  <r>
    <x v="1350"/>
    <x v="1350"/>
    <x v="3"/>
    <x v="4"/>
    <x v="1"/>
    <x v="14"/>
    <n v="635003"/>
    <n v="316478"/>
    <n v="236527"/>
    <n v="20599"/>
    <n v="2888"/>
    <n v="2728"/>
    <n v="25"/>
    <n v="6861"/>
    <n v="0.11093870890004101"/>
    <x v="0"/>
  </r>
  <r>
    <x v="1351"/>
    <x v="1351"/>
    <x v="0"/>
    <x v="6"/>
    <x v="2"/>
    <x v="7"/>
    <n v="129816"/>
    <n v="49246"/>
    <n v="40141"/>
    <n v="3546"/>
    <n v="240"/>
    <n v="351"/>
    <n v="352"/>
    <n v="729"/>
    <n v="0.11183079644254004"/>
    <x v="1"/>
  </r>
  <r>
    <x v="1352"/>
    <x v="1352"/>
    <x v="4"/>
    <x v="12"/>
    <x v="0"/>
    <x v="13"/>
    <n v="12821"/>
    <n v="70972"/>
    <n v="54325"/>
    <n v="4197"/>
    <n v="540"/>
    <n v="338"/>
    <n v="544"/>
    <n v="2143"/>
    <n v="0.10343304187758859"/>
    <x v="1"/>
  </r>
  <r>
    <x v="1353"/>
    <x v="1353"/>
    <x v="1"/>
    <x v="17"/>
    <x v="5"/>
    <x v="6"/>
    <n v="230803"/>
    <n v="20658"/>
    <n v="18148"/>
    <n v="1027"/>
    <n v="54"/>
    <n v="105"/>
    <n v="162"/>
    <n v="185"/>
    <n v="7.4278157372713247E-2"/>
    <x v="0"/>
  </r>
  <r>
    <x v="1354"/>
    <x v="1354"/>
    <x v="2"/>
    <x v="3"/>
    <x v="0"/>
    <x v="5"/>
    <n v="313771"/>
    <n v="84033"/>
    <n v="70820"/>
    <n v="1961"/>
    <n v="112"/>
    <n v="125"/>
    <n v="14"/>
    <n v="498"/>
    <n v="3.1234114656876588E-2"/>
    <x v="2"/>
  </r>
  <r>
    <x v="1355"/>
    <x v="1355"/>
    <x v="4"/>
    <x v="21"/>
    <x v="5"/>
    <x v="13"/>
    <n v="133679"/>
    <n v="54003"/>
    <n v="47030"/>
    <n v="4064"/>
    <n v="718"/>
    <n v="99"/>
    <n v="1006"/>
    <n v="869"/>
    <n v="0.12517541994471615"/>
    <x v="0"/>
  </r>
  <r>
    <x v="1356"/>
    <x v="1356"/>
    <x v="0"/>
    <x v="0"/>
    <x v="4"/>
    <x v="0"/>
    <n v="472859"/>
    <n v="148077"/>
    <n v="117681"/>
    <n v="5921"/>
    <n v="604"/>
    <n v="701"/>
    <n v="1067"/>
    <n v="3994"/>
    <n v="7.0470169356140755E-2"/>
    <x v="2"/>
  </r>
  <r>
    <x v="1357"/>
    <x v="1357"/>
    <x v="0"/>
    <x v="6"/>
    <x v="5"/>
    <x v="0"/>
    <n v="747850"/>
    <n v="155969"/>
    <n v="131709"/>
    <n v="7631"/>
    <n v="937"/>
    <n v="996"/>
    <n v="529"/>
    <n v="1022"/>
    <n v="7.66310578624088E-2"/>
    <x v="0"/>
  </r>
  <r>
    <x v="1358"/>
    <x v="1358"/>
    <x v="2"/>
    <x v="3"/>
    <x v="2"/>
    <x v="5"/>
    <n v="441899"/>
    <n v="180335"/>
    <n v="133349"/>
    <n v="4093"/>
    <n v="549"/>
    <n v="525"/>
    <n v="47"/>
    <n v="5423"/>
    <n v="3.9100405702329977E-2"/>
    <x v="0"/>
  </r>
  <r>
    <x v="1359"/>
    <x v="1359"/>
    <x v="2"/>
    <x v="5"/>
    <x v="0"/>
    <x v="2"/>
    <n v="44773"/>
    <n v="22256"/>
    <n v="17018"/>
    <n v="1775"/>
    <n v="126"/>
    <n v="139"/>
    <n v="35"/>
    <n v="517"/>
    <n v="0.12192972147138324"/>
    <x v="1"/>
  </r>
  <r>
    <x v="1360"/>
    <x v="1360"/>
    <x v="3"/>
    <x v="9"/>
    <x v="0"/>
    <x v="9"/>
    <n v="333025"/>
    <n v="201850"/>
    <n v="172017"/>
    <n v="9734"/>
    <n v="761"/>
    <n v="1178"/>
    <n v="38"/>
    <n v="1440"/>
    <n v="6.8080480417633135E-2"/>
    <x v="0"/>
  </r>
  <r>
    <x v="1361"/>
    <x v="1361"/>
    <x v="0"/>
    <x v="22"/>
    <x v="3"/>
    <x v="10"/>
    <n v="252996"/>
    <n v="44244"/>
    <n v="36743"/>
    <n v="1093"/>
    <n v="90"/>
    <n v="49"/>
    <n v="110"/>
    <n v="1024"/>
    <n v="3.6523963748196935E-2"/>
    <x v="0"/>
  </r>
  <r>
    <x v="1362"/>
    <x v="1362"/>
    <x v="0"/>
    <x v="23"/>
    <x v="1"/>
    <x v="10"/>
    <n v="85393"/>
    <n v="46148"/>
    <n v="41392"/>
    <n v="2174"/>
    <n v="153"/>
    <n v="269"/>
    <n v="279"/>
    <n v="737"/>
    <n v="6.945786625434866E-2"/>
    <x v="1"/>
  </r>
  <r>
    <x v="1363"/>
    <x v="1363"/>
    <x v="2"/>
    <x v="16"/>
    <x v="2"/>
    <x v="15"/>
    <n v="301403"/>
    <n v="785526"/>
    <n v="688321"/>
    <n v="49495"/>
    <n v="3852"/>
    <n v="2995"/>
    <n v="34"/>
    <n v="10438"/>
    <n v="8.1903646699722943E-2"/>
    <x v="0"/>
  </r>
  <r>
    <x v="1364"/>
    <x v="1364"/>
    <x v="3"/>
    <x v="4"/>
    <x v="0"/>
    <x v="9"/>
    <n v="845840"/>
    <n v="395983"/>
    <n v="310520"/>
    <n v="26189"/>
    <n v="3799"/>
    <n v="3037"/>
    <n v="2"/>
    <n v="4813"/>
    <n v="0.106360298853536"/>
    <x v="0"/>
  </r>
  <r>
    <x v="1365"/>
    <x v="1365"/>
    <x v="0"/>
    <x v="22"/>
    <x v="4"/>
    <x v="7"/>
    <n v="562626"/>
    <n v="93612"/>
    <n v="68770"/>
    <n v="5791"/>
    <n v="252"/>
    <n v="794"/>
    <n v="616"/>
    <n v="1696"/>
    <n v="0.10837574523774902"/>
    <x v="1"/>
  </r>
  <r>
    <x v="1366"/>
    <x v="1366"/>
    <x v="0"/>
    <x v="6"/>
    <x v="0"/>
    <x v="0"/>
    <n v="60689"/>
    <n v="25780"/>
    <n v="19747"/>
    <n v="1830"/>
    <n v="193"/>
    <n v="157"/>
    <n v="111"/>
    <n v="723"/>
    <n v="0.11601762293006533"/>
    <x v="0"/>
  </r>
  <r>
    <x v="1367"/>
    <x v="1367"/>
    <x v="3"/>
    <x v="9"/>
    <x v="2"/>
    <x v="14"/>
    <n v="178857"/>
    <n v="83582"/>
    <n v="69530"/>
    <n v="4756"/>
    <n v="528"/>
    <n v="542"/>
    <n v="44"/>
    <n v="1995"/>
    <n v="8.4423989644757655E-2"/>
    <x v="2"/>
  </r>
  <r>
    <x v="1368"/>
    <x v="1368"/>
    <x v="1"/>
    <x v="8"/>
    <x v="3"/>
    <x v="8"/>
    <n v="107630"/>
    <n v="41561"/>
    <n v="32187"/>
    <n v="948"/>
    <n v="51"/>
    <n v="68"/>
    <n v="82"/>
    <n v="356"/>
    <n v="3.569764190511697E-2"/>
    <x v="0"/>
  </r>
  <r>
    <x v="1369"/>
    <x v="1369"/>
    <x v="1"/>
    <x v="8"/>
    <x v="2"/>
    <x v="1"/>
    <n v="239363"/>
    <n v="83326"/>
    <n v="67054"/>
    <n v="6425"/>
    <n v="542"/>
    <n v="361"/>
    <n v="938"/>
    <n v="2162"/>
    <n v="0.12327377934202284"/>
    <x v="1"/>
  </r>
  <r>
    <x v="1370"/>
    <x v="1370"/>
    <x v="1"/>
    <x v="8"/>
    <x v="2"/>
    <x v="8"/>
    <n v="789681"/>
    <n v="238901"/>
    <n v="210479"/>
    <n v="12981"/>
    <n v="1809"/>
    <n v="1232"/>
    <n v="1742"/>
    <n v="6875"/>
    <n v="8.4397968443407662E-2"/>
    <x v="1"/>
  </r>
  <r>
    <x v="1371"/>
    <x v="1371"/>
    <x v="1"/>
    <x v="8"/>
    <x v="5"/>
    <x v="8"/>
    <n v="5410"/>
    <n v="3443"/>
    <n v="2977"/>
    <n v="84"/>
    <n v="9"/>
    <n v="1"/>
    <n v="10"/>
    <n v="101"/>
    <n v="3.4934497816593885E-2"/>
    <x v="2"/>
  </r>
  <r>
    <x v="1372"/>
    <x v="1372"/>
    <x v="3"/>
    <x v="9"/>
    <x v="2"/>
    <x v="4"/>
    <n v="56851"/>
    <n v="5893"/>
    <n v="4434"/>
    <n v="411"/>
    <n v="35"/>
    <n v="15"/>
    <n v="33"/>
    <n v="186"/>
    <n v="0.11141181777176365"/>
    <x v="0"/>
  </r>
  <r>
    <x v="1373"/>
    <x v="1373"/>
    <x v="4"/>
    <x v="21"/>
    <x v="1"/>
    <x v="12"/>
    <n v="13980"/>
    <n v="5793"/>
    <n v="4205"/>
    <n v="173"/>
    <n v="26"/>
    <n v="8"/>
    <n v="9"/>
    <n v="92"/>
    <n v="5.136741973840666E-2"/>
    <x v="0"/>
  </r>
  <r>
    <x v="1374"/>
    <x v="1374"/>
    <x v="1"/>
    <x v="1"/>
    <x v="5"/>
    <x v="8"/>
    <n v="732428"/>
    <n v="155143"/>
    <n v="128207"/>
    <n v="10776"/>
    <n v="1889"/>
    <n v="273"/>
    <n v="1882"/>
    <n v="3258"/>
    <n v="0.11559431232304009"/>
    <x v="0"/>
  </r>
  <r>
    <x v="1375"/>
    <x v="1375"/>
    <x v="2"/>
    <x v="3"/>
    <x v="4"/>
    <x v="3"/>
    <n v="272811"/>
    <n v="174447"/>
    <n v="158642"/>
    <n v="3947"/>
    <n v="287"/>
    <n v="364"/>
    <n v="38"/>
    <n v="2345"/>
    <n v="2.9223030471123661E-2"/>
    <x v="0"/>
  </r>
  <r>
    <x v="1376"/>
    <x v="1376"/>
    <x v="4"/>
    <x v="21"/>
    <x v="2"/>
    <x v="12"/>
    <n v="755761"/>
    <n v="228160"/>
    <n v="177299"/>
    <n v="7456"/>
    <n v="1214"/>
    <n v="968"/>
    <n v="1509"/>
    <n v="3865"/>
    <n v="6.2871194986999362E-2"/>
    <x v="0"/>
  </r>
  <r>
    <x v="1377"/>
    <x v="1377"/>
    <x v="0"/>
    <x v="0"/>
    <x v="2"/>
    <x v="7"/>
    <n v="648979"/>
    <n v="168404"/>
    <n v="131957"/>
    <n v="5739"/>
    <n v="870"/>
    <n v="191"/>
    <n v="769"/>
    <n v="1546"/>
    <n v="5.7359594413331619E-2"/>
    <x v="0"/>
  </r>
  <r>
    <x v="1378"/>
    <x v="1378"/>
    <x v="2"/>
    <x v="5"/>
    <x v="3"/>
    <x v="2"/>
    <n v="19314"/>
    <n v="5434"/>
    <n v="4241"/>
    <n v="227"/>
    <n v="9"/>
    <n v="32"/>
    <n v="43"/>
    <n v="27"/>
    <n v="7.3331761377033719E-2"/>
    <x v="0"/>
  </r>
  <r>
    <x v="1379"/>
    <x v="1379"/>
    <x v="2"/>
    <x v="16"/>
    <x v="2"/>
    <x v="3"/>
    <n v="446306"/>
    <n v="169658"/>
    <n v="121068"/>
    <n v="4705"/>
    <n v="321"/>
    <n v="140"/>
    <n v="15"/>
    <n v="3854"/>
    <n v="4.2794132223213398E-2"/>
    <x v="0"/>
  </r>
  <r>
    <x v="1380"/>
    <x v="1380"/>
    <x v="2"/>
    <x v="3"/>
    <x v="4"/>
    <x v="3"/>
    <n v="226679"/>
    <n v="123005"/>
    <n v="111513"/>
    <n v="9234"/>
    <n v="1085"/>
    <n v="567"/>
    <n v="29"/>
    <n v="1069"/>
    <n v="9.7880964551218239E-2"/>
    <x v="2"/>
  </r>
  <r>
    <x v="1381"/>
    <x v="1381"/>
    <x v="3"/>
    <x v="18"/>
    <x v="3"/>
    <x v="4"/>
    <n v="782215"/>
    <n v="440495"/>
    <n v="364625"/>
    <n v="20166"/>
    <n v="1779"/>
    <n v="725"/>
    <n v="15"/>
    <n v="4776"/>
    <n v="6.2214604045251969E-2"/>
    <x v="0"/>
  </r>
  <r>
    <x v="1382"/>
    <x v="1382"/>
    <x v="3"/>
    <x v="9"/>
    <x v="3"/>
    <x v="14"/>
    <n v="9751"/>
    <n v="3385"/>
    <n v="2507"/>
    <n v="117"/>
    <n v="16"/>
    <n v="9"/>
    <n v="30"/>
    <n v="98"/>
    <n v="6.8607897885919422E-2"/>
    <x v="0"/>
  </r>
  <r>
    <x v="1383"/>
    <x v="1383"/>
    <x v="4"/>
    <x v="21"/>
    <x v="0"/>
    <x v="17"/>
    <n v="29273"/>
    <n v="9558"/>
    <n v="7146"/>
    <n v="678"/>
    <n v="34"/>
    <n v="75"/>
    <n v="128"/>
    <n v="108"/>
    <n v="0.12804366078925272"/>
    <x v="1"/>
  </r>
  <r>
    <x v="1384"/>
    <x v="1384"/>
    <x v="0"/>
    <x v="23"/>
    <x v="2"/>
    <x v="0"/>
    <n v="590406"/>
    <n v="155649"/>
    <n v="114565"/>
    <n v="6799"/>
    <n v="1023"/>
    <n v="988"/>
    <n v="851"/>
    <n v="4791"/>
    <n v="8.4327674246061191E-2"/>
    <x v="1"/>
  </r>
  <r>
    <x v="1385"/>
    <x v="1385"/>
    <x v="1"/>
    <x v="7"/>
    <x v="4"/>
    <x v="16"/>
    <n v="237207"/>
    <n v="136264"/>
    <n v="99602"/>
    <n v="3842"/>
    <n v="510"/>
    <n v="87"/>
    <n v="264"/>
    <n v="3496"/>
    <n v="4.7217927350856406E-2"/>
    <x v="0"/>
  </r>
  <r>
    <x v="1386"/>
    <x v="1386"/>
    <x v="1"/>
    <x v="7"/>
    <x v="5"/>
    <x v="1"/>
    <n v="147518"/>
    <n v="36768"/>
    <n v="26308"/>
    <n v="2039"/>
    <n v="106"/>
    <n v="201"/>
    <n v="428"/>
    <n v="716"/>
    <n v="0.10544321119051239"/>
    <x v="1"/>
  </r>
  <r>
    <x v="1387"/>
    <x v="1387"/>
    <x v="0"/>
    <x v="23"/>
    <x v="0"/>
    <x v="7"/>
    <n v="62875"/>
    <n v="20890"/>
    <n v="17235"/>
    <n v="1181"/>
    <n v="47"/>
    <n v="108"/>
    <n v="111"/>
    <n v="122"/>
    <n v="8.3957064113722071E-2"/>
    <x v="1"/>
  </r>
  <r>
    <x v="1388"/>
    <x v="1388"/>
    <x v="1"/>
    <x v="8"/>
    <x v="3"/>
    <x v="16"/>
    <n v="137012"/>
    <n v="47466"/>
    <n v="35353"/>
    <n v="1164"/>
    <n v="189"/>
    <n v="99"/>
    <n v="281"/>
    <n v="1597"/>
    <n v="4.9019885158260966E-2"/>
    <x v="0"/>
  </r>
  <r>
    <x v="1389"/>
    <x v="1389"/>
    <x v="2"/>
    <x v="19"/>
    <x v="0"/>
    <x v="3"/>
    <n v="57403"/>
    <n v="30688"/>
    <n v="25629"/>
    <n v="925"/>
    <n v="97"/>
    <n v="55"/>
    <n v="40"/>
    <n v="418"/>
    <n v="4.3583440633657183E-2"/>
    <x v="1"/>
  </r>
  <r>
    <x v="1390"/>
    <x v="1390"/>
    <x v="0"/>
    <x v="22"/>
    <x v="0"/>
    <x v="7"/>
    <n v="285876"/>
    <n v="1262433"/>
    <n v="1015139"/>
    <n v="82710"/>
    <n v="8763"/>
    <n v="6256"/>
    <n v="11087"/>
    <n v="20372"/>
    <n v="0.10719320211320814"/>
    <x v="2"/>
  </r>
  <r>
    <x v="1391"/>
    <x v="1391"/>
    <x v="4"/>
    <x v="10"/>
    <x v="0"/>
    <x v="13"/>
    <n v="202683"/>
    <n v="92736"/>
    <n v="77855"/>
    <n v="6271"/>
    <n v="1075"/>
    <n v="845"/>
    <n v="1311"/>
    <n v="3095"/>
    <n v="0.1220473957998844"/>
    <x v="1"/>
  </r>
  <r>
    <x v="1392"/>
    <x v="1392"/>
    <x v="0"/>
    <x v="13"/>
    <x v="3"/>
    <x v="10"/>
    <n v="617173"/>
    <n v="233260"/>
    <n v="213621"/>
    <n v="14447"/>
    <n v="1670"/>
    <n v="1198"/>
    <n v="2381"/>
    <n v="4956"/>
    <n v="9.2200673154792828E-2"/>
    <x v="0"/>
  </r>
  <r>
    <x v="1393"/>
    <x v="1393"/>
    <x v="3"/>
    <x v="9"/>
    <x v="2"/>
    <x v="14"/>
    <n v="778543"/>
    <n v="202068"/>
    <n v="142079"/>
    <n v="7461"/>
    <n v="1009"/>
    <n v="791"/>
    <n v="9"/>
    <n v="6002"/>
    <n v="6.5245391648308337E-2"/>
    <x v="1"/>
  </r>
  <r>
    <x v="1394"/>
    <x v="1394"/>
    <x v="1"/>
    <x v="8"/>
    <x v="1"/>
    <x v="1"/>
    <n v="402013"/>
    <n v="55269"/>
    <n v="45352"/>
    <n v="3439"/>
    <n v="557"/>
    <n v="428"/>
    <n v="223"/>
    <n v="1713"/>
    <n v="0.10246516140412772"/>
    <x v="0"/>
  </r>
  <r>
    <x v="1395"/>
    <x v="1395"/>
    <x v="0"/>
    <x v="0"/>
    <x v="5"/>
    <x v="0"/>
    <n v="6782"/>
    <n v="1247"/>
    <n v="992"/>
    <n v="77"/>
    <n v="12"/>
    <n v="3"/>
    <n v="17"/>
    <n v="36"/>
    <n v="0.10987903225806452"/>
    <x v="2"/>
  </r>
  <r>
    <x v="1396"/>
    <x v="1396"/>
    <x v="1"/>
    <x v="8"/>
    <x v="5"/>
    <x v="8"/>
    <n v="752370"/>
    <n v="276337"/>
    <n v="197339"/>
    <n v="14038"/>
    <n v="1476"/>
    <n v="538"/>
    <n v="3411"/>
    <n v="3081"/>
    <n v="9.8627235366551977E-2"/>
    <x v="0"/>
  </r>
  <r>
    <x v="1397"/>
    <x v="1397"/>
    <x v="0"/>
    <x v="13"/>
    <x v="5"/>
    <x v="0"/>
    <n v="409277"/>
    <n v="122422"/>
    <n v="112290"/>
    <n v="3916"/>
    <n v="542"/>
    <n v="371"/>
    <n v="485"/>
    <n v="1735"/>
    <n v="4.7323893490070351E-2"/>
    <x v="1"/>
  </r>
  <r>
    <x v="1398"/>
    <x v="1398"/>
    <x v="0"/>
    <x v="6"/>
    <x v="2"/>
    <x v="10"/>
    <n v="342833"/>
    <n v="161617"/>
    <n v="122708"/>
    <n v="10747"/>
    <n v="945"/>
    <n v="1449"/>
    <n v="1701"/>
    <n v="5516"/>
    <n v="0.12095380904260521"/>
    <x v="1"/>
  </r>
  <r>
    <x v="1399"/>
    <x v="1399"/>
    <x v="2"/>
    <x v="19"/>
    <x v="2"/>
    <x v="15"/>
    <n v="604309"/>
    <n v="192045"/>
    <n v="151364"/>
    <n v="3926"/>
    <n v="364"/>
    <n v="260"/>
    <n v="20"/>
    <n v="5180"/>
    <n v="3.0192119658571392E-2"/>
    <x v="1"/>
  </r>
  <r>
    <x v="1400"/>
    <x v="1400"/>
    <x v="3"/>
    <x v="9"/>
    <x v="5"/>
    <x v="4"/>
    <n v="790617"/>
    <n v="463638"/>
    <n v="334733"/>
    <n v="36146"/>
    <n v="2465"/>
    <n v="2747"/>
    <n v="0"/>
    <n v="2413"/>
    <n v="0.12355519174984241"/>
    <x v="0"/>
  </r>
  <r>
    <x v="1401"/>
    <x v="1401"/>
    <x v="2"/>
    <x v="2"/>
    <x v="0"/>
    <x v="3"/>
    <n v="718985"/>
    <n v="86735"/>
    <n v="67448"/>
    <n v="3426"/>
    <n v="181"/>
    <n v="465"/>
    <n v="19"/>
    <n v="1110"/>
    <n v="6.0654133554738462E-2"/>
    <x v="1"/>
  </r>
  <r>
    <x v="1402"/>
    <x v="1402"/>
    <x v="0"/>
    <x v="22"/>
    <x v="0"/>
    <x v="0"/>
    <n v="213883"/>
    <n v="128313"/>
    <n v="90298"/>
    <n v="8536"/>
    <n v="1327"/>
    <n v="1081"/>
    <n v="1907"/>
    <n v="3452"/>
    <n v="0.14231765930585394"/>
    <x v="0"/>
  </r>
  <r>
    <x v="1403"/>
    <x v="1403"/>
    <x v="3"/>
    <x v="15"/>
    <x v="5"/>
    <x v="9"/>
    <n v="224966"/>
    <n v="70727"/>
    <n v="50212"/>
    <n v="4358"/>
    <n v="608"/>
    <n v="393"/>
    <n v="47"/>
    <n v="1488"/>
    <n v="0.10766350673145862"/>
    <x v="0"/>
  </r>
  <r>
    <x v="1404"/>
    <x v="1404"/>
    <x v="1"/>
    <x v="24"/>
    <x v="4"/>
    <x v="6"/>
    <n v="614744"/>
    <n v="272726"/>
    <n v="227352"/>
    <n v="15213"/>
    <n v="2437"/>
    <n v="2122"/>
    <n v="3484"/>
    <n v="8544"/>
    <n v="0.10229072099651641"/>
    <x v="0"/>
  </r>
  <r>
    <x v="1405"/>
    <x v="1405"/>
    <x v="0"/>
    <x v="22"/>
    <x v="0"/>
    <x v="7"/>
    <n v="410648"/>
    <n v="156119"/>
    <n v="120197"/>
    <n v="3518"/>
    <n v="213"/>
    <n v="414"/>
    <n v="441"/>
    <n v="4018"/>
    <n v="3.8154030466650585E-2"/>
    <x v="0"/>
  </r>
  <r>
    <x v="1406"/>
    <x v="1406"/>
    <x v="2"/>
    <x v="5"/>
    <x v="1"/>
    <x v="3"/>
    <n v="712208"/>
    <n v="2147677"/>
    <n v="1800067"/>
    <n v="113634"/>
    <n v="5801"/>
    <n v="16787"/>
    <n v="0"/>
    <n v="21600"/>
    <n v="7.567607205731787E-2"/>
    <x v="1"/>
  </r>
  <r>
    <x v="1407"/>
    <x v="1407"/>
    <x v="4"/>
    <x v="12"/>
    <x v="2"/>
    <x v="11"/>
    <n v="558713"/>
    <n v="287593"/>
    <n v="234252"/>
    <n v="16286"/>
    <n v="2616"/>
    <n v="1317"/>
    <n v="3564"/>
    <n v="2762"/>
    <n v="0.10152741492068371"/>
    <x v="0"/>
  </r>
  <r>
    <x v="1408"/>
    <x v="1408"/>
    <x v="2"/>
    <x v="16"/>
    <x v="5"/>
    <x v="2"/>
    <n v="485134"/>
    <n v="139825"/>
    <n v="118066"/>
    <n v="3356"/>
    <n v="553"/>
    <n v="389"/>
    <n v="43"/>
    <n v="2891"/>
    <n v="3.6767570680805654E-2"/>
    <x v="0"/>
  </r>
  <r>
    <x v="1409"/>
    <x v="1409"/>
    <x v="1"/>
    <x v="7"/>
    <x v="5"/>
    <x v="8"/>
    <n v="732656"/>
    <n v="450150"/>
    <n v="371608"/>
    <n v="13302"/>
    <n v="1689"/>
    <n v="646"/>
    <n v="3248"/>
    <n v="8049"/>
    <n v="5.0819680954123703E-2"/>
    <x v="1"/>
  </r>
  <r>
    <x v="1410"/>
    <x v="1410"/>
    <x v="3"/>
    <x v="15"/>
    <x v="0"/>
    <x v="4"/>
    <n v="442891"/>
    <n v="109281"/>
    <n v="81540"/>
    <n v="7754"/>
    <n v="748"/>
    <n v="860"/>
    <n v="24"/>
    <n v="1867"/>
    <n v="0.11510914888398333"/>
    <x v="1"/>
  </r>
  <r>
    <x v="1411"/>
    <x v="1411"/>
    <x v="4"/>
    <x v="14"/>
    <x v="2"/>
    <x v="12"/>
    <n v="494008"/>
    <n v="81640"/>
    <n v="59782"/>
    <n v="3501"/>
    <n v="295"/>
    <n v="224"/>
    <n v="393"/>
    <n v="1933"/>
    <n v="7.3818206149008067E-2"/>
    <x v="0"/>
  </r>
  <r>
    <x v="1412"/>
    <x v="1412"/>
    <x v="1"/>
    <x v="8"/>
    <x v="3"/>
    <x v="16"/>
    <n v="233253"/>
    <n v="34488"/>
    <n v="27954"/>
    <n v="1888"/>
    <n v="334"/>
    <n v="254"/>
    <n v="180"/>
    <n v="875"/>
    <n v="9.5013236030621742E-2"/>
    <x v="0"/>
  </r>
  <r>
    <x v="1413"/>
    <x v="1413"/>
    <x v="2"/>
    <x v="3"/>
    <x v="5"/>
    <x v="2"/>
    <n v="60831"/>
    <n v="24012"/>
    <n v="19270"/>
    <n v="1123"/>
    <n v="88"/>
    <n v="60"/>
    <n v="40"/>
    <n v="689"/>
    <n v="6.8033212247016084E-2"/>
    <x v="0"/>
  </r>
  <r>
    <x v="1414"/>
    <x v="1414"/>
    <x v="3"/>
    <x v="11"/>
    <x v="1"/>
    <x v="14"/>
    <n v="657141"/>
    <n v="368331"/>
    <n v="274859"/>
    <n v="18730"/>
    <n v="1552"/>
    <n v="532"/>
    <n v="31"/>
    <n v="8499"/>
    <n v="7.5838884664500714E-2"/>
    <x v="0"/>
  </r>
  <r>
    <x v="1415"/>
    <x v="1415"/>
    <x v="2"/>
    <x v="5"/>
    <x v="3"/>
    <x v="5"/>
    <n v="532584"/>
    <n v="197952"/>
    <n v="147509"/>
    <n v="4230"/>
    <n v="225"/>
    <n v="93"/>
    <n v="30"/>
    <n v="3356"/>
    <n v="3.1035394450508104E-2"/>
    <x v="0"/>
  </r>
  <r>
    <x v="1416"/>
    <x v="1416"/>
    <x v="1"/>
    <x v="17"/>
    <x v="4"/>
    <x v="6"/>
    <n v="665236"/>
    <n v="333143"/>
    <n v="297586"/>
    <n v="17593"/>
    <n v="935"/>
    <n v="1648"/>
    <n v="3656"/>
    <n v="6892"/>
    <n v="8.0084412573172128E-2"/>
    <x v="0"/>
  </r>
  <r>
    <x v="1417"/>
    <x v="1417"/>
    <x v="1"/>
    <x v="17"/>
    <x v="4"/>
    <x v="8"/>
    <n v="9884"/>
    <n v="2976"/>
    <n v="2639"/>
    <n v="165"/>
    <n v="26"/>
    <n v="4"/>
    <n v="27"/>
    <n v="34"/>
    <n v="8.4122773777946191E-2"/>
    <x v="1"/>
  </r>
  <r>
    <x v="1418"/>
    <x v="1418"/>
    <x v="3"/>
    <x v="18"/>
    <x v="0"/>
    <x v="9"/>
    <n v="290754"/>
    <n v="108011"/>
    <n v="91323"/>
    <n v="6097"/>
    <n v="598"/>
    <n v="158"/>
    <n v="45"/>
    <n v="1564"/>
    <n v="7.5534093273326539E-2"/>
    <x v="0"/>
  </r>
  <r>
    <x v="1419"/>
    <x v="1419"/>
    <x v="2"/>
    <x v="2"/>
    <x v="4"/>
    <x v="5"/>
    <n v="202787"/>
    <n v="96038"/>
    <n v="84137"/>
    <n v="4469"/>
    <n v="629"/>
    <n v="534"/>
    <n v="42"/>
    <n v="3069"/>
    <n v="6.7437631481987712E-2"/>
    <x v="0"/>
  </r>
  <r>
    <x v="1420"/>
    <x v="1420"/>
    <x v="4"/>
    <x v="14"/>
    <x v="3"/>
    <x v="12"/>
    <n v="377341"/>
    <n v="50322"/>
    <n v="42065"/>
    <n v="3045"/>
    <n v="428"/>
    <n v="265"/>
    <n v="585"/>
    <n v="674"/>
    <n v="0.10276952335670986"/>
    <x v="0"/>
  </r>
  <r>
    <x v="1421"/>
    <x v="1421"/>
    <x v="4"/>
    <x v="10"/>
    <x v="5"/>
    <x v="12"/>
    <n v="326057"/>
    <n v="202825"/>
    <n v="183017"/>
    <n v="5302"/>
    <n v="280"/>
    <n v="262"/>
    <n v="952"/>
    <n v="2977"/>
    <n v="3.713316249310173E-2"/>
    <x v="0"/>
  </r>
  <r>
    <x v="1422"/>
    <x v="1422"/>
    <x v="0"/>
    <x v="6"/>
    <x v="1"/>
    <x v="10"/>
    <n v="80773"/>
    <n v="33293"/>
    <n v="29738"/>
    <n v="1565"/>
    <n v="151"/>
    <n v="42"/>
    <n v="354"/>
    <n v="398"/>
    <n v="7.1020243459546703E-2"/>
    <x v="2"/>
  </r>
  <r>
    <x v="1423"/>
    <x v="1423"/>
    <x v="2"/>
    <x v="2"/>
    <x v="5"/>
    <x v="3"/>
    <n v="434527"/>
    <n v="177055"/>
    <n v="124902"/>
    <n v="11628"/>
    <n v="753"/>
    <n v="1399"/>
    <n v="46"/>
    <n v="5433"/>
    <n v="0.11069478471121359"/>
    <x v="2"/>
  </r>
  <r>
    <x v="1424"/>
    <x v="1424"/>
    <x v="1"/>
    <x v="8"/>
    <x v="1"/>
    <x v="1"/>
    <n v="505570"/>
    <n v="184132"/>
    <n v="137330"/>
    <n v="4997"/>
    <n v="586"/>
    <n v="423"/>
    <n v="702"/>
    <n v="5986"/>
    <n v="4.8845845772955657E-2"/>
    <x v="1"/>
  </r>
  <r>
    <x v="1425"/>
    <x v="1425"/>
    <x v="2"/>
    <x v="5"/>
    <x v="2"/>
    <x v="2"/>
    <n v="589241"/>
    <n v="117126"/>
    <n v="85510"/>
    <n v="8174"/>
    <n v="651"/>
    <n v="554"/>
    <n v="45"/>
    <n v="2911"/>
    <n v="0.11020933224184305"/>
    <x v="1"/>
  </r>
  <r>
    <x v="1426"/>
    <x v="1426"/>
    <x v="0"/>
    <x v="22"/>
    <x v="3"/>
    <x v="10"/>
    <n v="393459"/>
    <n v="109289"/>
    <n v="82616"/>
    <n v="3808"/>
    <n v="361"/>
    <n v="268"/>
    <n v="911"/>
    <n v="3531"/>
    <n v="6.4733223588651106E-2"/>
    <x v="0"/>
  </r>
  <r>
    <x v="1427"/>
    <x v="1427"/>
    <x v="0"/>
    <x v="6"/>
    <x v="0"/>
    <x v="10"/>
    <n v="130774"/>
    <n v="57586"/>
    <n v="47211"/>
    <n v="3398"/>
    <n v="571"/>
    <n v="283"/>
    <n v="673"/>
    <n v="1883"/>
    <n v="0.10431890872889793"/>
    <x v="1"/>
  </r>
  <r>
    <x v="1428"/>
    <x v="1428"/>
    <x v="0"/>
    <x v="22"/>
    <x v="0"/>
    <x v="0"/>
    <n v="83159"/>
    <n v="11110"/>
    <n v="9125"/>
    <n v="652"/>
    <n v="111"/>
    <n v="88"/>
    <n v="45"/>
    <n v="318"/>
    <n v="9.8191780821917804E-2"/>
    <x v="0"/>
  </r>
  <r>
    <x v="1429"/>
    <x v="1429"/>
    <x v="4"/>
    <x v="21"/>
    <x v="5"/>
    <x v="17"/>
    <n v="730206"/>
    <n v="245609"/>
    <n v="211692"/>
    <n v="6805"/>
    <n v="1031"/>
    <n v="896"/>
    <n v="1069"/>
    <n v="3354"/>
    <n v="4.6298395782552008E-2"/>
    <x v="1"/>
  </r>
  <r>
    <x v="1430"/>
    <x v="1430"/>
    <x v="4"/>
    <x v="12"/>
    <x v="3"/>
    <x v="11"/>
    <n v="787989"/>
    <n v="3756375"/>
    <n v="2947190"/>
    <n v="259754"/>
    <n v="12334"/>
    <n v="35271"/>
    <n v="34579"/>
    <n v="69765"/>
    <n v="0.11602170202803348"/>
    <x v="0"/>
  </r>
  <r>
    <x v="1431"/>
    <x v="1431"/>
    <x v="2"/>
    <x v="19"/>
    <x v="2"/>
    <x v="5"/>
    <n v="331173"/>
    <n v="199268"/>
    <n v="147111"/>
    <n v="15345"/>
    <n v="534"/>
    <n v="1889"/>
    <n v="8"/>
    <n v="1795"/>
    <n v="0.1208339281223022"/>
    <x v="1"/>
  </r>
  <r>
    <x v="1432"/>
    <x v="1432"/>
    <x v="3"/>
    <x v="11"/>
    <x v="2"/>
    <x v="9"/>
    <n v="762925"/>
    <n v="245146"/>
    <n v="219661"/>
    <n v="12084"/>
    <n v="1481"/>
    <n v="267"/>
    <n v="30"/>
    <n v="7581"/>
    <n v="6.3106332029809573E-2"/>
    <x v="1"/>
  </r>
  <r>
    <x v="1433"/>
    <x v="1433"/>
    <x v="0"/>
    <x v="6"/>
    <x v="2"/>
    <x v="7"/>
    <n v="310535"/>
    <n v="695263"/>
    <n v="605511"/>
    <n v="28525"/>
    <n v="2815"/>
    <n v="3727"/>
    <n v="6606"/>
    <n v="12534"/>
    <n v="6.8822862012415956E-2"/>
    <x v="0"/>
  </r>
  <r>
    <x v="1434"/>
    <x v="1434"/>
    <x v="4"/>
    <x v="21"/>
    <x v="3"/>
    <x v="17"/>
    <n v="515899"/>
    <n v="152900"/>
    <n v="126123"/>
    <n v="10234"/>
    <n v="854"/>
    <n v="1408"/>
    <n v="1292"/>
    <n v="3573"/>
    <n v="0.10932185247734355"/>
    <x v="0"/>
  </r>
  <r>
    <x v="1435"/>
    <x v="1435"/>
    <x v="2"/>
    <x v="16"/>
    <x v="3"/>
    <x v="3"/>
    <n v="99683"/>
    <n v="10530"/>
    <n v="9519"/>
    <n v="822"/>
    <n v="138"/>
    <n v="74"/>
    <n v="0"/>
    <n v="359"/>
    <n v="0.10862485555205378"/>
    <x v="1"/>
  </r>
  <r>
    <x v="1436"/>
    <x v="1436"/>
    <x v="1"/>
    <x v="24"/>
    <x v="5"/>
    <x v="1"/>
    <n v="578510"/>
    <n v="92670"/>
    <n v="83433"/>
    <n v="3124"/>
    <n v="94"/>
    <n v="252"/>
    <n v="306"/>
    <n v="1112"/>
    <n v="4.5257871585583642E-2"/>
    <x v="0"/>
  </r>
  <r>
    <x v="1437"/>
    <x v="1437"/>
    <x v="4"/>
    <x v="14"/>
    <x v="4"/>
    <x v="13"/>
    <n v="309114"/>
    <n v="59610"/>
    <n v="42943"/>
    <n v="2124"/>
    <n v="312"/>
    <n v="168"/>
    <n v="325"/>
    <n v="1352"/>
    <n v="6.8206692592506349E-2"/>
    <x v="0"/>
  </r>
  <r>
    <x v="1438"/>
    <x v="1438"/>
    <x v="4"/>
    <x v="14"/>
    <x v="2"/>
    <x v="11"/>
    <n v="301779"/>
    <n v="109383"/>
    <n v="86793"/>
    <n v="5559"/>
    <n v="209"/>
    <n v="492"/>
    <n v="693"/>
    <n v="716"/>
    <n v="8.0110147131681131E-2"/>
    <x v="0"/>
  </r>
  <r>
    <x v="1439"/>
    <x v="1439"/>
    <x v="4"/>
    <x v="14"/>
    <x v="0"/>
    <x v="12"/>
    <n v="342838"/>
    <n v="40114"/>
    <n v="31902"/>
    <n v="2089"/>
    <n v="116"/>
    <n v="69"/>
    <n v="438"/>
    <n v="785"/>
    <n v="8.5010344179048333E-2"/>
    <x v="0"/>
  </r>
  <r>
    <x v="1440"/>
    <x v="1440"/>
    <x v="3"/>
    <x v="9"/>
    <x v="4"/>
    <x v="14"/>
    <n v="338131"/>
    <n v="51888"/>
    <n v="41505"/>
    <n v="1202"/>
    <n v="151"/>
    <n v="125"/>
    <n v="0"/>
    <n v="481"/>
    <n v="3.5610167449704855E-2"/>
    <x v="0"/>
  </r>
  <r>
    <x v="1441"/>
    <x v="1441"/>
    <x v="4"/>
    <x v="14"/>
    <x v="5"/>
    <x v="17"/>
    <n v="743558"/>
    <n v="64671"/>
    <n v="46020"/>
    <n v="2050"/>
    <n v="118"/>
    <n v="174"/>
    <n v="460"/>
    <n v="2218"/>
    <n v="6.0886571056062579E-2"/>
    <x v="1"/>
  </r>
  <r>
    <x v="1442"/>
    <x v="1442"/>
    <x v="0"/>
    <x v="0"/>
    <x v="0"/>
    <x v="7"/>
    <n v="779390"/>
    <n v="190862"/>
    <n v="134750"/>
    <n v="8499"/>
    <n v="301"/>
    <n v="518"/>
    <n v="860"/>
    <n v="5183"/>
    <n v="7.5532467532467534E-2"/>
    <x v="0"/>
  </r>
  <r>
    <x v="1443"/>
    <x v="1443"/>
    <x v="2"/>
    <x v="5"/>
    <x v="0"/>
    <x v="5"/>
    <n v="137477"/>
    <n v="21704"/>
    <n v="15343"/>
    <n v="850"/>
    <n v="136"/>
    <n v="81"/>
    <n v="11"/>
    <n v="541"/>
    <n v="7.0260053444567552E-2"/>
    <x v="0"/>
  </r>
  <r>
    <x v="1444"/>
    <x v="1444"/>
    <x v="4"/>
    <x v="21"/>
    <x v="2"/>
    <x v="12"/>
    <n v="121903"/>
    <n v="27542"/>
    <n v="20546"/>
    <n v="1502"/>
    <n v="88"/>
    <n v="155"/>
    <n v="184"/>
    <n v="564"/>
    <n v="9.3886887958726753E-2"/>
    <x v="2"/>
  </r>
  <r>
    <x v="1445"/>
    <x v="1445"/>
    <x v="3"/>
    <x v="15"/>
    <x v="5"/>
    <x v="4"/>
    <n v="714771"/>
    <n v="108614"/>
    <n v="80466"/>
    <n v="4777"/>
    <n v="696"/>
    <n v="280"/>
    <n v="28"/>
    <n v="1938"/>
    <n v="7.1844008649615987E-2"/>
    <x v="0"/>
  </r>
  <r>
    <x v="1446"/>
    <x v="1446"/>
    <x v="2"/>
    <x v="5"/>
    <x v="5"/>
    <x v="5"/>
    <n v="784132"/>
    <n v="424871"/>
    <n v="320545"/>
    <n v="27625"/>
    <n v="3466"/>
    <n v="2253"/>
    <n v="15"/>
    <n v="5651"/>
    <n v="0.10406963140900653"/>
    <x v="0"/>
  </r>
  <r>
    <x v="1447"/>
    <x v="1447"/>
    <x v="3"/>
    <x v="9"/>
    <x v="0"/>
    <x v="4"/>
    <n v="426927"/>
    <n v="56570"/>
    <n v="41808"/>
    <n v="2433"/>
    <n v="423"/>
    <n v="165"/>
    <n v="21"/>
    <n v="1237"/>
    <n v="7.2761194029850748E-2"/>
    <x v="0"/>
  </r>
  <r>
    <x v="1448"/>
    <x v="1448"/>
    <x v="1"/>
    <x v="7"/>
    <x v="2"/>
    <x v="8"/>
    <n v="439220"/>
    <n v="101882"/>
    <n v="93566"/>
    <n v="3377"/>
    <n v="306"/>
    <n v="322"/>
    <n v="419"/>
    <n v="1391"/>
    <n v="4.7282132398520832E-2"/>
    <x v="0"/>
  </r>
  <r>
    <x v="1449"/>
    <x v="1449"/>
    <x v="0"/>
    <x v="0"/>
    <x v="5"/>
    <x v="0"/>
    <n v="590953"/>
    <n v="279495"/>
    <n v="203472"/>
    <n v="16218"/>
    <n v="2349"/>
    <n v="1486"/>
    <n v="1910"/>
    <n v="3492"/>
    <n v="0.1079411417787214"/>
    <x v="0"/>
  </r>
  <r>
    <x v="1450"/>
    <x v="1450"/>
    <x v="2"/>
    <x v="2"/>
    <x v="0"/>
    <x v="3"/>
    <n v="110773"/>
    <n v="14026"/>
    <n v="11230"/>
    <n v="823"/>
    <n v="139"/>
    <n v="118"/>
    <n v="47"/>
    <n v="333"/>
    <n v="0.10035618878005342"/>
    <x v="2"/>
  </r>
  <r>
    <x v="1451"/>
    <x v="1451"/>
    <x v="0"/>
    <x v="6"/>
    <x v="1"/>
    <x v="7"/>
    <n v="527009"/>
    <n v="116163"/>
    <n v="81981"/>
    <n v="7793"/>
    <n v="693"/>
    <n v="701"/>
    <n v="851"/>
    <n v="2220"/>
    <n v="0.12244300508654445"/>
    <x v="1"/>
  </r>
  <r>
    <x v="1452"/>
    <x v="1452"/>
    <x v="3"/>
    <x v="11"/>
    <x v="3"/>
    <x v="9"/>
    <n v="374204"/>
    <n v="173657"/>
    <n v="124742"/>
    <n v="7574"/>
    <n v="1115"/>
    <n v="797"/>
    <n v="44"/>
    <n v="3274"/>
    <n v="7.6397684821471523E-2"/>
    <x v="0"/>
  </r>
  <r>
    <x v="1453"/>
    <x v="1453"/>
    <x v="2"/>
    <x v="5"/>
    <x v="3"/>
    <x v="15"/>
    <n v="496935"/>
    <n v="259280"/>
    <n v="181727"/>
    <n v="6670"/>
    <n v="736"/>
    <n v="500"/>
    <n v="30"/>
    <n v="8755"/>
    <n v="4.3669900455078223E-2"/>
    <x v="2"/>
  </r>
  <r>
    <x v="1454"/>
    <x v="1454"/>
    <x v="2"/>
    <x v="3"/>
    <x v="1"/>
    <x v="5"/>
    <n v="126048"/>
    <n v="18884"/>
    <n v="14873"/>
    <n v="600"/>
    <n v="87"/>
    <n v="73"/>
    <n v="28"/>
    <n v="319"/>
    <n v="5.2981913534592889E-2"/>
    <x v="0"/>
  </r>
  <r>
    <x v="1455"/>
    <x v="1455"/>
    <x v="1"/>
    <x v="1"/>
    <x v="4"/>
    <x v="1"/>
    <n v="363705"/>
    <n v="71619"/>
    <n v="53146"/>
    <n v="1900"/>
    <n v="96"/>
    <n v="267"/>
    <n v="422"/>
    <n v="1622"/>
    <n v="5.0521205735144695E-2"/>
    <x v="2"/>
  </r>
  <r>
    <x v="1456"/>
    <x v="1456"/>
    <x v="3"/>
    <x v="15"/>
    <x v="1"/>
    <x v="14"/>
    <n v="86306"/>
    <n v="12307"/>
    <n v="9734"/>
    <n v="918"/>
    <n v="126"/>
    <n v="86"/>
    <n v="5"/>
    <n v="290"/>
    <n v="0.11660160262995685"/>
    <x v="0"/>
  </r>
  <r>
    <x v="1457"/>
    <x v="1457"/>
    <x v="3"/>
    <x v="4"/>
    <x v="0"/>
    <x v="4"/>
    <n v="233893"/>
    <n v="23092"/>
    <n v="16710"/>
    <n v="946"/>
    <n v="138"/>
    <n v="22"/>
    <n v="25"/>
    <n v="653"/>
    <n v="6.7684021543985631E-2"/>
    <x v="0"/>
  </r>
  <r>
    <x v="1458"/>
    <x v="1458"/>
    <x v="4"/>
    <x v="10"/>
    <x v="0"/>
    <x v="17"/>
    <n v="245375"/>
    <n v="57658"/>
    <n v="52000"/>
    <n v="2603"/>
    <n v="266"/>
    <n v="322"/>
    <n v="628"/>
    <n v="761"/>
    <n v="7.3442307692307696E-2"/>
    <x v="1"/>
  </r>
  <r>
    <x v="1459"/>
    <x v="1459"/>
    <x v="3"/>
    <x v="15"/>
    <x v="2"/>
    <x v="14"/>
    <n v="67591"/>
    <n v="38732"/>
    <n v="32229"/>
    <n v="862"/>
    <n v="154"/>
    <n v="119"/>
    <n v="5"/>
    <n v="314"/>
    <n v="3.5371870054919485E-2"/>
    <x v="0"/>
  </r>
  <r>
    <x v="1460"/>
    <x v="1460"/>
    <x v="3"/>
    <x v="11"/>
    <x v="2"/>
    <x v="9"/>
    <n v="329184"/>
    <n v="199465"/>
    <n v="146230"/>
    <n v="10713"/>
    <n v="1738"/>
    <n v="1402"/>
    <n v="7"/>
    <n v="3416"/>
    <n v="9.4782192436572529E-2"/>
    <x v="0"/>
  </r>
  <r>
    <x v="1461"/>
    <x v="1461"/>
    <x v="3"/>
    <x v="18"/>
    <x v="2"/>
    <x v="9"/>
    <n v="308661"/>
    <n v="192672"/>
    <n v="143372"/>
    <n v="9656"/>
    <n v="1365"/>
    <n v="606"/>
    <n v="35"/>
    <n v="2472"/>
    <n v="8.1340847585302564E-2"/>
    <x v="0"/>
  </r>
  <r>
    <x v="1462"/>
    <x v="1462"/>
    <x v="4"/>
    <x v="20"/>
    <x v="2"/>
    <x v="13"/>
    <n v="595442"/>
    <n v="80275"/>
    <n v="57953"/>
    <n v="6040"/>
    <n v="527"/>
    <n v="183"/>
    <n v="1252"/>
    <n v="639"/>
    <n v="0.13807740755439754"/>
    <x v="1"/>
  </r>
  <r>
    <x v="1463"/>
    <x v="1463"/>
    <x v="1"/>
    <x v="17"/>
    <x v="1"/>
    <x v="1"/>
    <n v="19511"/>
    <n v="4935"/>
    <n v="4180"/>
    <n v="99"/>
    <n v="17"/>
    <n v="8"/>
    <n v="20"/>
    <n v="37"/>
    <n v="3.4449760765550237E-2"/>
    <x v="0"/>
  </r>
  <r>
    <x v="1464"/>
    <x v="1464"/>
    <x v="0"/>
    <x v="23"/>
    <x v="0"/>
    <x v="7"/>
    <n v="733567"/>
    <n v="447313"/>
    <n v="408551"/>
    <n v="21733"/>
    <n v="2314"/>
    <n v="1821"/>
    <n v="2367"/>
    <n v="7989"/>
    <n v="6.9110098861586436E-2"/>
    <x v="1"/>
  </r>
  <r>
    <x v="1465"/>
    <x v="1465"/>
    <x v="4"/>
    <x v="20"/>
    <x v="5"/>
    <x v="12"/>
    <n v="692065"/>
    <n v="103536"/>
    <n v="95224"/>
    <n v="3122"/>
    <n v="394"/>
    <n v="110"/>
    <n v="333"/>
    <n v="666"/>
    <n v="4.1575653196673105E-2"/>
    <x v="1"/>
  </r>
  <r>
    <x v="1466"/>
    <x v="1466"/>
    <x v="4"/>
    <x v="20"/>
    <x v="1"/>
    <x v="13"/>
    <n v="696541"/>
    <n v="82097"/>
    <n v="62042"/>
    <n v="3338"/>
    <n v="183"/>
    <n v="206"/>
    <n v="672"/>
    <n v="1634"/>
    <n v="7.0903581444827696E-2"/>
    <x v="0"/>
  </r>
  <r>
    <x v="1467"/>
    <x v="1467"/>
    <x v="0"/>
    <x v="23"/>
    <x v="3"/>
    <x v="10"/>
    <n v="70662"/>
    <n v="24444"/>
    <n v="20322"/>
    <n v="1388"/>
    <n v="150"/>
    <n v="192"/>
    <n v="169"/>
    <n v="408"/>
    <n v="9.3445527015057567E-2"/>
    <x v="0"/>
  </r>
  <r>
    <x v="1468"/>
    <x v="1468"/>
    <x v="4"/>
    <x v="14"/>
    <x v="2"/>
    <x v="11"/>
    <n v="456204"/>
    <n v="280691"/>
    <n v="209340"/>
    <n v="11745"/>
    <n v="1241"/>
    <n v="1588"/>
    <n v="2587"/>
    <n v="2954"/>
    <n v="8.1976688640489154E-2"/>
    <x v="1"/>
  </r>
  <r>
    <x v="1469"/>
    <x v="1469"/>
    <x v="2"/>
    <x v="5"/>
    <x v="4"/>
    <x v="3"/>
    <n v="427271"/>
    <n v="97257"/>
    <n v="78273"/>
    <n v="5815"/>
    <n v="246"/>
    <n v="765"/>
    <n v="41"/>
    <n v="3173"/>
    <n v="8.7731401632746925E-2"/>
    <x v="0"/>
  </r>
  <r>
    <x v="1470"/>
    <x v="1470"/>
    <x v="3"/>
    <x v="9"/>
    <x v="0"/>
    <x v="4"/>
    <n v="44993"/>
    <n v="16728"/>
    <n v="14683"/>
    <n v="1214"/>
    <n v="37"/>
    <n v="124"/>
    <n v="26"/>
    <n v="288"/>
    <n v="9.5416468024245721E-2"/>
    <x v="0"/>
  </r>
  <r>
    <x v="1471"/>
    <x v="1471"/>
    <x v="4"/>
    <x v="20"/>
    <x v="0"/>
    <x v="17"/>
    <n v="10582"/>
    <n v="1862"/>
    <n v="1598"/>
    <n v="50"/>
    <n v="8"/>
    <n v="5"/>
    <n v="3"/>
    <n v="17"/>
    <n v="4.130162703379224E-2"/>
    <x v="0"/>
  </r>
  <r>
    <x v="1472"/>
    <x v="1472"/>
    <x v="4"/>
    <x v="21"/>
    <x v="5"/>
    <x v="13"/>
    <n v="345113"/>
    <n v="131082"/>
    <n v="120593"/>
    <n v="7270"/>
    <n v="542"/>
    <n v="146"/>
    <n v="497"/>
    <n v="3511"/>
    <n v="7.0111863872695759E-2"/>
    <x v="0"/>
  </r>
  <r>
    <x v="1473"/>
    <x v="1473"/>
    <x v="1"/>
    <x v="24"/>
    <x v="2"/>
    <x v="6"/>
    <n v="260737"/>
    <n v="25273"/>
    <n v="19439"/>
    <n v="988"/>
    <n v="145"/>
    <n v="76"/>
    <n v="78"/>
    <n v="707"/>
    <n v="6.6207109419208807E-2"/>
    <x v="0"/>
  </r>
  <r>
    <x v="1474"/>
    <x v="1474"/>
    <x v="2"/>
    <x v="3"/>
    <x v="2"/>
    <x v="3"/>
    <n v="515646"/>
    <n v="53283"/>
    <n v="42741"/>
    <n v="1833"/>
    <n v="90"/>
    <n v="165"/>
    <n v="4"/>
    <n v="304"/>
    <n v="4.8945976930815843E-2"/>
    <x v="0"/>
  </r>
  <r>
    <x v="1475"/>
    <x v="1475"/>
    <x v="0"/>
    <x v="0"/>
    <x v="5"/>
    <x v="0"/>
    <n v="645554"/>
    <n v="330950"/>
    <n v="287153"/>
    <n v="21729"/>
    <n v="963"/>
    <n v="2287"/>
    <n v="2337"/>
    <n v="7171"/>
    <n v="9.5126988051665834E-2"/>
    <x v="1"/>
  </r>
  <r>
    <x v="1476"/>
    <x v="1476"/>
    <x v="1"/>
    <x v="7"/>
    <x v="2"/>
    <x v="16"/>
    <n v="91631"/>
    <n v="42540"/>
    <n v="31867"/>
    <n v="1834"/>
    <n v="262"/>
    <n v="155"/>
    <n v="426"/>
    <n v="1032"/>
    <n v="8.4005397433081247E-2"/>
    <x v="2"/>
  </r>
  <r>
    <x v="1477"/>
    <x v="1477"/>
    <x v="3"/>
    <x v="11"/>
    <x v="4"/>
    <x v="9"/>
    <n v="104575"/>
    <n v="47746"/>
    <n v="42927"/>
    <n v="2228"/>
    <n v="378"/>
    <n v="306"/>
    <n v="46"/>
    <n v="815"/>
    <n v="6.8907680480816275E-2"/>
    <x v="0"/>
  </r>
  <r>
    <x v="1478"/>
    <x v="1478"/>
    <x v="0"/>
    <x v="6"/>
    <x v="5"/>
    <x v="10"/>
    <n v="602458"/>
    <n v="311982"/>
    <n v="270520"/>
    <n v="9732"/>
    <n v="1598"/>
    <n v="195"/>
    <n v="1302"/>
    <n v="10589"/>
    <n v="4.741608753511755E-2"/>
    <x v="0"/>
  </r>
  <r>
    <x v="1479"/>
    <x v="1479"/>
    <x v="1"/>
    <x v="7"/>
    <x v="1"/>
    <x v="8"/>
    <n v="17990"/>
    <n v="8903"/>
    <n v="6881"/>
    <n v="423"/>
    <n v="27"/>
    <n v="50"/>
    <n v="52"/>
    <n v="283"/>
    <n v="8.0220898125272486E-2"/>
    <x v="0"/>
  </r>
  <r>
    <x v="1480"/>
    <x v="1480"/>
    <x v="4"/>
    <x v="12"/>
    <x v="3"/>
    <x v="12"/>
    <n v="315857"/>
    <n v="124620"/>
    <n v="97041"/>
    <n v="7240"/>
    <n v="773"/>
    <n v="327"/>
    <n v="1408"/>
    <n v="2925"/>
    <n v="0.10045238610484228"/>
    <x v="0"/>
  </r>
  <r>
    <x v="1481"/>
    <x v="1481"/>
    <x v="0"/>
    <x v="6"/>
    <x v="3"/>
    <x v="0"/>
    <n v="341303"/>
    <n v="185193"/>
    <n v="141123"/>
    <n v="5750"/>
    <n v="814"/>
    <n v="788"/>
    <n v="487"/>
    <n v="2600"/>
    <n v="5.5547288535532834E-2"/>
    <x v="0"/>
  </r>
  <r>
    <x v="1482"/>
    <x v="1482"/>
    <x v="1"/>
    <x v="24"/>
    <x v="2"/>
    <x v="1"/>
    <n v="361121"/>
    <n v="208608"/>
    <n v="150982"/>
    <n v="10863"/>
    <n v="839"/>
    <n v="615"/>
    <n v="2621"/>
    <n v="6851"/>
    <n v="9.893894636446729E-2"/>
    <x v="0"/>
  </r>
  <r>
    <x v="1483"/>
    <x v="1483"/>
    <x v="2"/>
    <x v="19"/>
    <x v="0"/>
    <x v="3"/>
    <n v="175035"/>
    <n v="20132"/>
    <n v="15035"/>
    <n v="1196"/>
    <n v="147"/>
    <n v="76"/>
    <n v="38"/>
    <n v="276"/>
    <n v="9.6907216494845363E-2"/>
    <x v="0"/>
  </r>
  <r>
    <x v="1484"/>
    <x v="1484"/>
    <x v="3"/>
    <x v="4"/>
    <x v="1"/>
    <x v="4"/>
    <n v="239855"/>
    <n v="21957"/>
    <n v="16045"/>
    <n v="1012"/>
    <n v="58"/>
    <n v="136"/>
    <n v="39"/>
    <n v="505"/>
    <n v="7.7594266126519165E-2"/>
    <x v="0"/>
  </r>
  <r>
    <x v="1485"/>
    <x v="1485"/>
    <x v="3"/>
    <x v="4"/>
    <x v="0"/>
    <x v="9"/>
    <n v="319207"/>
    <n v="109962"/>
    <n v="81251"/>
    <n v="2985"/>
    <n v="396"/>
    <n v="288"/>
    <n v="25"/>
    <n v="1811"/>
    <n v="4.5464055827005204E-2"/>
    <x v="0"/>
  </r>
  <r>
    <x v="1486"/>
    <x v="1486"/>
    <x v="1"/>
    <x v="24"/>
    <x v="2"/>
    <x v="16"/>
    <n v="129493"/>
    <n v="53639"/>
    <n v="38080"/>
    <n v="2783"/>
    <n v="474"/>
    <n v="185"/>
    <n v="242"/>
    <n v="340"/>
    <n v="9.67436974789916E-2"/>
    <x v="0"/>
  </r>
  <r>
    <x v="1487"/>
    <x v="1487"/>
    <x v="1"/>
    <x v="8"/>
    <x v="0"/>
    <x v="1"/>
    <n v="651563"/>
    <n v="276517"/>
    <n v="230287"/>
    <n v="5564"/>
    <n v="706"/>
    <n v="244"/>
    <n v="925"/>
    <n v="4216"/>
    <n v="3.2303169523247077E-2"/>
    <x v="0"/>
  </r>
  <r>
    <x v="1488"/>
    <x v="1488"/>
    <x v="2"/>
    <x v="3"/>
    <x v="4"/>
    <x v="2"/>
    <n v="69598"/>
    <n v="20185"/>
    <n v="15502"/>
    <n v="1284"/>
    <n v="150"/>
    <n v="129"/>
    <n v="9"/>
    <n v="238"/>
    <n v="0.10140627015868921"/>
    <x v="0"/>
  </r>
  <r>
    <x v="1489"/>
    <x v="1489"/>
    <x v="1"/>
    <x v="8"/>
    <x v="4"/>
    <x v="16"/>
    <n v="89368"/>
    <n v="40305"/>
    <n v="32340"/>
    <n v="2696"/>
    <n v="391"/>
    <n v="153"/>
    <n v="337"/>
    <n v="734"/>
    <n v="0.11060606060606061"/>
    <x v="0"/>
  </r>
  <r>
    <x v="1490"/>
    <x v="1490"/>
    <x v="4"/>
    <x v="21"/>
    <x v="5"/>
    <x v="11"/>
    <n v="207823"/>
    <n v="99464"/>
    <n v="89756"/>
    <n v="5988"/>
    <n v="1054"/>
    <n v="452"/>
    <n v="803"/>
    <n v="1774"/>
    <n v="9.2439502651633323E-2"/>
    <x v="0"/>
  </r>
  <r>
    <x v="1491"/>
    <x v="1491"/>
    <x v="2"/>
    <x v="19"/>
    <x v="0"/>
    <x v="15"/>
    <n v="824325"/>
    <n v="326145"/>
    <n v="278548"/>
    <n v="12807"/>
    <n v="1435"/>
    <n v="933"/>
    <n v="4"/>
    <n v="9430"/>
    <n v="5.4493300975056363E-2"/>
    <x v="1"/>
  </r>
  <r>
    <x v="1492"/>
    <x v="1492"/>
    <x v="4"/>
    <x v="20"/>
    <x v="3"/>
    <x v="13"/>
    <n v="27708"/>
    <n v="15260"/>
    <n v="12117"/>
    <n v="612"/>
    <n v="30"/>
    <n v="28"/>
    <n v="90"/>
    <n v="323"/>
    <n v="6.2721795824048854E-2"/>
    <x v="0"/>
  </r>
  <r>
    <x v="1493"/>
    <x v="1493"/>
    <x v="3"/>
    <x v="15"/>
    <x v="4"/>
    <x v="14"/>
    <n v="387992"/>
    <n v="232647"/>
    <n v="167107"/>
    <n v="16459"/>
    <n v="1990"/>
    <n v="741"/>
    <n v="2"/>
    <n v="1365"/>
    <n v="0.1148485700778543"/>
    <x v="1"/>
  </r>
  <r>
    <x v="1494"/>
    <x v="1494"/>
    <x v="1"/>
    <x v="7"/>
    <x v="1"/>
    <x v="16"/>
    <n v="257607"/>
    <n v="31349"/>
    <n v="23735"/>
    <n v="1275"/>
    <n v="164"/>
    <n v="108"/>
    <n v="160"/>
    <n v="732"/>
    <n v="7.1919106804297445E-2"/>
    <x v="0"/>
  </r>
  <r>
    <x v="1495"/>
    <x v="1495"/>
    <x v="4"/>
    <x v="20"/>
    <x v="4"/>
    <x v="17"/>
    <n v="842878"/>
    <n v="265724"/>
    <n v="190191"/>
    <n v="21025"/>
    <n v="3454"/>
    <n v="2933"/>
    <n v="1637"/>
    <n v="2079"/>
    <n v="0.15273593387699733"/>
    <x v="1"/>
  </r>
  <r>
    <x v="1496"/>
    <x v="1496"/>
    <x v="0"/>
    <x v="0"/>
    <x v="4"/>
    <x v="7"/>
    <n v="414505"/>
    <n v="135011"/>
    <n v="120551"/>
    <n v="9759"/>
    <n v="832"/>
    <n v="1217"/>
    <n v="1440"/>
    <n v="4698"/>
    <n v="0.10989539696891772"/>
    <x v="0"/>
  </r>
  <r>
    <x v="1497"/>
    <x v="1497"/>
    <x v="1"/>
    <x v="1"/>
    <x v="5"/>
    <x v="8"/>
    <n v="331768"/>
    <n v="99518"/>
    <n v="91062"/>
    <n v="3543"/>
    <n v="340"/>
    <n v="206"/>
    <n v="478"/>
    <n v="989"/>
    <n v="5.015264325404669E-2"/>
    <x v="1"/>
  </r>
  <r>
    <x v="1498"/>
    <x v="1498"/>
    <x v="4"/>
    <x v="10"/>
    <x v="5"/>
    <x v="13"/>
    <n v="658357"/>
    <n v="54850"/>
    <n v="45376"/>
    <n v="4291"/>
    <n v="398"/>
    <n v="299"/>
    <n v="1011"/>
    <n v="1687"/>
    <n v="0.13220645275035262"/>
    <x v="0"/>
  </r>
  <r>
    <x v="1499"/>
    <x v="1499"/>
    <x v="1"/>
    <x v="1"/>
    <x v="3"/>
    <x v="8"/>
    <n v="190533"/>
    <n v="40375"/>
    <n v="34499"/>
    <n v="2294"/>
    <n v="269"/>
    <n v="110"/>
    <n v="428"/>
    <n v="528"/>
    <n v="8.9886663381547285E-2"/>
    <x v="0"/>
  </r>
  <r>
    <x v="1500"/>
    <x v="1500"/>
    <x v="2"/>
    <x v="3"/>
    <x v="2"/>
    <x v="5"/>
    <n v="157001"/>
    <n v="38754"/>
    <n v="31062"/>
    <n v="3063"/>
    <n v="408"/>
    <n v="401"/>
    <n v="42"/>
    <n v="1042"/>
    <n v="0.12600605241130641"/>
    <x v="0"/>
  </r>
  <r>
    <x v="1501"/>
    <x v="1501"/>
    <x v="2"/>
    <x v="5"/>
    <x v="5"/>
    <x v="15"/>
    <n v="547499"/>
    <n v="248345"/>
    <n v="175165"/>
    <n v="8396"/>
    <n v="1021"/>
    <n v="314"/>
    <n v="18"/>
    <n v="4615"/>
    <n v="5.5656095681214858E-2"/>
    <x v="1"/>
  </r>
  <r>
    <x v="1502"/>
    <x v="1502"/>
    <x v="1"/>
    <x v="17"/>
    <x v="1"/>
    <x v="1"/>
    <n v="334538"/>
    <n v="202677"/>
    <n v="159718"/>
    <n v="12928"/>
    <n v="410"/>
    <n v="589"/>
    <n v="2275"/>
    <n v="5092"/>
    <n v="0.10144129027410811"/>
    <x v="1"/>
  </r>
  <r>
    <x v="1503"/>
    <x v="1503"/>
    <x v="4"/>
    <x v="10"/>
    <x v="2"/>
    <x v="17"/>
    <n v="834833"/>
    <n v="79666"/>
    <n v="71388"/>
    <n v="5035"/>
    <n v="542"/>
    <n v="430"/>
    <n v="522"/>
    <n v="1324"/>
    <n v="9.145794811452905E-2"/>
    <x v="0"/>
  </r>
  <r>
    <x v="1504"/>
    <x v="1504"/>
    <x v="1"/>
    <x v="1"/>
    <x v="3"/>
    <x v="8"/>
    <n v="26555"/>
    <n v="9836"/>
    <n v="8054"/>
    <n v="436"/>
    <n v="60"/>
    <n v="44"/>
    <n v="82"/>
    <n v="161"/>
    <n v="7.7228706232927741E-2"/>
    <x v="1"/>
  </r>
  <r>
    <x v="1505"/>
    <x v="1505"/>
    <x v="0"/>
    <x v="6"/>
    <x v="1"/>
    <x v="0"/>
    <n v="27693"/>
    <n v="8063"/>
    <n v="6140"/>
    <n v="507"/>
    <n v="19"/>
    <n v="67"/>
    <n v="40"/>
    <n v="190"/>
    <n v="0.10309446254071661"/>
    <x v="1"/>
  </r>
  <r>
    <x v="1506"/>
    <x v="1506"/>
    <x v="0"/>
    <x v="22"/>
    <x v="4"/>
    <x v="0"/>
    <n v="83707"/>
    <n v="22527"/>
    <n v="16312"/>
    <n v="916"/>
    <n v="151"/>
    <n v="103"/>
    <n v="209"/>
    <n v="546"/>
    <n v="8.4538989700833747E-2"/>
    <x v="0"/>
  </r>
  <r>
    <x v="1507"/>
    <x v="1507"/>
    <x v="3"/>
    <x v="18"/>
    <x v="4"/>
    <x v="14"/>
    <n v="773515"/>
    <n v="2048858"/>
    <n v="1461809"/>
    <n v="48529"/>
    <n v="3217"/>
    <n v="3169"/>
    <n v="24"/>
    <n v="65171"/>
    <n v="3.7582885315386623E-2"/>
    <x v="0"/>
  </r>
  <r>
    <x v="1508"/>
    <x v="1508"/>
    <x v="1"/>
    <x v="7"/>
    <x v="4"/>
    <x v="6"/>
    <n v="290271"/>
    <n v="59165"/>
    <n v="47378"/>
    <n v="2433"/>
    <n v="91"/>
    <n v="61"/>
    <n v="432"/>
    <n v="478"/>
    <n v="6.3679344843598301E-2"/>
    <x v="0"/>
  </r>
  <r>
    <x v="1509"/>
    <x v="1509"/>
    <x v="4"/>
    <x v="20"/>
    <x v="3"/>
    <x v="11"/>
    <n v="40344"/>
    <n v="24548"/>
    <n v="18019"/>
    <n v="1172"/>
    <n v="195"/>
    <n v="39"/>
    <n v="268"/>
    <n v="510"/>
    <n v="9.2901936844441979E-2"/>
    <x v="0"/>
  </r>
  <r>
    <x v="1510"/>
    <x v="1510"/>
    <x v="4"/>
    <x v="20"/>
    <x v="2"/>
    <x v="12"/>
    <n v="386083"/>
    <n v="116550"/>
    <n v="94850"/>
    <n v="5284"/>
    <n v="226"/>
    <n v="498"/>
    <n v="1137"/>
    <n v="1930"/>
    <n v="7.5329467580390094E-2"/>
    <x v="0"/>
  </r>
  <r>
    <x v="1511"/>
    <x v="1511"/>
    <x v="1"/>
    <x v="8"/>
    <x v="3"/>
    <x v="6"/>
    <n v="502136"/>
    <n v="246080"/>
    <n v="190275"/>
    <n v="19376"/>
    <n v="1184"/>
    <n v="865"/>
    <n v="2350"/>
    <n v="5210"/>
    <n v="0.12495072920772567"/>
    <x v="0"/>
  </r>
  <r>
    <x v="1512"/>
    <x v="1512"/>
    <x v="1"/>
    <x v="7"/>
    <x v="5"/>
    <x v="16"/>
    <n v="384963"/>
    <n v="247458"/>
    <n v="208941"/>
    <n v="16388"/>
    <n v="1743"/>
    <n v="929"/>
    <n v="2090"/>
    <n v="6132"/>
    <n v="0.10122474765603687"/>
    <x v="0"/>
  </r>
  <r>
    <x v="1513"/>
    <x v="1513"/>
    <x v="3"/>
    <x v="11"/>
    <x v="2"/>
    <x v="14"/>
    <n v="348793"/>
    <n v="81122"/>
    <n v="64419"/>
    <n v="3982"/>
    <n v="638"/>
    <n v="81"/>
    <n v="49"/>
    <n v="898"/>
    <n v="7.373600956239619E-2"/>
    <x v="0"/>
  </r>
  <r>
    <x v="1514"/>
    <x v="1514"/>
    <x v="2"/>
    <x v="5"/>
    <x v="3"/>
    <x v="2"/>
    <n v="453385"/>
    <n v="245887"/>
    <n v="185917"/>
    <n v="5945"/>
    <n v="509"/>
    <n v="689"/>
    <n v="3"/>
    <n v="2443"/>
    <n v="3.843650661316609E-2"/>
    <x v="0"/>
  </r>
  <r>
    <x v="1515"/>
    <x v="1515"/>
    <x v="4"/>
    <x v="12"/>
    <x v="2"/>
    <x v="13"/>
    <n v="202194"/>
    <n v="17057"/>
    <n v="15406"/>
    <n v="469"/>
    <n v="64"/>
    <n v="9"/>
    <n v="66"/>
    <n v="509"/>
    <n v="3.946514345060366E-2"/>
    <x v="0"/>
  </r>
  <r>
    <x v="1516"/>
    <x v="1516"/>
    <x v="2"/>
    <x v="16"/>
    <x v="3"/>
    <x v="15"/>
    <n v="129241"/>
    <n v="47265"/>
    <n v="36402"/>
    <n v="2911"/>
    <n v="297"/>
    <n v="248"/>
    <n v="24"/>
    <n v="517"/>
    <n v="9.5599142904236031E-2"/>
    <x v="1"/>
  </r>
  <r>
    <x v="1517"/>
    <x v="1517"/>
    <x v="4"/>
    <x v="12"/>
    <x v="2"/>
    <x v="12"/>
    <n v="150932"/>
    <n v="36047"/>
    <n v="27573"/>
    <n v="1348"/>
    <n v="84"/>
    <n v="145"/>
    <n v="81"/>
    <n v="979"/>
    <n v="6.0131287854060134E-2"/>
    <x v="0"/>
  </r>
  <r>
    <x v="1518"/>
    <x v="1518"/>
    <x v="2"/>
    <x v="19"/>
    <x v="1"/>
    <x v="2"/>
    <n v="128653"/>
    <n v="53012"/>
    <n v="38371"/>
    <n v="2220"/>
    <n v="269"/>
    <n v="145"/>
    <n v="25"/>
    <n v="905"/>
    <n v="6.9297125433269921E-2"/>
    <x v="0"/>
  </r>
  <r>
    <x v="1519"/>
    <x v="1519"/>
    <x v="2"/>
    <x v="2"/>
    <x v="0"/>
    <x v="5"/>
    <n v="304041"/>
    <n v="27109"/>
    <n v="23231"/>
    <n v="789"/>
    <n v="134"/>
    <n v="101"/>
    <n v="8"/>
    <n v="937"/>
    <n v="4.4423399767551976E-2"/>
    <x v="0"/>
  </r>
  <r>
    <x v="1520"/>
    <x v="1520"/>
    <x v="2"/>
    <x v="2"/>
    <x v="0"/>
    <x v="5"/>
    <n v="135862"/>
    <n v="55742"/>
    <n v="42187"/>
    <n v="4406"/>
    <n v="597"/>
    <n v="350"/>
    <n v="23"/>
    <n v="1438"/>
    <n v="0.12743262142366132"/>
    <x v="0"/>
  </r>
  <r>
    <x v="1521"/>
    <x v="1521"/>
    <x v="4"/>
    <x v="14"/>
    <x v="3"/>
    <x v="12"/>
    <n v="89129"/>
    <n v="23832"/>
    <n v="20363"/>
    <n v="539"/>
    <n v="48"/>
    <n v="68"/>
    <n v="43"/>
    <n v="125"/>
    <n v="3.4277856897313753E-2"/>
    <x v="0"/>
  </r>
  <r>
    <x v="1522"/>
    <x v="1522"/>
    <x v="3"/>
    <x v="4"/>
    <x v="4"/>
    <x v="4"/>
    <n v="493995"/>
    <n v="207867"/>
    <n v="187511"/>
    <n v="6693"/>
    <n v="520"/>
    <n v="575"/>
    <n v="45"/>
    <n v="2330"/>
    <n v="4.177354928510861E-2"/>
    <x v="0"/>
  </r>
  <r>
    <x v="1523"/>
    <x v="1523"/>
    <x v="0"/>
    <x v="13"/>
    <x v="3"/>
    <x v="7"/>
    <n v="600329"/>
    <n v="134308"/>
    <n v="122685"/>
    <n v="8414"/>
    <n v="1418"/>
    <n v="1245"/>
    <n v="1072"/>
    <n v="1814"/>
    <n v="9.9025960793903078E-2"/>
    <x v="1"/>
  </r>
  <r>
    <x v="1524"/>
    <x v="1524"/>
    <x v="1"/>
    <x v="17"/>
    <x v="3"/>
    <x v="16"/>
    <n v="691833"/>
    <n v="199230"/>
    <n v="162184"/>
    <n v="7694"/>
    <n v="852"/>
    <n v="417"/>
    <n v="1752"/>
    <n v="6385"/>
    <n v="6.6066936319242348E-2"/>
    <x v="2"/>
  </r>
  <r>
    <x v="1525"/>
    <x v="1525"/>
    <x v="4"/>
    <x v="10"/>
    <x v="2"/>
    <x v="17"/>
    <n v="24301"/>
    <n v="11142"/>
    <n v="8545"/>
    <n v="721"/>
    <n v="107"/>
    <n v="44"/>
    <n v="121"/>
    <n v="242"/>
    <n v="0.11620830895260387"/>
    <x v="0"/>
  </r>
  <r>
    <x v="1526"/>
    <x v="1526"/>
    <x v="4"/>
    <x v="20"/>
    <x v="4"/>
    <x v="17"/>
    <n v="767575"/>
    <n v="343589"/>
    <n v="255490"/>
    <n v="11705"/>
    <n v="1928"/>
    <n v="1519"/>
    <n v="2714"/>
    <n v="5649"/>
    <n v="6.9928372930447374E-2"/>
    <x v="1"/>
  </r>
  <r>
    <x v="1527"/>
    <x v="1527"/>
    <x v="4"/>
    <x v="10"/>
    <x v="2"/>
    <x v="12"/>
    <n v="620460"/>
    <n v="339906"/>
    <n v="255492"/>
    <n v="18077"/>
    <n v="1955"/>
    <n v="2070"/>
    <n v="3830"/>
    <n v="4857"/>
    <n v="0.10149828566060777"/>
    <x v="1"/>
  </r>
  <r>
    <x v="1528"/>
    <x v="1528"/>
    <x v="1"/>
    <x v="24"/>
    <x v="4"/>
    <x v="1"/>
    <n v="70100"/>
    <n v="40801"/>
    <n v="35346"/>
    <n v="2346"/>
    <n v="88"/>
    <n v="272"/>
    <n v="140"/>
    <n v="525"/>
    <n v="8.0518304758671416E-2"/>
    <x v="0"/>
  </r>
  <r>
    <x v="1529"/>
    <x v="1529"/>
    <x v="1"/>
    <x v="1"/>
    <x v="3"/>
    <x v="16"/>
    <n v="562218"/>
    <n v="52903"/>
    <n v="46468"/>
    <n v="1503"/>
    <n v="76"/>
    <n v="154"/>
    <n v="231"/>
    <n v="818"/>
    <n v="4.226564517517431E-2"/>
    <x v="2"/>
  </r>
  <r>
    <x v="1530"/>
    <x v="1530"/>
    <x v="2"/>
    <x v="3"/>
    <x v="3"/>
    <x v="15"/>
    <n v="366861"/>
    <n v="75413"/>
    <n v="67109"/>
    <n v="1907"/>
    <n v="337"/>
    <n v="206"/>
    <n v="13"/>
    <n v="1902"/>
    <n v="3.6701485642760288E-2"/>
    <x v="1"/>
  </r>
  <r>
    <x v="1531"/>
    <x v="1531"/>
    <x v="1"/>
    <x v="7"/>
    <x v="3"/>
    <x v="1"/>
    <n v="148784"/>
    <n v="61474"/>
    <n v="53134"/>
    <n v="1745"/>
    <n v="162"/>
    <n v="87"/>
    <n v="435"/>
    <n v="1660"/>
    <n v="4.5714608348703278E-2"/>
    <x v="0"/>
  </r>
  <r>
    <x v="1532"/>
    <x v="1532"/>
    <x v="2"/>
    <x v="16"/>
    <x v="3"/>
    <x v="15"/>
    <n v="536316"/>
    <n v="164613"/>
    <n v="139065"/>
    <n v="8652"/>
    <n v="1503"/>
    <n v="633"/>
    <n v="15"/>
    <n v="2958"/>
    <n v="7.7683097831949086E-2"/>
    <x v="0"/>
  </r>
  <r>
    <x v="1533"/>
    <x v="1533"/>
    <x v="4"/>
    <x v="20"/>
    <x v="4"/>
    <x v="17"/>
    <n v="484729"/>
    <n v="86272"/>
    <n v="63884"/>
    <n v="3962"/>
    <n v="382"/>
    <n v="507"/>
    <n v="606"/>
    <n v="1906"/>
    <n v="8.542044956483627E-2"/>
    <x v="1"/>
  </r>
  <r>
    <x v="1534"/>
    <x v="1534"/>
    <x v="2"/>
    <x v="3"/>
    <x v="0"/>
    <x v="5"/>
    <n v="579528"/>
    <n v="245296"/>
    <n v="200728"/>
    <n v="13871"/>
    <n v="1381"/>
    <n v="1324"/>
    <n v="15"/>
    <n v="7175"/>
    <n v="8.2654138934279225E-2"/>
    <x v="0"/>
  </r>
  <r>
    <x v="1535"/>
    <x v="1535"/>
    <x v="3"/>
    <x v="9"/>
    <x v="3"/>
    <x v="4"/>
    <n v="162191"/>
    <n v="103069"/>
    <n v="80768"/>
    <n v="2215"/>
    <n v="345"/>
    <n v="306"/>
    <n v="23"/>
    <n v="3482"/>
    <n v="3.5769116481774964E-2"/>
    <x v="0"/>
  </r>
  <r>
    <x v="1536"/>
    <x v="1536"/>
    <x v="0"/>
    <x v="22"/>
    <x v="3"/>
    <x v="0"/>
    <n v="821132"/>
    <n v="291684"/>
    <n v="216273"/>
    <n v="7058"/>
    <n v="1083"/>
    <n v="682"/>
    <n v="1692"/>
    <n v="4542"/>
    <n v="4.8619106407179813E-2"/>
    <x v="0"/>
  </r>
  <r>
    <x v="1537"/>
    <x v="1537"/>
    <x v="2"/>
    <x v="19"/>
    <x v="4"/>
    <x v="15"/>
    <n v="325849"/>
    <n v="33381"/>
    <n v="26018"/>
    <n v="754"/>
    <n v="103"/>
    <n v="33"/>
    <n v="17"/>
    <n v="762"/>
    <n v="3.4860481205319392E-2"/>
    <x v="1"/>
  </r>
  <r>
    <x v="1538"/>
    <x v="1538"/>
    <x v="2"/>
    <x v="3"/>
    <x v="4"/>
    <x v="2"/>
    <n v="54708"/>
    <n v="24413"/>
    <n v="17847"/>
    <n v="775"/>
    <n v="37"/>
    <n v="89"/>
    <n v="9"/>
    <n v="371"/>
    <n v="5.0988961730262787E-2"/>
    <x v="0"/>
  </r>
  <r>
    <x v="1539"/>
    <x v="1539"/>
    <x v="4"/>
    <x v="20"/>
    <x v="5"/>
    <x v="17"/>
    <n v="601887"/>
    <n v="56027"/>
    <n v="47146"/>
    <n v="2279"/>
    <n v="408"/>
    <n v="93"/>
    <n v="501"/>
    <n v="966"/>
    <n v="6.9592330208289144E-2"/>
    <x v="0"/>
  </r>
  <r>
    <x v="1540"/>
    <x v="1540"/>
    <x v="2"/>
    <x v="5"/>
    <x v="2"/>
    <x v="15"/>
    <n v="822967"/>
    <n v="365557"/>
    <n v="331520"/>
    <n v="25129"/>
    <n v="3714"/>
    <n v="3458"/>
    <n v="41"/>
    <n v="9620"/>
    <n v="9.7556708494208499E-2"/>
    <x v="0"/>
  </r>
  <r>
    <x v="1541"/>
    <x v="1541"/>
    <x v="1"/>
    <x v="1"/>
    <x v="4"/>
    <x v="1"/>
    <n v="28591"/>
    <n v="7610"/>
    <n v="6482"/>
    <n v="520"/>
    <n v="75"/>
    <n v="31"/>
    <n v="124"/>
    <n v="257"/>
    <n v="0.11570502931194077"/>
    <x v="0"/>
  </r>
  <r>
    <x v="1542"/>
    <x v="1542"/>
    <x v="2"/>
    <x v="3"/>
    <x v="2"/>
    <x v="2"/>
    <n v="571614"/>
    <n v="302796"/>
    <n v="254986"/>
    <n v="10655"/>
    <n v="915"/>
    <n v="565"/>
    <n v="46"/>
    <n v="2109"/>
    <n v="4.7771250186284739E-2"/>
    <x v="0"/>
  </r>
  <r>
    <x v="1543"/>
    <x v="1543"/>
    <x v="2"/>
    <x v="3"/>
    <x v="1"/>
    <x v="5"/>
    <n v="701121"/>
    <n v="163060"/>
    <n v="142358"/>
    <n v="8755"/>
    <n v="1386"/>
    <n v="927"/>
    <n v="22"/>
    <n v="4019"/>
    <n v="7.7902190252743087E-2"/>
    <x v="2"/>
  </r>
  <r>
    <x v="1544"/>
    <x v="1544"/>
    <x v="2"/>
    <x v="5"/>
    <x v="3"/>
    <x v="2"/>
    <n v="316772"/>
    <n v="68737"/>
    <n v="61131"/>
    <n v="4721"/>
    <n v="476"/>
    <n v="416"/>
    <n v="0"/>
    <n v="2249"/>
    <n v="9.1819207930509891E-2"/>
    <x v="2"/>
  </r>
  <r>
    <x v="1545"/>
    <x v="1545"/>
    <x v="2"/>
    <x v="2"/>
    <x v="1"/>
    <x v="5"/>
    <n v="691296"/>
    <n v="154531"/>
    <n v="137792"/>
    <n v="9847"/>
    <n v="1767"/>
    <n v="1080"/>
    <n v="34"/>
    <n v="919"/>
    <n v="9.2371110078959595E-2"/>
    <x v="0"/>
  </r>
  <r>
    <x v="1546"/>
    <x v="1546"/>
    <x v="4"/>
    <x v="14"/>
    <x v="4"/>
    <x v="12"/>
    <n v="627326"/>
    <n v="146424"/>
    <n v="107817"/>
    <n v="10156"/>
    <n v="382"/>
    <n v="463"/>
    <n v="857"/>
    <n v="5062"/>
    <n v="0.10998265579639574"/>
    <x v="1"/>
  </r>
  <r>
    <x v="1547"/>
    <x v="1547"/>
    <x v="2"/>
    <x v="16"/>
    <x v="0"/>
    <x v="2"/>
    <n v="151270"/>
    <n v="62998"/>
    <n v="52898"/>
    <n v="4745"/>
    <n v="617"/>
    <n v="692"/>
    <n v="0"/>
    <n v="771"/>
    <n v="0.11444667095164278"/>
    <x v="2"/>
  </r>
  <r>
    <x v="1548"/>
    <x v="1548"/>
    <x v="3"/>
    <x v="15"/>
    <x v="2"/>
    <x v="4"/>
    <n v="42819"/>
    <n v="20244"/>
    <n v="14192"/>
    <n v="1610"/>
    <n v="53"/>
    <n v="70"/>
    <n v="35"/>
    <n v="158"/>
    <n v="0.1245772266065389"/>
    <x v="0"/>
  </r>
  <r>
    <x v="1549"/>
    <x v="1549"/>
    <x v="2"/>
    <x v="2"/>
    <x v="5"/>
    <x v="5"/>
    <n v="237168"/>
    <n v="102848"/>
    <n v="79474"/>
    <n v="2542"/>
    <n v="351"/>
    <n v="350"/>
    <n v="7"/>
    <n v="953"/>
    <n v="4.0893877242871884E-2"/>
    <x v="1"/>
  </r>
  <r>
    <x v="1550"/>
    <x v="1550"/>
    <x v="1"/>
    <x v="1"/>
    <x v="5"/>
    <x v="16"/>
    <n v="485598"/>
    <n v="80086"/>
    <n v="70868"/>
    <n v="3429"/>
    <n v="197"/>
    <n v="366"/>
    <n v="247"/>
    <n v="523"/>
    <n v="5.9815431506462721E-2"/>
    <x v="0"/>
  </r>
  <r>
    <x v="1551"/>
    <x v="1551"/>
    <x v="0"/>
    <x v="23"/>
    <x v="5"/>
    <x v="7"/>
    <n v="86645"/>
    <n v="44298"/>
    <n v="38787"/>
    <n v="3075"/>
    <n v="380"/>
    <n v="295"/>
    <n v="353"/>
    <n v="325"/>
    <n v="0.10578286539304406"/>
    <x v="1"/>
  </r>
  <r>
    <x v="1552"/>
    <x v="1552"/>
    <x v="0"/>
    <x v="0"/>
    <x v="4"/>
    <x v="7"/>
    <n v="734969"/>
    <n v="3632150"/>
    <n v="2921190"/>
    <n v="191156"/>
    <n v="8821"/>
    <n v="15145"/>
    <n v="19018"/>
    <n v="45421"/>
    <n v="8.0152266713223036E-2"/>
    <x v="0"/>
  </r>
  <r>
    <x v="1553"/>
    <x v="1553"/>
    <x v="0"/>
    <x v="6"/>
    <x v="5"/>
    <x v="7"/>
    <n v="756574"/>
    <n v="435490"/>
    <n v="377757"/>
    <n v="15433"/>
    <n v="697"/>
    <n v="1819"/>
    <n v="860"/>
    <n v="5542"/>
    <n v="4.9791267931500939E-2"/>
    <x v="0"/>
  </r>
  <r>
    <x v="1554"/>
    <x v="1554"/>
    <x v="1"/>
    <x v="17"/>
    <x v="1"/>
    <x v="6"/>
    <n v="446987"/>
    <n v="57118"/>
    <n v="43004"/>
    <n v="3850"/>
    <n v="251"/>
    <n v="386"/>
    <n v="451"/>
    <n v="411"/>
    <n v="0.11482652776485908"/>
    <x v="1"/>
  </r>
  <r>
    <x v="1555"/>
    <x v="1555"/>
    <x v="0"/>
    <x v="13"/>
    <x v="1"/>
    <x v="10"/>
    <n v="152277"/>
    <n v="23035"/>
    <n v="19691"/>
    <n v="1039"/>
    <n v="66"/>
    <n v="129"/>
    <n v="248"/>
    <n v="773"/>
    <n v="7.5262810421004522E-2"/>
    <x v="0"/>
  </r>
  <r>
    <x v="1556"/>
    <x v="1556"/>
    <x v="3"/>
    <x v="18"/>
    <x v="1"/>
    <x v="9"/>
    <n v="326065"/>
    <n v="184102"/>
    <n v="155504"/>
    <n v="10864"/>
    <n v="419"/>
    <n v="738"/>
    <n v="15"/>
    <n v="3133"/>
    <n v="7.7399938265253626E-2"/>
    <x v="0"/>
  </r>
  <r>
    <x v="1557"/>
    <x v="1557"/>
    <x v="1"/>
    <x v="8"/>
    <x v="2"/>
    <x v="16"/>
    <n v="270255"/>
    <n v="77355"/>
    <n v="61663"/>
    <n v="3712"/>
    <n v="448"/>
    <n v="105"/>
    <n v="718"/>
    <n v="1066"/>
    <n v="8.0810210336830834E-2"/>
    <x v="0"/>
  </r>
  <r>
    <x v="1558"/>
    <x v="1558"/>
    <x v="4"/>
    <x v="21"/>
    <x v="4"/>
    <x v="17"/>
    <n v="680820"/>
    <n v="223615"/>
    <n v="174856"/>
    <n v="16753"/>
    <n v="715"/>
    <n v="418"/>
    <n v="3026"/>
    <n v="2169"/>
    <n v="0.11959555291211053"/>
    <x v="2"/>
  </r>
  <r>
    <x v="1559"/>
    <x v="1559"/>
    <x v="4"/>
    <x v="14"/>
    <x v="2"/>
    <x v="13"/>
    <n v="156721"/>
    <n v="22783"/>
    <n v="20640"/>
    <n v="1282"/>
    <n v="113"/>
    <n v="156"/>
    <n v="151"/>
    <n v="157"/>
    <n v="8.2461240310077524E-2"/>
    <x v="0"/>
  </r>
  <r>
    <x v="1560"/>
    <x v="1560"/>
    <x v="2"/>
    <x v="5"/>
    <x v="4"/>
    <x v="15"/>
    <n v="782262"/>
    <n v="287050"/>
    <n v="252724"/>
    <n v="8421"/>
    <n v="376"/>
    <n v="770"/>
    <n v="25"/>
    <n v="6319"/>
    <n v="3.7954448330985581E-2"/>
    <x v="0"/>
  </r>
  <r>
    <x v="1561"/>
    <x v="1561"/>
    <x v="2"/>
    <x v="16"/>
    <x v="3"/>
    <x v="15"/>
    <n v="812919"/>
    <n v="1720210"/>
    <n v="1462415"/>
    <n v="84702"/>
    <n v="8157"/>
    <n v="4909"/>
    <n v="38"/>
    <n v="46814"/>
    <n v="6.6879784466105721E-2"/>
    <x v="1"/>
  </r>
  <r>
    <x v="1562"/>
    <x v="1562"/>
    <x v="4"/>
    <x v="14"/>
    <x v="5"/>
    <x v="11"/>
    <n v="56101"/>
    <n v="333624"/>
    <n v="243146"/>
    <n v="19607"/>
    <n v="2771"/>
    <n v="1719"/>
    <n v="3178"/>
    <n v="7222"/>
    <n v="0.11217540078800392"/>
    <x v="0"/>
  </r>
  <r>
    <x v="1563"/>
    <x v="1563"/>
    <x v="0"/>
    <x v="22"/>
    <x v="0"/>
    <x v="10"/>
    <n v="334068"/>
    <n v="112906"/>
    <n v="80207"/>
    <n v="6651"/>
    <n v="246"/>
    <n v="140"/>
    <n v="1371"/>
    <n v="3235"/>
    <n v="0.1048287555948982"/>
    <x v="0"/>
  </r>
  <r>
    <x v="1564"/>
    <x v="1564"/>
    <x v="0"/>
    <x v="23"/>
    <x v="4"/>
    <x v="0"/>
    <n v="565029"/>
    <n v="92287"/>
    <n v="73208"/>
    <n v="4641"/>
    <n v="170"/>
    <n v="628"/>
    <n v="1002"/>
    <n v="2302"/>
    <n v="8.7982187739044912E-2"/>
    <x v="0"/>
  </r>
  <r>
    <x v="1565"/>
    <x v="1565"/>
    <x v="0"/>
    <x v="22"/>
    <x v="0"/>
    <x v="0"/>
    <n v="296958"/>
    <n v="40776"/>
    <n v="29975"/>
    <n v="822"/>
    <n v="53"/>
    <n v="86"/>
    <n v="68"/>
    <n v="1177"/>
    <n v="3.4328607172643869E-2"/>
    <x v="0"/>
  </r>
  <r>
    <x v="1566"/>
    <x v="1566"/>
    <x v="4"/>
    <x v="20"/>
    <x v="1"/>
    <x v="12"/>
    <n v="761317"/>
    <n v="239291"/>
    <n v="211782"/>
    <n v="8196"/>
    <n v="940"/>
    <n v="875"/>
    <n v="550"/>
    <n v="7933"/>
    <n v="4.9867316391383594E-2"/>
    <x v="0"/>
  </r>
  <r>
    <x v="1567"/>
    <x v="1567"/>
    <x v="4"/>
    <x v="20"/>
    <x v="4"/>
    <x v="11"/>
    <n v="681994"/>
    <n v="241986"/>
    <n v="171665"/>
    <n v="9973"/>
    <n v="420"/>
    <n v="1105"/>
    <n v="697"/>
    <n v="1575"/>
    <n v="7.1039524655579181E-2"/>
    <x v="0"/>
  </r>
  <r>
    <x v="1568"/>
    <x v="1568"/>
    <x v="1"/>
    <x v="24"/>
    <x v="1"/>
    <x v="1"/>
    <n v="835359"/>
    <n v="3712292"/>
    <n v="3282961"/>
    <n v="145664"/>
    <n v="8309"/>
    <n v="11600"/>
    <n v="22696"/>
    <n v="27574"/>
    <n v="5.7347315426531112E-2"/>
    <x v="0"/>
  </r>
  <r>
    <x v="1569"/>
    <x v="1569"/>
    <x v="3"/>
    <x v="15"/>
    <x v="4"/>
    <x v="4"/>
    <n v="381882"/>
    <n v="109646"/>
    <n v="88152"/>
    <n v="6250"/>
    <n v="510"/>
    <n v="441"/>
    <n v="7"/>
    <n v="2521"/>
    <n v="8.1767855522279692E-2"/>
    <x v="0"/>
  </r>
  <r>
    <x v="1570"/>
    <x v="1570"/>
    <x v="2"/>
    <x v="19"/>
    <x v="4"/>
    <x v="2"/>
    <n v="789019"/>
    <n v="254556"/>
    <n v="198035"/>
    <n v="6718"/>
    <n v="949"/>
    <n v="802"/>
    <n v="24"/>
    <n v="8326"/>
    <n v="4.2886358471987275E-2"/>
    <x v="0"/>
  </r>
  <r>
    <x v="1571"/>
    <x v="1571"/>
    <x v="2"/>
    <x v="5"/>
    <x v="3"/>
    <x v="15"/>
    <n v="207598"/>
    <n v="117434"/>
    <n v="101514"/>
    <n v="8148"/>
    <n v="301"/>
    <n v="935"/>
    <n v="13"/>
    <n v="3008"/>
    <n v="9.2568512717457696E-2"/>
    <x v="2"/>
  </r>
  <r>
    <x v="1572"/>
    <x v="1572"/>
    <x v="4"/>
    <x v="14"/>
    <x v="5"/>
    <x v="13"/>
    <n v="402283"/>
    <n v="129466"/>
    <n v="96847"/>
    <n v="4895"/>
    <n v="646"/>
    <n v="143"/>
    <n v="692"/>
    <n v="3673"/>
    <n v="6.5835802864311746E-2"/>
    <x v="1"/>
  </r>
  <r>
    <x v="1573"/>
    <x v="1573"/>
    <x v="0"/>
    <x v="0"/>
    <x v="5"/>
    <x v="10"/>
    <n v="240279"/>
    <n v="73565"/>
    <n v="63425"/>
    <n v="2385"/>
    <n v="401"/>
    <n v="128"/>
    <n v="132"/>
    <n v="920"/>
    <n v="4.8025226645644459E-2"/>
    <x v="0"/>
  </r>
  <r>
    <x v="1574"/>
    <x v="1574"/>
    <x v="3"/>
    <x v="9"/>
    <x v="2"/>
    <x v="9"/>
    <n v="398237"/>
    <n v="208781"/>
    <n v="146284"/>
    <n v="7661"/>
    <n v="482"/>
    <n v="833"/>
    <n v="41"/>
    <n v="2470"/>
    <n v="6.1640370785595144E-2"/>
    <x v="1"/>
  </r>
  <r>
    <x v="1575"/>
    <x v="1575"/>
    <x v="3"/>
    <x v="4"/>
    <x v="4"/>
    <x v="9"/>
    <n v="819827"/>
    <n v="527201"/>
    <n v="382218"/>
    <n v="30910"/>
    <n v="3164"/>
    <n v="849"/>
    <n v="21"/>
    <n v="12098"/>
    <n v="9.1424265733167989E-2"/>
    <x v="0"/>
  </r>
  <r>
    <x v="1576"/>
    <x v="1576"/>
    <x v="1"/>
    <x v="7"/>
    <x v="2"/>
    <x v="6"/>
    <n v="572103"/>
    <n v="87600"/>
    <n v="66730"/>
    <n v="2404"/>
    <n v="141"/>
    <n v="75"/>
    <n v="175"/>
    <n v="2268"/>
    <n v="4.1885209051401168E-2"/>
    <x v="1"/>
  </r>
  <r>
    <x v="1577"/>
    <x v="1577"/>
    <x v="2"/>
    <x v="3"/>
    <x v="4"/>
    <x v="2"/>
    <n v="553862"/>
    <n v="293731"/>
    <n v="239255"/>
    <n v="10316"/>
    <n v="1201"/>
    <n v="1405"/>
    <n v="37"/>
    <n v="6881"/>
    <n v="5.4163967315207624E-2"/>
    <x v="1"/>
  </r>
  <r>
    <x v="1578"/>
    <x v="1578"/>
    <x v="1"/>
    <x v="17"/>
    <x v="3"/>
    <x v="6"/>
    <n v="118240"/>
    <n v="66993"/>
    <n v="51843"/>
    <n v="3018"/>
    <n v="324"/>
    <n v="97"/>
    <n v="525"/>
    <n v="1667"/>
    <n v="7.6461624520185942E-2"/>
    <x v="2"/>
  </r>
  <r>
    <x v="1579"/>
    <x v="1579"/>
    <x v="2"/>
    <x v="5"/>
    <x v="4"/>
    <x v="3"/>
    <n v="428622"/>
    <n v="57429"/>
    <n v="42728"/>
    <n v="1472"/>
    <n v="175"/>
    <n v="217"/>
    <n v="23"/>
    <n v="1721"/>
    <n v="4.4163078075266801E-2"/>
    <x v="0"/>
  </r>
  <r>
    <x v="1580"/>
    <x v="1580"/>
    <x v="2"/>
    <x v="19"/>
    <x v="3"/>
    <x v="3"/>
    <n v="640875"/>
    <n v="229537"/>
    <n v="186284"/>
    <n v="5812"/>
    <n v="905"/>
    <n v="275"/>
    <n v="44"/>
    <n v="6040"/>
    <n v="3.7770286229627879E-2"/>
    <x v="1"/>
  </r>
  <r>
    <x v="1581"/>
    <x v="1581"/>
    <x v="3"/>
    <x v="4"/>
    <x v="4"/>
    <x v="9"/>
    <n v="121857"/>
    <n v="54410"/>
    <n v="44067"/>
    <n v="2478"/>
    <n v="257"/>
    <n v="110"/>
    <n v="43"/>
    <n v="1407"/>
    <n v="6.553656931490684E-2"/>
    <x v="0"/>
  </r>
  <r>
    <x v="1582"/>
    <x v="1582"/>
    <x v="4"/>
    <x v="12"/>
    <x v="2"/>
    <x v="13"/>
    <n v="646242"/>
    <n v="173044"/>
    <n v="122525"/>
    <n v="12264"/>
    <n v="939"/>
    <n v="1205"/>
    <n v="751"/>
    <n v="3337"/>
    <n v="0.12372168945113242"/>
    <x v="0"/>
  </r>
  <r>
    <x v="1583"/>
    <x v="1583"/>
    <x v="3"/>
    <x v="15"/>
    <x v="1"/>
    <x v="9"/>
    <n v="360847"/>
    <n v="214764"/>
    <n v="191326"/>
    <n v="13058"/>
    <n v="2188"/>
    <n v="1191"/>
    <n v="7"/>
    <n v="2060"/>
    <n v="8.5947545027858216E-2"/>
    <x v="1"/>
  </r>
  <r>
    <x v="1584"/>
    <x v="1584"/>
    <x v="1"/>
    <x v="8"/>
    <x v="5"/>
    <x v="1"/>
    <n v="113482"/>
    <n v="26694"/>
    <n v="22799"/>
    <n v="828"/>
    <n v="94"/>
    <n v="111"/>
    <n v="145"/>
    <n v="808"/>
    <n v="5.1668932847931927E-2"/>
    <x v="2"/>
  </r>
  <r>
    <x v="1585"/>
    <x v="1585"/>
    <x v="2"/>
    <x v="5"/>
    <x v="2"/>
    <x v="5"/>
    <n v="743495"/>
    <n v="403216"/>
    <n v="344010"/>
    <n v="17624"/>
    <n v="2039"/>
    <n v="950"/>
    <n v="16"/>
    <n v="3197"/>
    <n v="5.9966280049998544E-2"/>
    <x v="0"/>
  </r>
  <r>
    <x v="1586"/>
    <x v="1586"/>
    <x v="1"/>
    <x v="17"/>
    <x v="5"/>
    <x v="8"/>
    <n v="230699"/>
    <n v="97763"/>
    <n v="87678"/>
    <n v="6653"/>
    <n v="796"/>
    <n v="583"/>
    <n v="1313"/>
    <n v="2762"/>
    <n v="0.10658317936084309"/>
    <x v="1"/>
  </r>
  <r>
    <x v="1587"/>
    <x v="1587"/>
    <x v="0"/>
    <x v="23"/>
    <x v="1"/>
    <x v="10"/>
    <n v="489892"/>
    <n v="116698"/>
    <n v="82512"/>
    <n v="9232"/>
    <n v="1123"/>
    <n v="1224"/>
    <n v="1758"/>
    <n v="2197"/>
    <n v="0.16163709521039363"/>
    <x v="1"/>
  </r>
  <r>
    <x v="1588"/>
    <x v="1588"/>
    <x v="4"/>
    <x v="20"/>
    <x v="3"/>
    <x v="12"/>
    <n v="72274"/>
    <n v="14671"/>
    <n v="11788"/>
    <n v="1115"/>
    <n v="109"/>
    <n v="91"/>
    <n v="86"/>
    <n v="284"/>
    <n v="0.11884967763827621"/>
    <x v="0"/>
  </r>
  <r>
    <x v="1589"/>
    <x v="1589"/>
    <x v="1"/>
    <x v="24"/>
    <x v="0"/>
    <x v="16"/>
    <n v="680235"/>
    <n v="384374"/>
    <n v="277015"/>
    <n v="21910"/>
    <n v="3547"/>
    <n v="2829"/>
    <n v="2101"/>
    <n v="11254"/>
    <n v="0.10969442087973576"/>
    <x v="0"/>
  </r>
  <r>
    <x v="1590"/>
    <x v="1590"/>
    <x v="2"/>
    <x v="3"/>
    <x v="5"/>
    <x v="15"/>
    <n v="101217"/>
    <n v="13859"/>
    <n v="10646"/>
    <n v="500"/>
    <n v="37"/>
    <n v="73"/>
    <n v="17"/>
    <n v="133"/>
    <n v="5.8895359759534097E-2"/>
    <x v="2"/>
  </r>
  <r>
    <x v="1591"/>
    <x v="1591"/>
    <x v="1"/>
    <x v="24"/>
    <x v="2"/>
    <x v="1"/>
    <n v="463053"/>
    <n v="222211"/>
    <n v="161317"/>
    <n v="14254"/>
    <n v="1338"/>
    <n v="405"/>
    <n v="1671"/>
    <n v="7708"/>
    <n v="0.1095234848156115"/>
    <x v="0"/>
  </r>
  <r>
    <x v="1592"/>
    <x v="1592"/>
    <x v="0"/>
    <x v="6"/>
    <x v="5"/>
    <x v="0"/>
    <n v="653662"/>
    <n v="315593"/>
    <n v="253370"/>
    <n v="12369"/>
    <n v="1912"/>
    <n v="463"/>
    <n v="2693"/>
    <n v="10952"/>
    <n v="6.8820302324663532E-2"/>
    <x v="1"/>
  </r>
  <r>
    <x v="1593"/>
    <x v="1593"/>
    <x v="1"/>
    <x v="1"/>
    <x v="2"/>
    <x v="6"/>
    <n v="30980"/>
    <n v="8099"/>
    <n v="6767"/>
    <n v="250"/>
    <n v="29"/>
    <n v="37"/>
    <n v="14"/>
    <n v="272"/>
    <n v="4.8766070636914439E-2"/>
    <x v="0"/>
  </r>
  <r>
    <x v="1594"/>
    <x v="1594"/>
    <x v="3"/>
    <x v="9"/>
    <x v="1"/>
    <x v="9"/>
    <n v="815531"/>
    <n v="226534"/>
    <n v="185349"/>
    <n v="5798"/>
    <n v="391"/>
    <n v="745"/>
    <n v="40"/>
    <n v="6723"/>
    <n v="3.762631576107775E-2"/>
    <x v="1"/>
  </r>
  <r>
    <x v="1595"/>
    <x v="1595"/>
    <x v="3"/>
    <x v="4"/>
    <x v="5"/>
    <x v="9"/>
    <n v="296565"/>
    <n v="168875"/>
    <n v="118294"/>
    <n v="7680"/>
    <n v="435"/>
    <n v="897"/>
    <n v="17"/>
    <n v="2922"/>
    <n v="7.6326779042047779E-2"/>
    <x v="0"/>
  </r>
  <r>
    <x v="1596"/>
    <x v="1596"/>
    <x v="3"/>
    <x v="4"/>
    <x v="0"/>
    <x v="4"/>
    <n v="221324"/>
    <n v="30640"/>
    <n v="24999"/>
    <n v="1414"/>
    <n v="172"/>
    <n v="162"/>
    <n v="32"/>
    <n v="552"/>
    <n v="7.1202848113924563E-2"/>
    <x v="1"/>
  </r>
  <r>
    <x v="1597"/>
    <x v="1597"/>
    <x v="1"/>
    <x v="7"/>
    <x v="0"/>
    <x v="8"/>
    <n v="652850"/>
    <n v="258565"/>
    <n v="182180"/>
    <n v="9344"/>
    <n v="756"/>
    <n v="1198"/>
    <n v="1546"/>
    <n v="3987"/>
    <n v="7.0501701613788562E-2"/>
    <x v="2"/>
  </r>
  <r>
    <x v="1598"/>
    <x v="1598"/>
    <x v="3"/>
    <x v="18"/>
    <x v="5"/>
    <x v="14"/>
    <n v="287691"/>
    <n v="174071"/>
    <n v="154999"/>
    <n v="6079"/>
    <n v="571"/>
    <n v="836"/>
    <n v="27"/>
    <n v="2350"/>
    <n v="4.8471280459873936E-2"/>
    <x v="0"/>
  </r>
  <r>
    <x v="1599"/>
    <x v="1599"/>
    <x v="2"/>
    <x v="16"/>
    <x v="5"/>
    <x v="15"/>
    <n v="273676"/>
    <n v="147090"/>
    <n v="109480"/>
    <n v="3273"/>
    <n v="388"/>
    <n v="315"/>
    <n v="17"/>
    <n v="1337"/>
    <n v="3.6472415052977714E-2"/>
    <x v="0"/>
  </r>
  <r>
    <x v="1600"/>
    <x v="1600"/>
    <x v="0"/>
    <x v="13"/>
    <x v="4"/>
    <x v="7"/>
    <n v="701860"/>
    <n v="441355"/>
    <n v="352640"/>
    <n v="23097"/>
    <n v="2700"/>
    <n v="1834"/>
    <n v="3042"/>
    <n v="3616"/>
    <n v="8.6981057168784029E-2"/>
    <x v="1"/>
  </r>
  <r>
    <x v="1601"/>
    <x v="1601"/>
    <x v="2"/>
    <x v="2"/>
    <x v="2"/>
    <x v="15"/>
    <n v="276033"/>
    <n v="164975"/>
    <n v="116437"/>
    <n v="10809"/>
    <n v="1618"/>
    <n v="582"/>
    <n v="45"/>
    <n v="5439"/>
    <n v="0.11211212930597662"/>
    <x v="0"/>
  </r>
  <r>
    <x v="1602"/>
    <x v="1602"/>
    <x v="0"/>
    <x v="6"/>
    <x v="3"/>
    <x v="10"/>
    <n v="344118"/>
    <n v="1040674"/>
    <n v="895139"/>
    <n v="47186"/>
    <n v="1557"/>
    <n v="1532"/>
    <n v="6996"/>
    <n v="14336"/>
    <n v="6.3980007574242659E-2"/>
    <x v="0"/>
  </r>
  <r>
    <x v="1603"/>
    <x v="1603"/>
    <x v="0"/>
    <x v="0"/>
    <x v="5"/>
    <x v="10"/>
    <n v="673233"/>
    <n v="274696"/>
    <n v="193414"/>
    <n v="21586"/>
    <n v="3647"/>
    <n v="1341"/>
    <n v="5005"/>
    <n v="6694"/>
    <n v="0.16327153153339469"/>
    <x v="1"/>
  </r>
  <r>
    <x v="1604"/>
    <x v="1604"/>
    <x v="1"/>
    <x v="1"/>
    <x v="5"/>
    <x v="1"/>
    <n v="50274"/>
    <n v="24423"/>
    <n v="21938"/>
    <n v="1654"/>
    <n v="157"/>
    <n v="134"/>
    <n v="315"/>
    <n v="552"/>
    <n v="0.10301759504056887"/>
    <x v="2"/>
  </r>
  <r>
    <x v="1605"/>
    <x v="1605"/>
    <x v="4"/>
    <x v="12"/>
    <x v="5"/>
    <x v="12"/>
    <n v="718141"/>
    <n v="278051"/>
    <n v="255745"/>
    <n v="12698"/>
    <n v="709"/>
    <n v="875"/>
    <n v="2745"/>
    <n v="5679"/>
    <n v="6.6578036716260336E-2"/>
    <x v="1"/>
  </r>
  <r>
    <x v="1606"/>
    <x v="1606"/>
    <x v="1"/>
    <x v="7"/>
    <x v="4"/>
    <x v="1"/>
    <n v="603302"/>
    <n v="305713"/>
    <n v="272389"/>
    <n v="18425"/>
    <n v="1094"/>
    <n v="1595"/>
    <n v="1734"/>
    <n v="8132"/>
    <n v="8.3880039208631768E-2"/>
    <x v="0"/>
  </r>
  <r>
    <x v="1607"/>
    <x v="1607"/>
    <x v="1"/>
    <x v="1"/>
    <x v="1"/>
    <x v="8"/>
    <n v="632780"/>
    <n v="399345"/>
    <n v="336517"/>
    <n v="8023"/>
    <n v="594"/>
    <n v="1120"/>
    <n v="1780"/>
    <n v="3762"/>
    <n v="3.422412537850985E-2"/>
    <x v="1"/>
  </r>
  <r>
    <x v="1608"/>
    <x v="1608"/>
    <x v="3"/>
    <x v="9"/>
    <x v="3"/>
    <x v="9"/>
    <n v="229238"/>
    <n v="72559"/>
    <n v="65881"/>
    <n v="4704"/>
    <n v="293"/>
    <n v="280"/>
    <n v="18"/>
    <n v="822"/>
    <n v="8.037218621453833E-2"/>
    <x v="0"/>
  </r>
  <r>
    <x v="1609"/>
    <x v="1609"/>
    <x v="2"/>
    <x v="5"/>
    <x v="0"/>
    <x v="15"/>
    <n v="565812"/>
    <n v="355846"/>
    <n v="266499"/>
    <n v="16505"/>
    <n v="1539"/>
    <n v="1353"/>
    <n v="47"/>
    <n v="11410"/>
    <n v="7.2960874149621574E-2"/>
    <x v="0"/>
  </r>
  <r>
    <x v="1610"/>
    <x v="1610"/>
    <x v="0"/>
    <x v="23"/>
    <x v="5"/>
    <x v="7"/>
    <n v="486471"/>
    <n v="86905"/>
    <n v="77853"/>
    <n v="3761"/>
    <n v="644"/>
    <n v="292"/>
    <n v="423"/>
    <n v="541"/>
    <n v="6.5764967310187147E-2"/>
    <x v="1"/>
  </r>
  <r>
    <x v="1611"/>
    <x v="1611"/>
    <x v="2"/>
    <x v="3"/>
    <x v="3"/>
    <x v="3"/>
    <n v="645566"/>
    <n v="157199"/>
    <n v="142580"/>
    <n v="11060"/>
    <n v="1514"/>
    <n v="420"/>
    <n v="22"/>
    <n v="4787"/>
    <n v="9.1289100855659985E-2"/>
    <x v="0"/>
  </r>
  <r>
    <x v="1612"/>
    <x v="1612"/>
    <x v="4"/>
    <x v="12"/>
    <x v="3"/>
    <x v="13"/>
    <n v="490854"/>
    <n v="172256"/>
    <n v="130626"/>
    <n v="4998"/>
    <n v="868"/>
    <n v="411"/>
    <n v="716"/>
    <n v="1277"/>
    <n v="5.3534518396031419E-2"/>
    <x v="0"/>
  </r>
  <r>
    <x v="1613"/>
    <x v="1613"/>
    <x v="4"/>
    <x v="14"/>
    <x v="3"/>
    <x v="17"/>
    <n v="685899"/>
    <n v="78093"/>
    <n v="55664"/>
    <n v="1713"/>
    <n v="235"/>
    <n v="161"/>
    <n v="180"/>
    <n v="468"/>
    <n v="4.1121730382293761E-2"/>
    <x v="0"/>
  </r>
  <r>
    <x v="1614"/>
    <x v="1614"/>
    <x v="1"/>
    <x v="8"/>
    <x v="4"/>
    <x v="1"/>
    <n v="759940"/>
    <n v="166559"/>
    <n v="128812"/>
    <n v="9899"/>
    <n v="839"/>
    <n v="638"/>
    <n v="851"/>
    <n v="1833"/>
    <n v="9.4921280626028628E-2"/>
    <x v="1"/>
  </r>
  <r>
    <x v="1615"/>
    <x v="1615"/>
    <x v="4"/>
    <x v="10"/>
    <x v="5"/>
    <x v="13"/>
    <n v="32807"/>
    <n v="13295"/>
    <n v="9511"/>
    <n v="852"/>
    <n v="129"/>
    <n v="81"/>
    <n v="170"/>
    <n v="210"/>
    <n v="0.12953422353064872"/>
    <x v="0"/>
  </r>
  <r>
    <x v="1616"/>
    <x v="1616"/>
    <x v="3"/>
    <x v="18"/>
    <x v="1"/>
    <x v="14"/>
    <n v="773830"/>
    <n v="200564"/>
    <n v="144223"/>
    <n v="5236"/>
    <n v="853"/>
    <n v="446"/>
    <n v="47"/>
    <n v="6789"/>
    <n v="4.563765834852971E-2"/>
    <x v="1"/>
  </r>
  <r>
    <x v="1617"/>
    <x v="1617"/>
    <x v="0"/>
    <x v="23"/>
    <x v="3"/>
    <x v="7"/>
    <n v="448197"/>
    <n v="166332"/>
    <n v="140141"/>
    <n v="8427"/>
    <n v="1098"/>
    <n v="476"/>
    <n v="1199"/>
    <n v="3743"/>
    <n v="7.9919509636723021E-2"/>
    <x v="0"/>
  </r>
  <r>
    <x v="1618"/>
    <x v="1618"/>
    <x v="1"/>
    <x v="7"/>
    <x v="2"/>
    <x v="1"/>
    <n v="749101"/>
    <n v="232480"/>
    <n v="192715"/>
    <n v="4883"/>
    <n v="616"/>
    <n v="140"/>
    <n v="945"/>
    <n v="6054"/>
    <n v="3.4164439716680074E-2"/>
    <x v="1"/>
  </r>
  <r>
    <x v="1619"/>
    <x v="1619"/>
    <x v="1"/>
    <x v="1"/>
    <x v="3"/>
    <x v="1"/>
    <n v="20691"/>
    <n v="11540"/>
    <n v="8692"/>
    <n v="601"/>
    <n v="33"/>
    <n v="24"/>
    <n v="60"/>
    <n v="180"/>
    <n v="8.260469397146801E-2"/>
    <x v="0"/>
  </r>
  <r>
    <x v="1620"/>
    <x v="1620"/>
    <x v="4"/>
    <x v="14"/>
    <x v="3"/>
    <x v="11"/>
    <n v="475478"/>
    <n v="95824"/>
    <n v="84743"/>
    <n v="3372"/>
    <n v="472"/>
    <n v="286"/>
    <n v="281"/>
    <n v="1787"/>
    <n v="5.2051496878798252E-2"/>
    <x v="1"/>
  </r>
  <r>
    <x v="1621"/>
    <x v="1621"/>
    <x v="0"/>
    <x v="13"/>
    <x v="5"/>
    <x v="7"/>
    <n v="110620"/>
    <n v="612542"/>
    <n v="451214"/>
    <n v="38786"/>
    <n v="5719"/>
    <n v="3200"/>
    <n v="3689"/>
    <n v="9629"/>
    <n v="0.11390160766288281"/>
    <x v="0"/>
  </r>
  <r>
    <x v="1622"/>
    <x v="1622"/>
    <x v="2"/>
    <x v="16"/>
    <x v="5"/>
    <x v="2"/>
    <n v="504837"/>
    <n v="99028"/>
    <n v="89333"/>
    <n v="2434"/>
    <n v="319"/>
    <n v="51"/>
    <n v="22"/>
    <n v="2022"/>
    <n v="3.163444639718805E-2"/>
    <x v="0"/>
  </r>
  <r>
    <x v="1623"/>
    <x v="1623"/>
    <x v="3"/>
    <x v="11"/>
    <x v="5"/>
    <x v="9"/>
    <n v="654715"/>
    <n v="341903"/>
    <n v="287298"/>
    <n v="21070"/>
    <n v="2177"/>
    <n v="2071"/>
    <n v="21"/>
    <n v="10703"/>
    <n v="8.8197620589074766E-2"/>
    <x v="1"/>
  </r>
  <r>
    <x v="1624"/>
    <x v="1624"/>
    <x v="4"/>
    <x v="12"/>
    <x v="1"/>
    <x v="13"/>
    <n v="348836"/>
    <n v="131069"/>
    <n v="102613"/>
    <n v="5335"/>
    <n v="656"/>
    <n v="255"/>
    <n v="486"/>
    <n v="4012"/>
    <n v="6.5605722471811567E-2"/>
    <x v="0"/>
  </r>
  <r>
    <x v="1625"/>
    <x v="1625"/>
    <x v="4"/>
    <x v="21"/>
    <x v="4"/>
    <x v="12"/>
    <n v="770413"/>
    <n v="147737"/>
    <n v="105529"/>
    <n v="5243"/>
    <n v="460"/>
    <n v="281"/>
    <n v="999"/>
    <n v="5091"/>
    <n v="6.6171384169280478E-2"/>
    <x v="0"/>
  </r>
  <r>
    <x v="1626"/>
    <x v="1626"/>
    <x v="0"/>
    <x v="13"/>
    <x v="3"/>
    <x v="10"/>
    <n v="256425"/>
    <n v="144312"/>
    <n v="124369"/>
    <n v="3766"/>
    <n v="148"/>
    <n v="229"/>
    <n v="543"/>
    <n v="1557"/>
    <n v="3.767819955133514E-2"/>
    <x v="0"/>
  </r>
  <r>
    <x v="1627"/>
    <x v="1627"/>
    <x v="4"/>
    <x v="12"/>
    <x v="0"/>
    <x v="12"/>
    <n v="350983"/>
    <n v="99371"/>
    <n v="88119"/>
    <n v="7665"/>
    <n v="598"/>
    <n v="192"/>
    <n v="473"/>
    <n v="1412"/>
    <n v="0.10131753651312429"/>
    <x v="0"/>
  </r>
  <r>
    <x v="1628"/>
    <x v="1628"/>
    <x v="4"/>
    <x v="10"/>
    <x v="1"/>
    <x v="13"/>
    <n v="380577"/>
    <n v="96192"/>
    <n v="73955"/>
    <n v="4559"/>
    <n v="643"/>
    <n v="510"/>
    <n v="444"/>
    <n v="2790"/>
    <n v="8.3239807991346088E-2"/>
    <x v="0"/>
  </r>
  <r>
    <x v="1629"/>
    <x v="1629"/>
    <x v="3"/>
    <x v="4"/>
    <x v="1"/>
    <x v="14"/>
    <n v="105554"/>
    <n v="64925"/>
    <n v="49259"/>
    <n v="1893"/>
    <n v="175"/>
    <n v="206"/>
    <n v="39"/>
    <n v="2111"/>
    <n v="4.69558862339877E-2"/>
    <x v="1"/>
  </r>
  <r>
    <x v="1630"/>
    <x v="1630"/>
    <x v="2"/>
    <x v="16"/>
    <x v="4"/>
    <x v="15"/>
    <n v="20608"/>
    <n v="10502"/>
    <n v="9030"/>
    <n v="611"/>
    <n v="32"/>
    <n v="32"/>
    <n v="47"/>
    <n v="91"/>
    <n v="7.9955703211517168E-2"/>
    <x v="0"/>
  </r>
  <r>
    <x v="1631"/>
    <x v="1631"/>
    <x v="1"/>
    <x v="17"/>
    <x v="4"/>
    <x v="8"/>
    <n v="375624"/>
    <n v="116143"/>
    <n v="101285"/>
    <n v="8146"/>
    <n v="939"/>
    <n v="566"/>
    <n v="645"/>
    <n v="2424"/>
    <n v="0.1016537493212223"/>
    <x v="1"/>
  </r>
  <r>
    <x v="1632"/>
    <x v="1632"/>
    <x v="4"/>
    <x v="10"/>
    <x v="2"/>
    <x v="11"/>
    <n v="598828"/>
    <n v="273884"/>
    <n v="229881"/>
    <n v="20875"/>
    <n v="2610"/>
    <n v="1753"/>
    <n v="4217"/>
    <n v="5898"/>
    <n v="0.12813151152117835"/>
    <x v="0"/>
  </r>
  <r>
    <x v="1633"/>
    <x v="1633"/>
    <x v="4"/>
    <x v="10"/>
    <x v="4"/>
    <x v="13"/>
    <n v="282817"/>
    <n v="121877"/>
    <n v="88767"/>
    <n v="8324"/>
    <n v="944"/>
    <n v="1182"/>
    <n v="657"/>
    <n v="1887"/>
    <n v="0.12512532810616558"/>
    <x v="0"/>
  </r>
  <r>
    <x v="1634"/>
    <x v="1634"/>
    <x v="0"/>
    <x v="13"/>
    <x v="4"/>
    <x v="0"/>
    <n v="743315"/>
    <n v="446517"/>
    <n v="351799"/>
    <n v="30524"/>
    <n v="1116"/>
    <n v="2802"/>
    <n v="2585"/>
    <n v="14761"/>
    <n v="0.10525044130313048"/>
    <x v="0"/>
  </r>
  <r>
    <x v="1635"/>
    <x v="1635"/>
    <x v="0"/>
    <x v="6"/>
    <x v="5"/>
    <x v="7"/>
    <n v="846229"/>
    <n v="540271"/>
    <n v="383141"/>
    <n v="29592"/>
    <n v="2029"/>
    <n v="912"/>
    <n v="4454"/>
    <n v="14511"/>
    <n v="9.6536262107161597E-2"/>
    <x v="0"/>
  </r>
  <r>
    <x v="1636"/>
    <x v="1636"/>
    <x v="1"/>
    <x v="17"/>
    <x v="2"/>
    <x v="8"/>
    <n v="347721"/>
    <n v="98063"/>
    <n v="71546"/>
    <n v="4990"/>
    <n v="518"/>
    <n v="429"/>
    <n v="758"/>
    <n v="2632"/>
    <n v="9.3576160791658508E-2"/>
    <x v="0"/>
  </r>
  <r>
    <x v="1637"/>
    <x v="1637"/>
    <x v="3"/>
    <x v="4"/>
    <x v="2"/>
    <x v="9"/>
    <n v="410766"/>
    <n v="45145"/>
    <n v="32872"/>
    <n v="3415"/>
    <n v="534"/>
    <n v="78"/>
    <n v="5"/>
    <n v="1569"/>
    <n v="0.12265758091993186"/>
    <x v="1"/>
  </r>
  <r>
    <x v="1638"/>
    <x v="1638"/>
    <x v="4"/>
    <x v="14"/>
    <x v="3"/>
    <x v="11"/>
    <n v="700232"/>
    <n v="416255"/>
    <n v="360396"/>
    <n v="23694"/>
    <n v="1472"/>
    <n v="525"/>
    <n v="2745"/>
    <n v="11570"/>
    <n v="7.8902096582647976E-2"/>
    <x v="1"/>
  </r>
  <r>
    <x v="1639"/>
    <x v="1639"/>
    <x v="0"/>
    <x v="0"/>
    <x v="1"/>
    <x v="0"/>
    <n v="755648"/>
    <n v="193130"/>
    <n v="165413"/>
    <n v="5276"/>
    <n v="522"/>
    <n v="491"/>
    <n v="314"/>
    <n v="3061"/>
    <n v="3.9918265190764933E-2"/>
    <x v="0"/>
  </r>
  <r>
    <x v="1640"/>
    <x v="1640"/>
    <x v="0"/>
    <x v="22"/>
    <x v="4"/>
    <x v="7"/>
    <n v="499768"/>
    <n v="56018"/>
    <n v="43296"/>
    <n v="1863"/>
    <n v="239"/>
    <n v="132"/>
    <n v="96"/>
    <n v="1215"/>
    <n v="5.3815594974131561E-2"/>
    <x v="1"/>
  </r>
  <r>
    <x v="1641"/>
    <x v="1641"/>
    <x v="3"/>
    <x v="9"/>
    <x v="5"/>
    <x v="4"/>
    <n v="724724"/>
    <n v="302942"/>
    <n v="236556"/>
    <n v="18119"/>
    <n v="2343"/>
    <n v="1925"/>
    <n v="10"/>
    <n v="6290"/>
    <n v="9.4679483927695762E-2"/>
    <x v="0"/>
  </r>
  <r>
    <x v="1642"/>
    <x v="1642"/>
    <x v="4"/>
    <x v="21"/>
    <x v="0"/>
    <x v="17"/>
    <n v="259893"/>
    <n v="26973"/>
    <n v="21932"/>
    <n v="1230"/>
    <n v="171"/>
    <n v="133"/>
    <n v="266"/>
    <n v="527"/>
    <n v="8.2071858471639614E-2"/>
    <x v="0"/>
  </r>
  <r>
    <x v="1643"/>
    <x v="1643"/>
    <x v="2"/>
    <x v="3"/>
    <x v="5"/>
    <x v="5"/>
    <n v="505428"/>
    <n v="251914"/>
    <n v="194376"/>
    <n v="13726"/>
    <n v="1100"/>
    <n v="416"/>
    <n v="22"/>
    <n v="6067"/>
    <n v="7.852821335967404E-2"/>
    <x v="0"/>
  </r>
  <r>
    <x v="1644"/>
    <x v="1644"/>
    <x v="0"/>
    <x v="13"/>
    <x v="4"/>
    <x v="0"/>
    <n v="529877"/>
    <n v="189945"/>
    <n v="162569"/>
    <n v="14800"/>
    <n v="637"/>
    <n v="1615"/>
    <n v="2829"/>
    <n v="2608"/>
    <n v="0.12229268802785279"/>
    <x v="0"/>
  </r>
  <r>
    <x v="1645"/>
    <x v="1645"/>
    <x v="0"/>
    <x v="22"/>
    <x v="4"/>
    <x v="10"/>
    <n v="126039"/>
    <n v="54540"/>
    <n v="41263"/>
    <n v="1823"/>
    <n v="222"/>
    <n v="120"/>
    <n v="207"/>
    <n v="1528"/>
    <n v="5.7484913845333593E-2"/>
    <x v="1"/>
  </r>
  <r>
    <x v="1646"/>
    <x v="1646"/>
    <x v="3"/>
    <x v="9"/>
    <x v="3"/>
    <x v="14"/>
    <n v="630441"/>
    <n v="386560"/>
    <n v="348280"/>
    <n v="8886"/>
    <n v="1540"/>
    <n v="583"/>
    <n v="32"/>
    <n v="11421"/>
    <n v="3.1701504536579765E-2"/>
    <x v="0"/>
  </r>
  <r>
    <x v="1647"/>
    <x v="1647"/>
    <x v="4"/>
    <x v="10"/>
    <x v="4"/>
    <x v="11"/>
    <n v="606067"/>
    <n v="269337"/>
    <n v="243166"/>
    <n v="7723"/>
    <n v="839"/>
    <n v="916"/>
    <n v="1609"/>
    <n v="3083"/>
    <n v="4.559436763363299E-2"/>
    <x v="1"/>
  </r>
  <r>
    <x v="1648"/>
    <x v="1648"/>
    <x v="2"/>
    <x v="2"/>
    <x v="2"/>
    <x v="3"/>
    <n v="459567"/>
    <n v="49683"/>
    <n v="43571"/>
    <n v="3599"/>
    <n v="632"/>
    <n v="200"/>
    <n v="50"/>
    <n v="552"/>
    <n v="0.10284363452755273"/>
    <x v="2"/>
  </r>
  <r>
    <x v="1649"/>
    <x v="1649"/>
    <x v="0"/>
    <x v="0"/>
    <x v="3"/>
    <x v="10"/>
    <n v="256266"/>
    <n v="149211"/>
    <n v="117586"/>
    <n v="9670"/>
    <n v="441"/>
    <n v="628"/>
    <n v="988"/>
    <n v="2611"/>
    <n v="9.9731260524212065E-2"/>
    <x v="0"/>
  </r>
  <r>
    <x v="1650"/>
    <x v="1650"/>
    <x v="2"/>
    <x v="19"/>
    <x v="1"/>
    <x v="2"/>
    <n v="510593"/>
    <n v="311918"/>
    <n v="286316"/>
    <n v="18084"/>
    <n v="916"/>
    <n v="681"/>
    <n v="40"/>
    <n v="4673"/>
    <n v="6.8878442001145582E-2"/>
    <x v="0"/>
  </r>
  <r>
    <x v="1651"/>
    <x v="1651"/>
    <x v="4"/>
    <x v="10"/>
    <x v="1"/>
    <x v="17"/>
    <n v="747615"/>
    <n v="478052"/>
    <n v="381379"/>
    <n v="27532"/>
    <n v="3645"/>
    <n v="3424"/>
    <n v="3383"/>
    <n v="3000"/>
    <n v="9.9596464409419508E-2"/>
    <x v="2"/>
  </r>
  <r>
    <x v="1652"/>
    <x v="1652"/>
    <x v="1"/>
    <x v="7"/>
    <x v="0"/>
    <x v="6"/>
    <n v="708797"/>
    <n v="194143"/>
    <n v="159349"/>
    <n v="4923"/>
    <n v="264"/>
    <n v="215"/>
    <n v="501"/>
    <n v="6459"/>
    <n v="3.7044474706461918E-2"/>
    <x v="0"/>
  </r>
  <r>
    <x v="1653"/>
    <x v="1653"/>
    <x v="0"/>
    <x v="6"/>
    <x v="2"/>
    <x v="7"/>
    <n v="590938"/>
    <n v="327587"/>
    <n v="289138"/>
    <n v="8167"/>
    <n v="1202"/>
    <n v="760"/>
    <n v="1338"/>
    <n v="2621"/>
    <n v="3.9659263050861523E-2"/>
    <x v="0"/>
  </r>
  <r>
    <x v="1654"/>
    <x v="1654"/>
    <x v="4"/>
    <x v="12"/>
    <x v="1"/>
    <x v="11"/>
    <n v="315956"/>
    <n v="80533"/>
    <n v="59300"/>
    <n v="2606"/>
    <n v="117"/>
    <n v="363"/>
    <n v="453"/>
    <n v="832"/>
    <n v="5.9679595278246206E-2"/>
    <x v="1"/>
  </r>
  <r>
    <x v="1655"/>
    <x v="1655"/>
    <x v="0"/>
    <x v="13"/>
    <x v="3"/>
    <x v="7"/>
    <n v="463847"/>
    <n v="129778"/>
    <n v="99959"/>
    <n v="9587"/>
    <n v="979"/>
    <n v="642"/>
    <n v="1060"/>
    <n v="3034"/>
    <n v="0.1227303194309667"/>
    <x v="1"/>
  </r>
  <r>
    <x v="1656"/>
    <x v="1656"/>
    <x v="0"/>
    <x v="0"/>
    <x v="3"/>
    <x v="10"/>
    <n v="496117"/>
    <n v="68490"/>
    <n v="60007"/>
    <n v="2087"/>
    <n v="106"/>
    <n v="42"/>
    <n v="347"/>
    <n v="1919"/>
    <n v="4.3028313363440929E-2"/>
    <x v="1"/>
  </r>
  <r>
    <x v="1657"/>
    <x v="1657"/>
    <x v="1"/>
    <x v="24"/>
    <x v="2"/>
    <x v="1"/>
    <n v="223234"/>
    <n v="76875"/>
    <n v="70625"/>
    <n v="4600"/>
    <n v="213"/>
    <n v="659"/>
    <n v="821"/>
    <n v="1450"/>
    <n v="8.9104424778761057E-2"/>
    <x v="1"/>
  </r>
  <r>
    <x v="1658"/>
    <x v="1658"/>
    <x v="1"/>
    <x v="17"/>
    <x v="4"/>
    <x v="1"/>
    <n v="730457"/>
    <n v="114017"/>
    <n v="103455"/>
    <n v="5483"/>
    <n v="576"/>
    <n v="395"/>
    <n v="388"/>
    <n v="1741"/>
    <n v="6.6135034556087186E-2"/>
    <x v="1"/>
  </r>
  <r>
    <x v="1659"/>
    <x v="1659"/>
    <x v="4"/>
    <x v="20"/>
    <x v="1"/>
    <x v="11"/>
    <n v="682712"/>
    <n v="137892"/>
    <n v="106052"/>
    <n v="4725"/>
    <n v="244"/>
    <n v="319"/>
    <n v="588"/>
    <n v="2975"/>
    <n v="5.5406781578848111E-2"/>
    <x v="1"/>
  </r>
  <r>
    <x v="1660"/>
    <x v="1660"/>
    <x v="0"/>
    <x v="6"/>
    <x v="4"/>
    <x v="10"/>
    <n v="318553"/>
    <n v="91237"/>
    <n v="65827"/>
    <n v="4062"/>
    <n v="148"/>
    <n v="497"/>
    <n v="942"/>
    <n v="2573"/>
    <n v="8.5815850638795627E-2"/>
    <x v="0"/>
  </r>
  <r>
    <x v="1661"/>
    <x v="1661"/>
    <x v="2"/>
    <x v="5"/>
    <x v="0"/>
    <x v="5"/>
    <n v="780190"/>
    <n v="412444"/>
    <n v="316109"/>
    <n v="8295"/>
    <n v="271"/>
    <n v="275"/>
    <n v="25"/>
    <n v="12045"/>
    <n v="2.8047287486278466E-2"/>
    <x v="2"/>
  </r>
  <r>
    <x v="1662"/>
    <x v="1662"/>
    <x v="0"/>
    <x v="6"/>
    <x v="4"/>
    <x v="10"/>
    <n v="515400"/>
    <n v="278204"/>
    <n v="209772"/>
    <n v="10418"/>
    <n v="1181"/>
    <n v="1174"/>
    <n v="1712"/>
    <n v="9692"/>
    <n v="6.9051160307381343E-2"/>
    <x v="0"/>
  </r>
  <r>
    <x v="1663"/>
    <x v="1663"/>
    <x v="2"/>
    <x v="19"/>
    <x v="2"/>
    <x v="2"/>
    <n v="29132"/>
    <n v="16023"/>
    <n v="11284"/>
    <n v="762"/>
    <n v="93"/>
    <n v="18"/>
    <n v="2"/>
    <n v="444"/>
    <n v="7.7543424317617862E-2"/>
    <x v="0"/>
  </r>
  <r>
    <x v="1664"/>
    <x v="1664"/>
    <x v="0"/>
    <x v="13"/>
    <x v="2"/>
    <x v="7"/>
    <n v="571872"/>
    <n v="240476"/>
    <n v="184871"/>
    <n v="14619"/>
    <n v="1311"/>
    <n v="1629"/>
    <n v="1052"/>
    <n v="6960"/>
    <n v="0.10067019705632577"/>
    <x v="0"/>
  </r>
  <r>
    <x v="1665"/>
    <x v="1665"/>
    <x v="3"/>
    <x v="9"/>
    <x v="3"/>
    <x v="4"/>
    <n v="712234"/>
    <n v="462227"/>
    <n v="367126"/>
    <n v="36974"/>
    <n v="3150"/>
    <n v="3978"/>
    <n v="22"/>
    <n v="12062"/>
    <n v="0.12018761950937826"/>
    <x v="0"/>
  </r>
  <r>
    <x v="1666"/>
    <x v="1666"/>
    <x v="1"/>
    <x v="8"/>
    <x v="1"/>
    <x v="16"/>
    <n v="285710"/>
    <n v="180343"/>
    <n v="158014"/>
    <n v="12482"/>
    <n v="1784"/>
    <n v="1242"/>
    <n v="809"/>
    <n v="1927"/>
    <n v="0.10326300201247991"/>
    <x v="1"/>
  </r>
  <r>
    <x v="1667"/>
    <x v="1667"/>
    <x v="0"/>
    <x v="13"/>
    <x v="0"/>
    <x v="7"/>
    <n v="427371"/>
    <n v="259005"/>
    <n v="208642"/>
    <n v="17175"/>
    <n v="1977"/>
    <n v="1329"/>
    <n v="3676"/>
    <n v="1781"/>
    <n v="0.11578205730389854"/>
    <x v="1"/>
  </r>
  <r>
    <x v="1668"/>
    <x v="1668"/>
    <x v="4"/>
    <x v="10"/>
    <x v="3"/>
    <x v="17"/>
    <n v="846176"/>
    <n v="371020"/>
    <n v="305482"/>
    <n v="10834"/>
    <n v="1664"/>
    <n v="940"/>
    <n v="2652"/>
    <n v="5669"/>
    <n v="5.2670861130934062E-2"/>
    <x v="2"/>
  </r>
  <r>
    <x v="1669"/>
    <x v="1669"/>
    <x v="2"/>
    <x v="2"/>
    <x v="5"/>
    <x v="15"/>
    <n v="150863"/>
    <n v="86364"/>
    <n v="67871"/>
    <n v="6592"/>
    <n v="300"/>
    <n v="826"/>
    <n v="43"/>
    <n v="764"/>
    <n v="0.11434928025224322"/>
    <x v="0"/>
  </r>
  <r>
    <x v="1670"/>
    <x v="1670"/>
    <x v="1"/>
    <x v="24"/>
    <x v="0"/>
    <x v="8"/>
    <n v="89121"/>
    <n v="36876"/>
    <n v="31020"/>
    <n v="1993"/>
    <n v="352"/>
    <n v="258"/>
    <n v="422"/>
    <n v="1141"/>
    <n v="9.7517730496453903E-2"/>
    <x v="0"/>
  </r>
  <r>
    <x v="1671"/>
    <x v="1671"/>
    <x v="0"/>
    <x v="6"/>
    <x v="5"/>
    <x v="10"/>
    <n v="227702"/>
    <n v="107309"/>
    <n v="81730"/>
    <n v="8098"/>
    <n v="375"/>
    <n v="264"/>
    <n v="1655"/>
    <n v="2250"/>
    <n v="0.12715037317998287"/>
    <x v="1"/>
  </r>
  <r>
    <x v="1672"/>
    <x v="1672"/>
    <x v="2"/>
    <x v="16"/>
    <x v="0"/>
    <x v="15"/>
    <n v="723028"/>
    <n v="81720"/>
    <n v="72045"/>
    <n v="4789"/>
    <n v="215"/>
    <n v="465"/>
    <n v="28"/>
    <n v="2461"/>
    <n v="7.6299535012839204E-2"/>
    <x v="1"/>
  </r>
  <r>
    <x v="1673"/>
    <x v="1673"/>
    <x v="3"/>
    <x v="15"/>
    <x v="3"/>
    <x v="9"/>
    <n v="275308"/>
    <n v="43143"/>
    <n v="39180"/>
    <n v="1538"/>
    <n v="166"/>
    <n v="70"/>
    <n v="20"/>
    <n v="561"/>
    <n v="4.5788667687595715E-2"/>
    <x v="0"/>
  </r>
  <r>
    <x v="1674"/>
    <x v="1674"/>
    <x v="1"/>
    <x v="7"/>
    <x v="0"/>
    <x v="8"/>
    <n v="14472"/>
    <n v="5349"/>
    <n v="4209"/>
    <n v="200"/>
    <n v="33"/>
    <n v="5"/>
    <n v="32"/>
    <n v="185"/>
    <n v="6.4148253741981465E-2"/>
    <x v="1"/>
  </r>
  <r>
    <x v="1675"/>
    <x v="1675"/>
    <x v="1"/>
    <x v="1"/>
    <x v="3"/>
    <x v="16"/>
    <n v="778931"/>
    <n v="63461"/>
    <n v="53556"/>
    <n v="3892"/>
    <n v="155"/>
    <n v="288"/>
    <n v="940"/>
    <n v="1267"/>
    <n v="9.8495033236238705E-2"/>
    <x v="0"/>
  </r>
  <r>
    <x v="1676"/>
    <x v="1676"/>
    <x v="2"/>
    <x v="2"/>
    <x v="2"/>
    <x v="3"/>
    <n v="110480"/>
    <n v="60094"/>
    <n v="42656"/>
    <n v="4396"/>
    <n v="574"/>
    <n v="309"/>
    <n v="19"/>
    <n v="1480"/>
    <n v="0.12420292573143286"/>
    <x v="1"/>
  </r>
  <r>
    <x v="1677"/>
    <x v="1677"/>
    <x v="0"/>
    <x v="22"/>
    <x v="1"/>
    <x v="10"/>
    <n v="89861"/>
    <n v="23728"/>
    <n v="20538"/>
    <n v="1341"/>
    <n v="44"/>
    <n v="163"/>
    <n v="134"/>
    <n v="686"/>
    <n v="8.1896971467523616E-2"/>
    <x v="0"/>
  </r>
  <r>
    <x v="1678"/>
    <x v="1678"/>
    <x v="2"/>
    <x v="19"/>
    <x v="0"/>
    <x v="3"/>
    <n v="139536"/>
    <n v="63815"/>
    <n v="54570"/>
    <n v="3559"/>
    <n v="471"/>
    <n v="128"/>
    <n v="4"/>
    <n v="1730"/>
    <n v="7.6269012277808315E-2"/>
    <x v="0"/>
  </r>
  <r>
    <x v="1679"/>
    <x v="1679"/>
    <x v="3"/>
    <x v="4"/>
    <x v="1"/>
    <x v="4"/>
    <n v="489612"/>
    <n v="168207"/>
    <n v="122106"/>
    <n v="6715"/>
    <n v="449"/>
    <n v="656"/>
    <n v="40"/>
    <n v="5389"/>
    <n v="6.4370301213699577E-2"/>
    <x v="1"/>
  </r>
  <r>
    <x v="1680"/>
    <x v="1680"/>
    <x v="4"/>
    <x v="12"/>
    <x v="0"/>
    <x v="12"/>
    <n v="446512"/>
    <n v="272219"/>
    <n v="223515"/>
    <n v="13775"/>
    <n v="1171"/>
    <n v="770"/>
    <n v="717"/>
    <n v="8423"/>
    <n v="7.3520792787956063E-2"/>
    <x v="2"/>
  </r>
  <r>
    <x v="1681"/>
    <x v="1681"/>
    <x v="3"/>
    <x v="4"/>
    <x v="1"/>
    <x v="4"/>
    <n v="203956"/>
    <n v="88575"/>
    <n v="62085"/>
    <n v="3695"/>
    <n v="243"/>
    <n v="459"/>
    <n v="5"/>
    <n v="1718"/>
    <n v="7.0902794555850857E-2"/>
    <x v="0"/>
  </r>
  <r>
    <x v="1682"/>
    <x v="1682"/>
    <x v="0"/>
    <x v="22"/>
    <x v="2"/>
    <x v="0"/>
    <n v="772579"/>
    <n v="82541"/>
    <n v="71673"/>
    <n v="2396"/>
    <n v="267"/>
    <n v="106"/>
    <n v="393"/>
    <n v="1323"/>
    <n v="4.411703151814491E-2"/>
    <x v="2"/>
  </r>
  <r>
    <x v="1683"/>
    <x v="1683"/>
    <x v="3"/>
    <x v="11"/>
    <x v="0"/>
    <x v="4"/>
    <n v="849776"/>
    <n v="360009"/>
    <n v="291035"/>
    <n v="17848"/>
    <n v="2829"/>
    <n v="1979"/>
    <n v="12"/>
    <n v="2152"/>
    <n v="7.7887539299396985E-2"/>
    <x v="0"/>
  </r>
  <r>
    <x v="1684"/>
    <x v="1684"/>
    <x v="0"/>
    <x v="22"/>
    <x v="0"/>
    <x v="7"/>
    <n v="735084"/>
    <n v="197059"/>
    <n v="148925"/>
    <n v="13508"/>
    <n v="1946"/>
    <n v="1378"/>
    <n v="2270"/>
    <n v="2219"/>
    <n v="0.12826590565720999"/>
    <x v="0"/>
  </r>
  <r>
    <x v="1685"/>
    <x v="1685"/>
    <x v="3"/>
    <x v="9"/>
    <x v="3"/>
    <x v="4"/>
    <n v="489865"/>
    <n v="160814"/>
    <n v="112902"/>
    <n v="5916"/>
    <n v="452"/>
    <n v="842"/>
    <n v="41"/>
    <n v="4870"/>
    <n v="6.422384014455014E-2"/>
    <x v="2"/>
  </r>
  <r>
    <x v="1686"/>
    <x v="1686"/>
    <x v="1"/>
    <x v="17"/>
    <x v="4"/>
    <x v="8"/>
    <n v="799736"/>
    <n v="167751"/>
    <n v="127175"/>
    <n v="11318"/>
    <n v="1610"/>
    <n v="1289"/>
    <n v="1587"/>
    <n v="5430"/>
    <n v="0.12426970709652055"/>
    <x v="2"/>
  </r>
  <r>
    <x v="1687"/>
    <x v="1687"/>
    <x v="4"/>
    <x v="10"/>
    <x v="5"/>
    <x v="11"/>
    <n v="561736"/>
    <n v="232777"/>
    <n v="207663"/>
    <n v="10783"/>
    <n v="1620"/>
    <n v="1398"/>
    <n v="1706"/>
    <n v="8083"/>
    <n v="7.4673870646191187E-2"/>
    <x v="0"/>
  </r>
  <r>
    <x v="1688"/>
    <x v="1688"/>
    <x v="1"/>
    <x v="1"/>
    <x v="2"/>
    <x v="8"/>
    <n v="625722"/>
    <n v="258232"/>
    <n v="227212"/>
    <n v="16291"/>
    <n v="1219"/>
    <n v="1336"/>
    <n v="3525"/>
    <n v="2106"/>
    <n v="9.8458708166822173E-2"/>
    <x v="0"/>
  </r>
  <r>
    <x v="1689"/>
    <x v="1689"/>
    <x v="2"/>
    <x v="3"/>
    <x v="5"/>
    <x v="3"/>
    <n v="441148"/>
    <n v="72974"/>
    <n v="63768"/>
    <n v="2123"/>
    <n v="187"/>
    <n v="201"/>
    <n v="18"/>
    <n v="1474"/>
    <n v="3.9659390289800527E-2"/>
    <x v="0"/>
  </r>
  <r>
    <x v="1690"/>
    <x v="1690"/>
    <x v="3"/>
    <x v="11"/>
    <x v="1"/>
    <x v="14"/>
    <n v="272845"/>
    <n v="80960"/>
    <n v="69881"/>
    <n v="1674"/>
    <n v="159"/>
    <n v="190"/>
    <n v="46"/>
    <n v="1855"/>
    <n v="2.9607475565604384E-2"/>
    <x v="2"/>
  </r>
  <r>
    <x v="1691"/>
    <x v="1691"/>
    <x v="4"/>
    <x v="12"/>
    <x v="1"/>
    <x v="17"/>
    <n v="432171"/>
    <n v="151918"/>
    <n v="131994"/>
    <n v="7075"/>
    <n v="679"/>
    <n v="561"/>
    <n v="1197"/>
    <n v="2894"/>
    <n v="7.2063881691592044E-2"/>
    <x v="1"/>
  </r>
  <r>
    <x v="1692"/>
    <x v="1692"/>
    <x v="2"/>
    <x v="5"/>
    <x v="3"/>
    <x v="5"/>
    <n v="523644"/>
    <n v="96732"/>
    <n v="84905"/>
    <n v="7290"/>
    <n v="294"/>
    <n v="890"/>
    <n v="3"/>
    <n v="3229"/>
    <n v="9.984099876332371E-2"/>
    <x v="1"/>
  </r>
  <r>
    <x v="1693"/>
    <x v="1693"/>
    <x v="3"/>
    <x v="9"/>
    <x v="0"/>
    <x v="9"/>
    <n v="695282"/>
    <n v="216868"/>
    <n v="195524"/>
    <n v="8077"/>
    <n v="440"/>
    <n v="363"/>
    <n v="49"/>
    <n v="2657"/>
    <n v="4.5667028088623392E-2"/>
    <x v="1"/>
  </r>
  <r>
    <x v="1694"/>
    <x v="1694"/>
    <x v="1"/>
    <x v="24"/>
    <x v="5"/>
    <x v="8"/>
    <n v="26153"/>
    <n v="14232"/>
    <n v="12575"/>
    <n v="1097"/>
    <n v="95"/>
    <n v="162"/>
    <n v="111"/>
    <n v="167"/>
    <n v="0.11650099403578529"/>
    <x v="2"/>
  </r>
  <r>
    <x v="1695"/>
    <x v="1695"/>
    <x v="1"/>
    <x v="8"/>
    <x v="5"/>
    <x v="8"/>
    <n v="566304"/>
    <n v="149604"/>
    <n v="124430"/>
    <n v="3803"/>
    <n v="402"/>
    <n v="195"/>
    <n v="734"/>
    <n v="965"/>
    <n v="4.1260146266977417E-2"/>
    <x v="1"/>
  </r>
  <r>
    <x v="1696"/>
    <x v="1696"/>
    <x v="3"/>
    <x v="15"/>
    <x v="5"/>
    <x v="14"/>
    <n v="504638"/>
    <n v="138354"/>
    <n v="100392"/>
    <n v="7570"/>
    <n v="1082"/>
    <n v="938"/>
    <n v="50"/>
    <n v="732"/>
    <n v="9.6023587536855526E-2"/>
    <x v="0"/>
  </r>
  <r>
    <x v="1697"/>
    <x v="1697"/>
    <x v="3"/>
    <x v="11"/>
    <x v="5"/>
    <x v="9"/>
    <n v="468137"/>
    <n v="302516"/>
    <n v="236064"/>
    <n v="20584"/>
    <n v="2098"/>
    <n v="2712"/>
    <n v="27"/>
    <n v="6509"/>
    <n v="0.10768689846821201"/>
    <x v="1"/>
  </r>
  <r>
    <x v="1698"/>
    <x v="1698"/>
    <x v="1"/>
    <x v="17"/>
    <x v="0"/>
    <x v="16"/>
    <n v="179482"/>
    <n v="105175"/>
    <n v="74413"/>
    <n v="7778"/>
    <n v="958"/>
    <n v="880"/>
    <n v="896"/>
    <n v="1792"/>
    <n v="0.14126563906844233"/>
    <x v="0"/>
  </r>
  <r>
    <x v="1699"/>
    <x v="1699"/>
    <x v="1"/>
    <x v="7"/>
    <x v="3"/>
    <x v="8"/>
    <n v="169726"/>
    <n v="63826"/>
    <n v="56281"/>
    <n v="3955"/>
    <n v="267"/>
    <n v="160"/>
    <n v="442"/>
    <n v="1012"/>
    <n v="8.5712762744087706E-2"/>
    <x v="0"/>
  </r>
  <r>
    <x v="1700"/>
    <x v="1700"/>
    <x v="3"/>
    <x v="9"/>
    <x v="5"/>
    <x v="4"/>
    <n v="122934"/>
    <n v="26263"/>
    <n v="19440"/>
    <n v="1402"/>
    <n v="43"/>
    <n v="28"/>
    <n v="20"/>
    <n v="193"/>
    <n v="7.6800411522633741E-2"/>
    <x v="0"/>
  </r>
  <r>
    <x v="1701"/>
    <x v="1701"/>
    <x v="4"/>
    <x v="12"/>
    <x v="2"/>
    <x v="17"/>
    <n v="716691"/>
    <n v="344646"/>
    <n v="241527"/>
    <n v="21846"/>
    <n v="2258"/>
    <n v="1281"/>
    <n v="5230"/>
    <n v="2414"/>
    <n v="0.12675601485548199"/>
    <x v="0"/>
  </r>
  <r>
    <x v="1702"/>
    <x v="1702"/>
    <x v="4"/>
    <x v="10"/>
    <x v="5"/>
    <x v="13"/>
    <n v="437714"/>
    <n v="151399"/>
    <n v="130617"/>
    <n v="10112"/>
    <n v="842"/>
    <n v="735"/>
    <n v="1881"/>
    <n v="2788"/>
    <n v="0.10389153019897869"/>
    <x v="0"/>
  </r>
  <r>
    <x v="1703"/>
    <x v="1703"/>
    <x v="2"/>
    <x v="19"/>
    <x v="3"/>
    <x v="3"/>
    <n v="309056"/>
    <n v="188908"/>
    <n v="140075"/>
    <n v="3930"/>
    <n v="688"/>
    <n v="337"/>
    <n v="31"/>
    <n v="1747"/>
    <n v="3.5595216848117082E-2"/>
    <x v="0"/>
  </r>
  <r>
    <x v="1704"/>
    <x v="1704"/>
    <x v="4"/>
    <x v="20"/>
    <x v="2"/>
    <x v="12"/>
    <n v="274726"/>
    <n v="175099"/>
    <n v="131395"/>
    <n v="7718"/>
    <n v="318"/>
    <n v="898"/>
    <n v="1206"/>
    <n v="3502"/>
    <n v="7.717188629704326E-2"/>
    <x v="0"/>
  </r>
  <r>
    <x v="1705"/>
    <x v="1705"/>
    <x v="0"/>
    <x v="22"/>
    <x v="4"/>
    <x v="0"/>
    <n v="595465"/>
    <n v="254444"/>
    <n v="215577"/>
    <n v="5511"/>
    <n v="272"/>
    <n v="162"/>
    <n v="419"/>
    <n v="2181"/>
    <n v="2.9520774479652283E-2"/>
    <x v="0"/>
  </r>
  <r>
    <x v="1706"/>
    <x v="1706"/>
    <x v="1"/>
    <x v="8"/>
    <x v="0"/>
    <x v="16"/>
    <n v="595052"/>
    <n v="48876"/>
    <n v="40399"/>
    <n v="3473"/>
    <n v="496"/>
    <n v="333"/>
    <n v="524"/>
    <n v="1114"/>
    <n v="0.11945840243570385"/>
    <x v="0"/>
  </r>
  <r>
    <x v="1707"/>
    <x v="1707"/>
    <x v="0"/>
    <x v="22"/>
    <x v="2"/>
    <x v="7"/>
    <n v="223762"/>
    <n v="100284"/>
    <n v="76429"/>
    <n v="2997"/>
    <n v="98"/>
    <n v="366"/>
    <n v="350"/>
    <n v="3318"/>
    <n v="4.9863271794737603E-2"/>
    <x v="0"/>
  </r>
  <r>
    <x v="1708"/>
    <x v="1708"/>
    <x v="1"/>
    <x v="24"/>
    <x v="1"/>
    <x v="8"/>
    <n v="252295"/>
    <n v="42970"/>
    <n v="33348"/>
    <n v="1064"/>
    <n v="179"/>
    <n v="54"/>
    <n v="68"/>
    <n v="602"/>
    <n v="4.0931989924433247E-2"/>
    <x v="0"/>
  </r>
  <r>
    <x v="1709"/>
    <x v="1709"/>
    <x v="1"/>
    <x v="1"/>
    <x v="4"/>
    <x v="8"/>
    <n v="505833"/>
    <n v="257141"/>
    <n v="190819"/>
    <n v="9859"/>
    <n v="1226"/>
    <n v="636"/>
    <n v="1092"/>
    <n v="8203"/>
    <n v="6.7147401464214773E-2"/>
    <x v="0"/>
  </r>
  <r>
    <x v="1710"/>
    <x v="1710"/>
    <x v="0"/>
    <x v="6"/>
    <x v="2"/>
    <x v="7"/>
    <n v="428327"/>
    <n v="242134"/>
    <n v="217134"/>
    <n v="17431"/>
    <n v="2216"/>
    <n v="2240"/>
    <n v="3009"/>
    <n v="5360"/>
    <n v="0.11465730839021065"/>
    <x v="1"/>
  </r>
  <r>
    <x v="1711"/>
    <x v="1711"/>
    <x v="4"/>
    <x v="14"/>
    <x v="0"/>
    <x v="11"/>
    <n v="496274"/>
    <n v="158159"/>
    <n v="132509"/>
    <n v="10005"/>
    <n v="1152"/>
    <n v="212"/>
    <n v="631"/>
    <n v="4107"/>
    <n v="9.0559886498275594E-2"/>
    <x v="0"/>
  </r>
  <r>
    <x v="1712"/>
    <x v="1712"/>
    <x v="1"/>
    <x v="1"/>
    <x v="3"/>
    <x v="16"/>
    <n v="134506"/>
    <n v="56293"/>
    <n v="42139"/>
    <n v="3766"/>
    <n v="243"/>
    <n v="366"/>
    <n v="251"/>
    <n v="1898"/>
    <n v="0.10977953914426065"/>
    <x v="2"/>
  </r>
  <r>
    <x v="1713"/>
    <x v="1713"/>
    <x v="0"/>
    <x v="0"/>
    <x v="3"/>
    <x v="0"/>
    <n v="116515"/>
    <n v="16869"/>
    <n v="12492"/>
    <n v="521"/>
    <n v="39"/>
    <n v="14"/>
    <n v="77"/>
    <n v="522"/>
    <n v="5.2113352545629203E-2"/>
    <x v="0"/>
  </r>
  <r>
    <x v="1714"/>
    <x v="1714"/>
    <x v="4"/>
    <x v="21"/>
    <x v="5"/>
    <x v="17"/>
    <n v="642526"/>
    <n v="131032"/>
    <n v="109330"/>
    <n v="10365"/>
    <n v="735"/>
    <n v="1286"/>
    <n v="857"/>
    <n v="2916"/>
    <n v="0.12112869294795572"/>
    <x v="1"/>
  </r>
  <r>
    <x v="1715"/>
    <x v="1715"/>
    <x v="3"/>
    <x v="9"/>
    <x v="4"/>
    <x v="4"/>
    <n v="729728"/>
    <n v="256645"/>
    <n v="235150"/>
    <n v="8970"/>
    <n v="1069"/>
    <n v="1100"/>
    <n v="10"/>
    <n v="4603"/>
    <n v="4.7412290027641933E-2"/>
    <x v="2"/>
  </r>
  <r>
    <x v="1716"/>
    <x v="1716"/>
    <x v="1"/>
    <x v="1"/>
    <x v="5"/>
    <x v="6"/>
    <n v="47280"/>
    <n v="7642"/>
    <n v="5376"/>
    <n v="170"/>
    <n v="29"/>
    <n v="4"/>
    <n v="18"/>
    <n v="142"/>
    <n v="4.1108630952380952E-2"/>
    <x v="0"/>
  </r>
  <r>
    <x v="1717"/>
    <x v="1717"/>
    <x v="1"/>
    <x v="1"/>
    <x v="1"/>
    <x v="8"/>
    <n v="264035"/>
    <n v="127325"/>
    <n v="96405"/>
    <n v="9714"/>
    <n v="1332"/>
    <n v="553"/>
    <n v="1731"/>
    <n v="1113"/>
    <n v="0.13827083657486644"/>
    <x v="1"/>
  </r>
  <r>
    <x v="1718"/>
    <x v="1718"/>
    <x v="4"/>
    <x v="20"/>
    <x v="3"/>
    <x v="11"/>
    <n v="283140"/>
    <n v="58904"/>
    <n v="45195"/>
    <n v="1995"/>
    <n v="231"/>
    <n v="192"/>
    <n v="210"/>
    <n v="1803"/>
    <n v="5.8148025224029204E-2"/>
    <x v="1"/>
  </r>
  <r>
    <x v="1719"/>
    <x v="1719"/>
    <x v="0"/>
    <x v="0"/>
    <x v="1"/>
    <x v="7"/>
    <n v="587538"/>
    <n v="158983"/>
    <n v="119966"/>
    <n v="10793"/>
    <n v="1150"/>
    <n v="1467"/>
    <n v="1071"/>
    <n v="5250"/>
    <n v="0.12070920094026641"/>
    <x v="0"/>
  </r>
  <r>
    <x v="1720"/>
    <x v="1720"/>
    <x v="1"/>
    <x v="17"/>
    <x v="0"/>
    <x v="16"/>
    <n v="446153"/>
    <n v="250615"/>
    <n v="191591"/>
    <n v="12164"/>
    <n v="827"/>
    <n v="1245"/>
    <n v="1918"/>
    <n v="2688"/>
    <n v="8.4315025236049709E-2"/>
    <x v="1"/>
  </r>
  <r>
    <x v="1721"/>
    <x v="1721"/>
    <x v="0"/>
    <x v="22"/>
    <x v="5"/>
    <x v="0"/>
    <n v="421679"/>
    <n v="93472"/>
    <n v="72147"/>
    <n v="6461"/>
    <n v="666"/>
    <n v="204"/>
    <n v="1547"/>
    <n v="1376"/>
    <n v="0.12305431965293082"/>
    <x v="1"/>
  </r>
  <r>
    <x v="1722"/>
    <x v="1722"/>
    <x v="4"/>
    <x v="14"/>
    <x v="0"/>
    <x v="17"/>
    <n v="681589"/>
    <n v="316808"/>
    <n v="249175"/>
    <n v="7689"/>
    <n v="915"/>
    <n v="309"/>
    <n v="1634"/>
    <n v="9718"/>
    <n v="4.2327681348449886E-2"/>
    <x v="0"/>
  </r>
  <r>
    <x v="1723"/>
    <x v="1723"/>
    <x v="4"/>
    <x v="20"/>
    <x v="1"/>
    <x v="12"/>
    <n v="617366"/>
    <n v="137176"/>
    <n v="125408"/>
    <n v="5585"/>
    <n v="185"/>
    <n v="631"/>
    <n v="528"/>
    <n v="3519"/>
    <n v="5.5251658586374076E-2"/>
    <x v="1"/>
  </r>
  <r>
    <x v="1724"/>
    <x v="1724"/>
    <x v="2"/>
    <x v="19"/>
    <x v="5"/>
    <x v="2"/>
    <n v="795695"/>
    <n v="288695"/>
    <n v="258875"/>
    <n v="12569"/>
    <n v="1880"/>
    <n v="535"/>
    <n v="32"/>
    <n v="6915"/>
    <n v="5.800482858522453E-2"/>
    <x v="0"/>
  </r>
  <r>
    <x v="1725"/>
    <x v="1725"/>
    <x v="2"/>
    <x v="19"/>
    <x v="4"/>
    <x v="2"/>
    <n v="143143"/>
    <n v="17524"/>
    <n v="15630"/>
    <n v="1041"/>
    <n v="170"/>
    <n v="117"/>
    <n v="15"/>
    <n v="253"/>
    <n v="8.5924504158669229E-2"/>
    <x v="0"/>
  </r>
  <r>
    <x v="1726"/>
    <x v="1726"/>
    <x v="4"/>
    <x v="14"/>
    <x v="2"/>
    <x v="11"/>
    <n v="163815"/>
    <n v="69794"/>
    <n v="54773"/>
    <n v="4782"/>
    <n v="622"/>
    <n v="356"/>
    <n v="665"/>
    <n v="2185"/>
    <n v="0.11730232048637103"/>
    <x v="0"/>
  </r>
  <r>
    <x v="1727"/>
    <x v="1727"/>
    <x v="4"/>
    <x v="21"/>
    <x v="2"/>
    <x v="12"/>
    <n v="117113"/>
    <n v="70546"/>
    <n v="61089"/>
    <n v="4512"/>
    <n v="710"/>
    <n v="520"/>
    <n v="766"/>
    <n v="1380"/>
    <n v="0.10653309106385765"/>
    <x v="0"/>
  </r>
  <r>
    <x v="1728"/>
    <x v="1728"/>
    <x v="3"/>
    <x v="4"/>
    <x v="2"/>
    <x v="4"/>
    <n v="840572"/>
    <n v="254459"/>
    <n v="199722"/>
    <n v="8800"/>
    <n v="954"/>
    <n v="642"/>
    <n v="32"/>
    <n v="4884"/>
    <n v="5.2212575479917082E-2"/>
    <x v="0"/>
  </r>
  <r>
    <x v="1729"/>
    <x v="1729"/>
    <x v="0"/>
    <x v="6"/>
    <x v="1"/>
    <x v="0"/>
    <n v="370044"/>
    <n v="168990"/>
    <n v="130713"/>
    <n v="7438"/>
    <n v="844"/>
    <n v="882"/>
    <n v="937"/>
    <n v="1737"/>
    <n v="7.7276169929540284E-2"/>
    <x v="0"/>
  </r>
  <r>
    <x v="1730"/>
    <x v="1730"/>
    <x v="1"/>
    <x v="17"/>
    <x v="4"/>
    <x v="6"/>
    <n v="708432"/>
    <n v="405886"/>
    <n v="297901"/>
    <n v="12821"/>
    <n v="789"/>
    <n v="956"/>
    <n v="686"/>
    <n v="8309"/>
    <n v="5.1198216857278087E-2"/>
    <x v="1"/>
  </r>
  <r>
    <x v="1731"/>
    <x v="1731"/>
    <x v="4"/>
    <x v="20"/>
    <x v="1"/>
    <x v="13"/>
    <n v="548209"/>
    <n v="226340"/>
    <n v="176923"/>
    <n v="13239"/>
    <n v="1085"/>
    <n v="753"/>
    <n v="2114"/>
    <n v="3926"/>
    <n v="9.7166563985462598E-2"/>
    <x v="2"/>
  </r>
  <r>
    <x v="1732"/>
    <x v="1732"/>
    <x v="3"/>
    <x v="11"/>
    <x v="3"/>
    <x v="4"/>
    <n v="554947"/>
    <n v="176571"/>
    <n v="126255"/>
    <n v="9476"/>
    <n v="1368"/>
    <n v="1289"/>
    <n v="5"/>
    <n v="3134"/>
    <n v="9.6138766781513604E-2"/>
    <x v="0"/>
  </r>
  <r>
    <x v="1733"/>
    <x v="1733"/>
    <x v="0"/>
    <x v="6"/>
    <x v="0"/>
    <x v="7"/>
    <n v="263536"/>
    <n v="34512"/>
    <n v="31114"/>
    <n v="2048"/>
    <n v="125"/>
    <n v="289"/>
    <n v="109"/>
    <n v="206"/>
    <n v="8.2631612778813396E-2"/>
    <x v="0"/>
  </r>
  <r>
    <x v="1734"/>
    <x v="1734"/>
    <x v="1"/>
    <x v="8"/>
    <x v="3"/>
    <x v="8"/>
    <n v="508029"/>
    <n v="45978"/>
    <n v="33190"/>
    <n v="2285"/>
    <n v="259"/>
    <n v="77"/>
    <n v="471"/>
    <n v="1388"/>
    <n v="9.3160590539319077E-2"/>
    <x v="0"/>
  </r>
  <r>
    <x v="1735"/>
    <x v="1735"/>
    <x v="1"/>
    <x v="17"/>
    <x v="2"/>
    <x v="16"/>
    <n v="277878"/>
    <n v="44166"/>
    <n v="40198"/>
    <n v="1652"/>
    <n v="129"/>
    <n v="174"/>
    <n v="411"/>
    <n v="612"/>
    <n v="5.8858649684063881E-2"/>
    <x v="2"/>
  </r>
  <r>
    <x v="1736"/>
    <x v="1736"/>
    <x v="3"/>
    <x v="18"/>
    <x v="1"/>
    <x v="9"/>
    <n v="598121"/>
    <n v="184719"/>
    <n v="138930"/>
    <n v="9346"/>
    <n v="469"/>
    <n v="645"/>
    <n v="25"/>
    <n v="2112"/>
    <n v="7.5469660980349823E-2"/>
    <x v="0"/>
  </r>
  <r>
    <x v="1737"/>
    <x v="1737"/>
    <x v="1"/>
    <x v="17"/>
    <x v="2"/>
    <x v="6"/>
    <n v="610949"/>
    <n v="126673"/>
    <n v="105812"/>
    <n v="7234"/>
    <n v="462"/>
    <n v="161"/>
    <n v="1362"/>
    <n v="3346"/>
    <n v="8.712622386874834E-2"/>
    <x v="0"/>
  </r>
  <r>
    <x v="1738"/>
    <x v="1738"/>
    <x v="0"/>
    <x v="23"/>
    <x v="3"/>
    <x v="7"/>
    <n v="162516"/>
    <n v="58996"/>
    <n v="45959"/>
    <n v="3027"/>
    <n v="453"/>
    <n v="122"/>
    <n v="355"/>
    <n v="1095"/>
    <n v="8.6098479079179266E-2"/>
    <x v="0"/>
  </r>
  <r>
    <x v="1739"/>
    <x v="1739"/>
    <x v="1"/>
    <x v="8"/>
    <x v="2"/>
    <x v="16"/>
    <n v="237857"/>
    <n v="57935"/>
    <n v="45426"/>
    <n v="2785"/>
    <n v="439"/>
    <n v="408"/>
    <n v="196"/>
    <n v="914"/>
    <n v="8.4268920882314094E-2"/>
    <x v="1"/>
  </r>
  <r>
    <x v="1740"/>
    <x v="1740"/>
    <x v="0"/>
    <x v="22"/>
    <x v="1"/>
    <x v="10"/>
    <n v="176565"/>
    <n v="65134"/>
    <n v="50420"/>
    <n v="2915"/>
    <n v="276"/>
    <n v="327"/>
    <n v="612"/>
    <n v="1986"/>
    <n v="8.1911939706465695E-2"/>
    <x v="0"/>
  </r>
  <r>
    <x v="1741"/>
    <x v="1741"/>
    <x v="0"/>
    <x v="23"/>
    <x v="3"/>
    <x v="10"/>
    <n v="646547"/>
    <n v="2590023"/>
    <n v="1923387"/>
    <n v="64682"/>
    <n v="3303"/>
    <n v="4580"/>
    <n v="7412"/>
    <n v="55814"/>
    <n v="4.1581335425475999E-2"/>
    <x v="1"/>
  </r>
  <r>
    <x v="1742"/>
    <x v="1742"/>
    <x v="1"/>
    <x v="17"/>
    <x v="0"/>
    <x v="16"/>
    <n v="840568"/>
    <n v="399795"/>
    <n v="301938"/>
    <n v="21050"/>
    <n v="1872"/>
    <n v="2402"/>
    <n v="2081"/>
    <n v="7534"/>
    <n v="9.0763666713033805E-2"/>
    <x v="0"/>
  </r>
  <r>
    <x v="1743"/>
    <x v="1743"/>
    <x v="4"/>
    <x v="10"/>
    <x v="1"/>
    <x v="12"/>
    <n v="731732"/>
    <n v="341757"/>
    <n v="283376"/>
    <n v="9332"/>
    <n v="648"/>
    <n v="334"/>
    <n v="1889"/>
    <n v="8573"/>
    <n v="4.306292699452318E-2"/>
    <x v="0"/>
  </r>
  <r>
    <x v="1744"/>
    <x v="1744"/>
    <x v="2"/>
    <x v="19"/>
    <x v="1"/>
    <x v="15"/>
    <n v="109387"/>
    <n v="58895"/>
    <n v="42848"/>
    <n v="2292"/>
    <n v="394"/>
    <n v="330"/>
    <n v="43"/>
    <n v="1353"/>
    <n v="7.1391896938013441E-2"/>
    <x v="2"/>
  </r>
  <r>
    <x v="1745"/>
    <x v="1745"/>
    <x v="3"/>
    <x v="4"/>
    <x v="5"/>
    <x v="9"/>
    <n v="49965"/>
    <n v="6232"/>
    <n v="4633"/>
    <n v="150"/>
    <n v="6"/>
    <n v="21"/>
    <n v="35"/>
    <n v="149"/>
    <n v="4.5758687675372327E-2"/>
    <x v="0"/>
  </r>
  <r>
    <x v="1746"/>
    <x v="1746"/>
    <x v="1"/>
    <x v="8"/>
    <x v="5"/>
    <x v="6"/>
    <n v="469047"/>
    <n v="216256"/>
    <n v="166214"/>
    <n v="4825"/>
    <n v="406"/>
    <n v="97"/>
    <n v="960"/>
    <n v="6222"/>
    <n v="3.7830748312416521E-2"/>
    <x v="1"/>
  </r>
  <r>
    <x v="1747"/>
    <x v="1747"/>
    <x v="3"/>
    <x v="9"/>
    <x v="1"/>
    <x v="9"/>
    <n v="75070"/>
    <n v="147929"/>
    <n v="129821"/>
    <n v="9730"/>
    <n v="860"/>
    <n v="592"/>
    <n v="8"/>
    <n v="4939"/>
    <n v="8.6195607798430149E-2"/>
    <x v="0"/>
  </r>
  <r>
    <x v="1748"/>
    <x v="1748"/>
    <x v="0"/>
    <x v="22"/>
    <x v="3"/>
    <x v="10"/>
    <n v="283234"/>
    <n v="698618"/>
    <n v="529842"/>
    <n v="39887"/>
    <n v="4670"/>
    <n v="5573"/>
    <n v="6184"/>
    <n v="3570"/>
    <n v="0.10628451500636038"/>
    <x v="2"/>
  </r>
  <r>
    <x v="1749"/>
    <x v="1749"/>
    <x v="1"/>
    <x v="1"/>
    <x v="4"/>
    <x v="1"/>
    <n v="95782"/>
    <n v="42061"/>
    <n v="30097"/>
    <n v="2944"/>
    <n v="95"/>
    <n v="123"/>
    <n v="594"/>
    <n v="779"/>
    <n v="0.12479649134465229"/>
    <x v="0"/>
  </r>
  <r>
    <x v="1750"/>
    <x v="1750"/>
    <x v="4"/>
    <x v="14"/>
    <x v="3"/>
    <x v="13"/>
    <n v="255663"/>
    <n v="142356"/>
    <n v="100487"/>
    <n v="7406"/>
    <n v="673"/>
    <n v="468"/>
    <n v="973"/>
    <n v="1115"/>
    <n v="9.4738622906445608E-2"/>
    <x v="0"/>
  </r>
  <r>
    <x v="1751"/>
    <x v="1751"/>
    <x v="0"/>
    <x v="22"/>
    <x v="2"/>
    <x v="7"/>
    <n v="464725"/>
    <n v="175201"/>
    <n v="145745"/>
    <n v="12721"/>
    <n v="1104"/>
    <n v="1305"/>
    <n v="2121"/>
    <n v="3602"/>
    <n v="0.11836426635562113"/>
    <x v="0"/>
  </r>
  <r>
    <x v="1752"/>
    <x v="1752"/>
    <x v="4"/>
    <x v="12"/>
    <x v="3"/>
    <x v="12"/>
    <n v="29084"/>
    <n v="17600"/>
    <n v="15409"/>
    <n v="356"/>
    <n v="14"/>
    <n v="29"/>
    <n v="85"/>
    <n v="542"/>
    <n v="3.1410214809526903E-2"/>
    <x v="1"/>
  </r>
  <r>
    <x v="1753"/>
    <x v="1753"/>
    <x v="3"/>
    <x v="4"/>
    <x v="0"/>
    <x v="9"/>
    <n v="468226"/>
    <n v="66988"/>
    <n v="53410"/>
    <n v="3645"/>
    <n v="524"/>
    <n v="467"/>
    <n v="2"/>
    <n v="893"/>
    <n v="8.6837670848155774E-2"/>
    <x v="0"/>
  </r>
  <r>
    <x v="1754"/>
    <x v="1754"/>
    <x v="4"/>
    <x v="14"/>
    <x v="5"/>
    <x v="13"/>
    <n v="471988"/>
    <n v="100272"/>
    <n v="84793"/>
    <n v="3828"/>
    <n v="439"/>
    <n v="279"/>
    <n v="728"/>
    <n v="1531"/>
    <n v="6.2198530539077521E-2"/>
    <x v="2"/>
  </r>
  <r>
    <x v="1755"/>
    <x v="1755"/>
    <x v="4"/>
    <x v="12"/>
    <x v="4"/>
    <x v="17"/>
    <n v="380189"/>
    <n v="30688"/>
    <n v="21855"/>
    <n v="1750"/>
    <n v="261"/>
    <n v="167"/>
    <n v="222"/>
    <n v="525"/>
    <n v="0.10981468771448182"/>
    <x v="0"/>
  </r>
  <r>
    <x v="1756"/>
    <x v="1756"/>
    <x v="3"/>
    <x v="9"/>
    <x v="4"/>
    <x v="4"/>
    <n v="249290"/>
    <n v="84515"/>
    <n v="75319"/>
    <n v="5561"/>
    <n v="746"/>
    <n v="223"/>
    <n v="32"/>
    <n v="1678"/>
    <n v="8.7122771146722608E-2"/>
    <x v="1"/>
  </r>
  <r>
    <x v="1757"/>
    <x v="1757"/>
    <x v="0"/>
    <x v="13"/>
    <x v="3"/>
    <x v="7"/>
    <n v="695875"/>
    <n v="302280"/>
    <n v="255410"/>
    <n v="13083"/>
    <n v="1281"/>
    <n v="418"/>
    <n v="2489"/>
    <n v="10498"/>
    <n v="6.7620688305078114E-2"/>
    <x v="2"/>
  </r>
  <r>
    <x v="1758"/>
    <x v="1758"/>
    <x v="4"/>
    <x v="20"/>
    <x v="1"/>
    <x v="13"/>
    <n v="464207"/>
    <n v="151025"/>
    <n v="117806"/>
    <n v="8829"/>
    <n v="897"/>
    <n v="439"/>
    <n v="1005"/>
    <n v="3507"/>
    <n v="9.4816902364905017E-2"/>
    <x v="0"/>
  </r>
  <r>
    <x v="1759"/>
    <x v="1759"/>
    <x v="0"/>
    <x v="22"/>
    <x v="3"/>
    <x v="10"/>
    <n v="618483"/>
    <n v="115747"/>
    <n v="100124"/>
    <n v="5045"/>
    <n v="454"/>
    <n v="638"/>
    <n v="792"/>
    <n v="2648"/>
    <n v="6.9204186808357632E-2"/>
    <x v="0"/>
  </r>
  <r>
    <x v="1760"/>
    <x v="1760"/>
    <x v="0"/>
    <x v="23"/>
    <x v="3"/>
    <x v="0"/>
    <n v="244486"/>
    <n v="52633"/>
    <n v="38375"/>
    <n v="3249"/>
    <n v="576"/>
    <n v="370"/>
    <n v="802"/>
    <n v="890"/>
    <n v="0.13021498371335505"/>
    <x v="1"/>
  </r>
  <r>
    <x v="1761"/>
    <x v="1761"/>
    <x v="3"/>
    <x v="11"/>
    <x v="5"/>
    <x v="9"/>
    <n v="653810"/>
    <n v="197434"/>
    <n v="138511"/>
    <n v="11847"/>
    <n v="1748"/>
    <n v="1463"/>
    <n v="7"/>
    <n v="4939"/>
    <n v="0.10876392488683209"/>
    <x v="1"/>
  </r>
  <r>
    <x v="1762"/>
    <x v="1762"/>
    <x v="2"/>
    <x v="19"/>
    <x v="1"/>
    <x v="2"/>
    <n v="204378"/>
    <n v="108123"/>
    <n v="93454"/>
    <n v="6228"/>
    <n v="263"/>
    <n v="891"/>
    <n v="14"/>
    <n v="544"/>
    <n v="7.9140539730776643E-2"/>
    <x v="1"/>
  </r>
  <r>
    <x v="1763"/>
    <x v="1763"/>
    <x v="1"/>
    <x v="7"/>
    <x v="5"/>
    <x v="8"/>
    <n v="603292"/>
    <n v="311040"/>
    <n v="282743"/>
    <n v="23263"/>
    <n v="3558"/>
    <n v="3043"/>
    <n v="3387"/>
    <n v="3390"/>
    <n v="0.117601496765614"/>
    <x v="2"/>
  </r>
  <r>
    <x v="1764"/>
    <x v="1764"/>
    <x v="0"/>
    <x v="13"/>
    <x v="2"/>
    <x v="7"/>
    <n v="711619"/>
    <n v="454043"/>
    <n v="342304"/>
    <n v="36101"/>
    <n v="5718"/>
    <n v="5127"/>
    <n v="8804"/>
    <n v="12140"/>
    <n v="0.16286692530616059"/>
    <x v="0"/>
  </r>
  <r>
    <x v="1765"/>
    <x v="1765"/>
    <x v="3"/>
    <x v="18"/>
    <x v="0"/>
    <x v="9"/>
    <n v="24510"/>
    <n v="12447"/>
    <n v="10704"/>
    <n v="545"/>
    <n v="39"/>
    <n v="44"/>
    <n v="4"/>
    <n v="300"/>
    <n v="5.9043348281016442E-2"/>
    <x v="1"/>
  </r>
  <r>
    <x v="1766"/>
    <x v="1766"/>
    <x v="1"/>
    <x v="8"/>
    <x v="3"/>
    <x v="1"/>
    <n v="804217"/>
    <n v="352119"/>
    <n v="264977"/>
    <n v="17748"/>
    <n v="1375"/>
    <n v="1798"/>
    <n v="2985"/>
    <n v="6132"/>
    <n v="9.0219151096132877E-2"/>
    <x v="0"/>
  </r>
  <r>
    <x v="1767"/>
    <x v="1767"/>
    <x v="1"/>
    <x v="8"/>
    <x v="1"/>
    <x v="6"/>
    <n v="750152"/>
    <n v="157551"/>
    <n v="144167"/>
    <n v="4473"/>
    <n v="737"/>
    <n v="176"/>
    <n v="1017"/>
    <n v="4592"/>
    <n v="4.4413770141571926E-2"/>
    <x v="1"/>
  </r>
  <r>
    <x v="1768"/>
    <x v="1768"/>
    <x v="3"/>
    <x v="4"/>
    <x v="3"/>
    <x v="14"/>
    <n v="275168"/>
    <n v="119982"/>
    <n v="106309"/>
    <n v="3590"/>
    <n v="208"/>
    <n v="158"/>
    <n v="39"/>
    <n v="2091"/>
    <n v="3.7579132528760502E-2"/>
    <x v="0"/>
  </r>
  <r>
    <x v="1769"/>
    <x v="1769"/>
    <x v="1"/>
    <x v="1"/>
    <x v="4"/>
    <x v="8"/>
    <n v="534438"/>
    <n v="338853"/>
    <n v="242742"/>
    <n v="22699"/>
    <n v="1438"/>
    <n v="590"/>
    <n v="2303"/>
    <n v="7844"/>
    <n v="0.11135279432483872"/>
    <x v="0"/>
  </r>
  <r>
    <x v="1770"/>
    <x v="1770"/>
    <x v="4"/>
    <x v="14"/>
    <x v="5"/>
    <x v="11"/>
    <n v="625178"/>
    <n v="328586"/>
    <n v="285739"/>
    <n v="24509"/>
    <n v="3303"/>
    <n v="1021"/>
    <n v="3585"/>
    <n v="6363"/>
    <n v="0.1134531862993851"/>
    <x v="1"/>
  </r>
  <r>
    <x v="1771"/>
    <x v="1771"/>
    <x v="1"/>
    <x v="17"/>
    <x v="4"/>
    <x v="1"/>
    <n v="411626"/>
    <n v="142726"/>
    <n v="112859"/>
    <n v="10444"/>
    <n v="1827"/>
    <n v="745"/>
    <n v="569"/>
    <n v="1337"/>
    <n v="0.12037143692572147"/>
    <x v="0"/>
  </r>
  <r>
    <x v="1772"/>
    <x v="1772"/>
    <x v="4"/>
    <x v="12"/>
    <x v="1"/>
    <x v="11"/>
    <n v="363944"/>
    <n v="151393"/>
    <n v="121576"/>
    <n v="5093"/>
    <n v="500"/>
    <n v="708"/>
    <n v="836"/>
    <n v="3489"/>
    <n v="5.8704020530367836E-2"/>
    <x v="0"/>
  </r>
  <r>
    <x v="1773"/>
    <x v="1773"/>
    <x v="0"/>
    <x v="22"/>
    <x v="1"/>
    <x v="10"/>
    <n v="155643"/>
    <n v="52501"/>
    <n v="37736"/>
    <n v="1252"/>
    <n v="164"/>
    <n v="185"/>
    <n v="303"/>
    <n v="980"/>
    <n v="5.0455798176807294E-2"/>
    <x v="0"/>
  </r>
  <r>
    <x v="1774"/>
    <x v="1774"/>
    <x v="2"/>
    <x v="16"/>
    <x v="3"/>
    <x v="15"/>
    <n v="110933"/>
    <n v="68823"/>
    <n v="59233"/>
    <n v="2038"/>
    <n v="124"/>
    <n v="251"/>
    <n v="34"/>
    <n v="432"/>
    <n v="4.131143112791856E-2"/>
    <x v="0"/>
  </r>
  <r>
    <x v="1775"/>
    <x v="1775"/>
    <x v="1"/>
    <x v="7"/>
    <x v="0"/>
    <x v="1"/>
    <n v="670960"/>
    <n v="249213"/>
    <n v="227167"/>
    <n v="17523"/>
    <n v="975"/>
    <n v="602"/>
    <n v="3988"/>
    <n v="6352"/>
    <n v="0.1016344803602636"/>
    <x v="0"/>
  </r>
  <r>
    <x v="1776"/>
    <x v="1776"/>
    <x v="2"/>
    <x v="5"/>
    <x v="4"/>
    <x v="2"/>
    <n v="372796"/>
    <n v="91576"/>
    <n v="67112"/>
    <n v="1846"/>
    <n v="92"/>
    <n v="52"/>
    <n v="28"/>
    <n v="2779"/>
    <n v="3.00691381571105E-2"/>
    <x v="0"/>
  </r>
  <r>
    <x v="1777"/>
    <x v="1777"/>
    <x v="4"/>
    <x v="20"/>
    <x v="4"/>
    <x v="17"/>
    <n v="516361"/>
    <n v="167834"/>
    <n v="140717"/>
    <n v="6642"/>
    <n v="355"/>
    <n v="764"/>
    <n v="766"/>
    <n v="2510"/>
    <n v="6.0596800670850007E-2"/>
    <x v="1"/>
  </r>
  <r>
    <x v="1778"/>
    <x v="1778"/>
    <x v="4"/>
    <x v="10"/>
    <x v="1"/>
    <x v="12"/>
    <n v="650984"/>
    <n v="251622"/>
    <n v="215439"/>
    <n v="6977"/>
    <n v="1127"/>
    <n v="328"/>
    <n v="415"/>
    <n v="2841"/>
    <n v="4.1064988233328228E-2"/>
    <x v="0"/>
  </r>
  <r>
    <x v="1779"/>
    <x v="1779"/>
    <x v="0"/>
    <x v="22"/>
    <x v="0"/>
    <x v="10"/>
    <n v="688471"/>
    <n v="56184"/>
    <n v="47606"/>
    <n v="3425"/>
    <n v="553"/>
    <n v="353"/>
    <n v="306"/>
    <n v="1051"/>
    <n v="9.7403688610679329E-2"/>
    <x v="1"/>
  </r>
  <r>
    <x v="1780"/>
    <x v="1780"/>
    <x v="3"/>
    <x v="4"/>
    <x v="1"/>
    <x v="9"/>
    <n v="638088"/>
    <n v="202184"/>
    <n v="151364"/>
    <n v="9163"/>
    <n v="1511"/>
    <n v="691"/>
    <n v="24"/>
    <n v="6082"/>
    <n v="7.5242461879971453E-2"/>
    <x v="0"/>
  </r>
  <r>
    <x v="1781"/>
    <x v="1781"/>
    <x v="1"/>
    <x v="17"/>
    <x v="5"/>
    <x v="1"/>
    <n v="294474"/>
    <n v="34346"/>
    <n v="26985"/>
    <n v="1585"/>
    <n v="110"/>
    <n v="127"/>
    <n v="88"/>
    <n v="734"/>
    <n v="7.0780062997961829E-2"/>
    <x v="0"/>
  </r>
  <r>
    <x v="1782"/>
    <x v="1782"/>
    <x v="4"/>
    <x v="14"/>
    <x v="4"/>
    <x v="12"/>
    <n v="516094"/>
    <n v="83266"/>
    <n v="73493"/>
    <n v="2514"/>
    <n v="76"/>
    <n v="92"/>
    <n v="173"/>
    <n v="1312"/>
    <n v="3.8847237151837591E-2"/>
    <x v="0"/>
  </r>
  <r>
    <x v="1783"/>
    <x v="1783"/>
    <x v="2"/>
    <x v="2"/>
    <x v="1"/>
    <x v="2"/>
    <n v="106010"/>
    <n v="55179"/>
    <n v="42630"/>
    <n v="1641"/>
    <n v="130"/>
    <n v="66"/>
    <n v="15"/>
    <n v="1428"/>
    <n v="4.3443584330283835E-2"/>
    <x v="0"/>
  </r>
  <r>
    <x v="1784"/>
    <x v="1784"/>
    <x v="0"/>
    <x v="13"/>
    <x v="1"/>
    <x v="0"/>
    <n v="480681"/>
    <n v="212700"/>
    <n v="165260"/>
    <n v="7712"/>
    <n v="297"/>
    <n v="855"/>
    <n v="1485"/>
    <n v="4234"/>
    <n v="6.2622534188551376E-2"/>
    <x v="0"/>
  </r>
  <r>
    <x v="1785"/>
    <x v="1785"/>
    <x v="1"/>
    <x v="7"/>
    <x v="5"/>
    <x v="6"/>
    <n v="811568"/>
    <n v="118499"/>
    <n v="103187"/>
    <n v="8179"/>
    <n v="637"/>
    <n v="892"/>
    <n v="1774"/>
    <n v="2238"/>
    <n v="0.11127370695920998"/>
    <x v="1"/>
  </r>
  <r>
    <x v="1786"/>
    <x v="1786"/>
    <x v="4"/>
    <x v="12"/>
    <x v="2"/>
    <x v="13"/>
    <n v="292284"/>
    <n v="26495"/>
    <n v="18662"/>
    <n v="1974"/>
    <n v="165"/>
    <n v="271"/>
    <n v="450"/>
    <n v="535"/>
    <n v="0.15325259886400172"/>
    <x v="1"/>
  </r>
  <r>
    <x v="1787"/>
    <x v="1787"/>
    <x v="3"/>
    <x v="9"/>
    <x v="2"/>
    <x v="4"/>
    <n v="140121"/>
    <n v="90412"/>
    <n v="70607"/>
    <n v="5619"/>
    <n v="977"/>
    <n v="673"/>
    <n v="42"/>
    <n v="2434"/>
    <n v="0.10354497429433342"/>
    <x v="0"/>
  </r>
  <r>
    <x v="1788"/>
    <x v="1788"/>
    <x v="0"/>
    <x v="13"/>
    <x v="3"/>
    <x v="7"/>
    <n v="339276"/>
    <n v="143094"/>
    <n v="103533"/>
    <n v="4479"/>
    <n v="436"/>
    <n v="434"/>
    <n v="715"/>
    <n v="794"/>
    <n v="5.8570697265606132E-2"/>
    <x v="0"/>
  </r>
  <r>
    <x v="1789"/>
    <x v="1789"/>
    <x v="2"/>
    <x v="3"/>
    <x v="5"/>
    <x v="15"/>
    <n v="94526"/>
    <n v="7592"/>
    <n v="6949"/>
    <n v="538"/>
    <n v="94"/>
    <n v="50"/>
    <n v="2"/>
    <n v="219"/>
    <n v="9.8431428982587429E-2"/>
    <x v="0"/>
  </r>
  <r>
    <x v="1790"/>
    <x v="1790"/>
    <x v="1"/>
    <x v="17"/>
    <x v="0"/>
    <x v="16"/>
    <n v="399821"/>
    <n v="167610"/>
    <n v="119568"/>
    <n v="12558"/>
    <n v="745"/>
    <n v="999"/>
    <n v="2337"/>
    <n v="1191"/>
    <n v="0.13915930683794994"/>
    <x v="1"/>
  </r>
  <r>
    <x v="1791"/>
    <x v="1791"/>
    <x v="3"/>
    <x v="18"/>
    <x v="4"/>
    <x v="9"/>
    <n v="9874"/>
    <n v="5971"/>
    <n v="4692"/>
    <n v="157"/>
    <n v="7"/>
    <n v="8"/>
    <n v="36"/>
    <n v="138"/>
    <n v="4.4330775788576297E-2"/>
    <x v="1"/>
  </r>
  <r>
    <x v="1792"/>
    <x v="1792"/>
    <x v="4"/>
    <x v="14"/>
    <x v="4"/>
    <x v="13"/>
    <n v="53501"/>
    <n v="30393"/>
    <n v="22687"/>
    <n v="1841"/>
    <n v="261"/>
    <n v="247"/>
    <n v="341"/>
    <n v="956"/>
    <n v="0.11857010622823644"/>
    <x v="0"/>
  </r>
  <r>
    <x v="1793"/>
    <x v="1793"/>
    <x v="3"/>
    <x v="18"/>
    <x v="3"/>
    <x v="14"/>
    <n v="686130"/>
    <n v="357193"/>
    <n v="311010"/>
    <n v="27914"/>
    <n v="2794"/>
    <n v="3086"/>
    <n v="3"/>
    <n v="9413"/>
    <n v="0.10866853155847078"/>
    <x v="2"/>
  </r>
  <r>
    <x v="1794"/>
    <x v="1794"/>
    <x v="1"/>
    <x v="1"/>
    <x v="1"/>
    <x v="1"/>
    <n v="647873"/>
    <n v="277730"/>
    <n v="252006"/>
    <n v="16443"/>
    <n v="1226"/>
    <n v="920"/>
    <n v="2343"/>
    <n v="8892"/>
    <n v="8.3061514408387105E-2"/>
    <x v="1"/>
  </r>
  <r>
    <x v="1795"/>
    <x v="1795"/>
    <x v="4"/>
    <x v="20"/>
    <x v="3"/>
    <x v="17"/>
    <n v="782449"/>
    <n v="234572"/>
    <n v="212000"/>
    <n v="8699"/>
    <n v="564"/>
    <n v="1043"/>
    <n v="1879"/>
    <n v="8164"/>
    <n v="5.7476415094339622E-2"/>
    <x v="0"/>
  </r>
  <r>
    <x v="1796"/>
    <x v="1796"/>
    <x v="0"/>
    <x v="0"/>
    <x v="5"/>
    <x v="10"/>
    <n v="686443"/>
    <n v="136807"/>
    <n v="111286"/>
    <n v="10573"/>
    <n v="1327"/>
    <n v="1396"/>
    <n v="2095"/>
    <n v="2580"/>
    <n v="0.13830131373218554"/>
    <x v="1"/>
  </r>
  <r>
    <x v="1797"/>
    <x v="1797"/>
    <x v="3"/>
    <x v="15"/>
    <x v="3"/>
    <x v="14"/>
    <n v="795567"/>
    <n v="368348"/>
    <n v="291606"/>
    <n v="29163"/>
    <n v="3290"/>
    <n v="2017"/>
    <n v="33"/>
    <n v="5261"/>
    <n v="0.1183206106870229"/>
    <x v="1"/>
  </r>
  <r>
    <x v="1798"/>
    <x v="1798"/>
    <x v="1"/>
    <x v="17"/>
    <x v="3"/>
    <x v="6"/>
    <n v="848040"/>
    <n v="293085"/>
    <n v="211215"/>
    <n v="22061"/>
    <n v="2769"/>
    <n v="995"/>
    <n v="4004"/>
    <n v="7109"/>
    <n v="0.14122576521553867"/>
    <x v="0"/>
  </r>
  <r>
    <x v="1799"/>
    <x v="1799"/>
    <x v="3"/>
    <x v="4"/>
    <x v="0"/>
    <x v="9"/>
    <n v="209458"/>
    <n v="76577"/>
    <n v="53833"/>
    <n v="5685"/>
    <n v="519"/>
    <n v="548"/>
    <n v="21"/>
    <n v="681"/>
    <n v="0.12581502052644289"/>
    <x v="0"/>
  </r>
  <r>
    <x v="1800"/>
    <x v="1800"/>
    <x v="1"/>
    <x v="17"/>
    <x v="0"/>
    <x v="8"/>
    <n v="332865"/>
    <n v="113640"/>
    <n v="96907"/>
    <n v="7120"/>
    <n v="1077"/>
    <n v="405"/>
    <n v="997"/>
    <n v="1463"/>
    <n v="9.9053731928550048E-2"/>
    <x v="1"/>
  </r>
  <r>
    <x v="1801"/>
    <x v="1801"/>
    <x v="0"/>
    <x v="6"/>
    <x v="3"/>
    <x v="0"/>
    <n v="308704"/>
    <n v="132450"/>
    <n v="109765"/>
    <n v="8294"/>
    <n v="639"/>
    <n v="537"/>
    <n v="1163"/>
    <n v="4590"/>
    <n v="9.6870587163485622E-2"/>
    <x v="2"/>
  </r>
  <r>
    <x v="1802"/>
    <x v="1802"/>
    <x v="4"/>
    <x v="20"/>
    <x v="5"/>
    <x v="12"/>
    <n v="206512"/>
    <n v="52913"/>
    <n v="41235"/>
    <n v="1928"/>
    <n v="193"/>
    <n v="136"/>
    <n v="391"/>
    <n v="435"/>
    <n v="6.4217291136170723E-2"/>
    <x v="0"/>
  </r>
  <r>
    <x v="1803"/>
    <x v="1803"/>
    <x v="1"/>
    <x v="1"/>
    <x v="4"/>
    <x v="6"/>
    <n v="441303"/>
    <n v="145379"/>
    <n v="105071"/>
    <n v="4249"/>
    <n v="681"/>
    <n v="585"/>
    <n v="672"/>
    <n v="1759"/>
    <n v="5.8883992728726291E-2"/>
    <x v="1"/>
  </r>
  <r>
    <x v="1804"/>
    <x v="1804"/>
    <x v="0"/>
    <x v="6"/>
    <x v="1"/>
    <x v="10"/>
    <n v="372333"/>
    <n v="30714"/>
    <n v="24006"/>
    <n v="1211"/>
    <n v="207"/>
    <n v="115"/>
    <n v="72"/>
    <n v="1046"/>
    <n v="6.6858285428642833E-2"/>
    <x v="0"/>
  </r>
  <r>
    <x v="1805"/>
    <x v="1805"/>
    <x v="2"/>
    <x v="16"/>
    <x v="1"/>
    <x v="3"/>
    <n v="834634"/>
    <n v="374178"/>
    <n v="295670"/>
    <n v="29623"/>
    <n v="3450"/>
    <n v="2905"/>
    <n v="16"/>
    <n v="9485"/>
    <n v="0.12173707173538066"/>
    <x v="0"/>
  </r>
  <r>
    <x v="1806"/>
    <x v="1806"/>
    <x v="1"/>
    <x v="1"/>
    <x v="1"/>
    <x v="8"/>
    <n v="758389"/>
    <n v="414976"/>
    <n v="377034"/>
    <n v="18858"/>
    <n v="3193"/>
    <n v="419"/>
    <n v="4514"/>
    <n v="4362"/>
    <n v="7.1569142305468472E-2"/>
    <x v="0"/>
  </r>
  <r>
    <x v="1807"/>
    <x v="1807"/>
    <x v="4"/>
    <x v="20"/>
    <x v="2"/>
    <x v="13"/>
    <n v="813320"/>
    <n v="265182"/>
    <n v="187013"/>
    <n v="16780"/>
    <n v="2910"/>
    <n v="1815"/>
    <n v="1418"/>
    <n v="1769"/>
    <n v="0.12257436648789122"/>
    <x v="0"/>
  </r>
  <r>
    <x v="1808"/>
    <x v="1808"/>
    <x v="4"/>
    <x v="20"/>
    <x v="3"/>
    <x v="13"/>
    <n v="174036"/>
    <n v="51856"/>
    <n v="37142"/>
    <n v="3056"/>
    <n v="406"/>
    <n v="361"/>
    <n v="652"/>
    <n v="1174"/>
    <n v="0.12048354962037586"/>
    <x v="1"/>
  </r>
  <r>
    <x v="1809"/>
    <x v="1809"/>
    <x v="1"/>
    <x v="7"/>
    <x v="3"/>
    <x v="16"/>
    <n v="120438"/>
    <n v="363396"/>
    <n v="292782"/>
    <n v="10748"/>
    <n v="1805"/>
    <n v="273"/>
    <n v="657"/>
    <n v="7913"/>
    <n v="4.6051328292039811E-2"/>
    <x v="2"/>
  </r>
  <r>
    <x v="1810"/>
    <x v="1810"/>
    <x v="2"/>
    <x v="3"/>
    <x v="0"/>
    <x v="2"/>
    <n v="819764"/>
    <n v="199252"/>
    <n v="153685"/>
    <n v="12776"/>
    <n v="1409"/>
    <n v="994"/>
    <n v="10"/>
    <n v="6320"/>
    <n v="9.8832026547808829E-2"/>
    <x v="2"/>
  </r>
  <r>
    <x v="1811"/>
    <x v="1811"/>
    <x v="1"/>
    <x v="7"/>
    <x v="4"/>
    <x v="6"/>
    <n v="85495"/>
    <n v="14997"/>
    <n v="12323"/>
    <n v="1111"/>
    <n v="76"/>
    <n v="123"/>
    <n v="136"/>
    <n v="335"/>
    <n v="0.11734155643917878"/>
    <x v="0"/>
  </r>
  <r>
    <x v="1812"/>
    <x v="1812"/>
    <x v="4"/>
    <x v="21"/>
    <x v="3"/>
    <x v="12"/>
    <n v="680648"/>
    <n v="376588"/>
    <n v="300062"/>
    <n v="23230"/>
    <n v="1592"/>
    <n v="2930"/>
    <n v="2753"/>
    <n v="5970"/>
    <n v="0.10166232311988856"/>
    <x v="0"/>
  </r>
  <r>
    <x v="1813"/>
    <x v="1813"/>
    <x v="2"/>
    <x v="16"/>
    <x v="1"/>
    <x v="3"/>
    <n v="17278"/>
    <n v="9364"/>
    <n v="7803"/>
    <n v="421"/>
    <n v="42"/>
    <n v="33"/>
    <n v="3"/>
    <n v="326"/>
    <n v="6.3949762911700625E-2"/>
    <x v="0"/>
  </r>
  <r>
    <x v="1814"/>
    <x v="1814"/>
    <x v="2"/>
    <x v="5"/>
    <x v="1"/>
    <x v="3"/>
    <n v="165095"/>
    <n v="18975"/>
    <n v="13851"/>
    <n v="1286"/>
    <n v="66"/>
    <n v="92"/>
    <n v="46"/>
    <n v="135"/>
    <n v="0.10757346039997112"/>
    <x v="1"/>
  </r>
  <r>
    <x v="1815"/>
    <x v="1815"/>
    <x v="4"/>
    <x v="10"/>
    <x v="5"/>
    <x v="17"/>
    <n v="519124"/>
    <n v="194198"/>
    <n v="137360"/>
    <n v="8395"/>
    <n v="1155"/>
    <n v="760"/>
    <n v="437"/>
    <n v="2143"/>
    <n v="7.8239662201514265E-2"/>
    <x v="1"/>
  </r>
  <r>
    <x v="1816"/>
    <x v="1816"/>
    <x v="2"/>
    <x v="2"/>
    <x v="5"/>
    <x v="15"/>
    <n v="153856"/>
    <n v="58235"/>
    <n v="52040"/>
    <n v="3823"/>
    <n v="686"/>
    <n v="142"/>
    <n v="43"/>
    <n v="921"/>
    <n v="9.0199846272098386E-2"/>
    <x v="2"/>
  </r>
  <r>
    <x v="1817"/>
    <x v="1817"/>
    <x v="2"/>
    <x v="19"/>
    <x v="2"/>
    <x v="15"/>
    <n v="649266"/>
    <n v="148788"/>
    <n v="121248"/>
    <n v="3000"/>
    <n v="406"/>
    <n v="243"/>
    <n v="44"/>
    <n v="3040"/>
    <n v="3.045823436262866E-2"/>
    <x v="1"/>
  </r>
  <r>
    <x v="1818"/>
    <x v="1818"/>
    <x v="4"/>
    <x v="14"/>
    <x v="0"/>
    <x v="12"/>
    <n v="505332"/>
    <n v="70227"/>
    <n v="56440"/>
    <n v="2606"/>
    <n v="189"/>
    <n v="128"/>
    <n v="638"/>
    <n v="1570"/>
    <n v="6.3093550673281359E-2"/>
    <x v="1"/>
  </r>
  <r>
    <x v="1819"/>
    <x v="1819"/>
    <x v="1"/>
    <x v="24"/>
    <x v="3"/>
    <x v="6"/>
    <n v="704721"/>
    <n v="447803"/>
    <n v="316908"/>
    <n v="31221"/>
    <n v="5269"/>
    <n v="832"/>
    <n v="4489"/>
    <n v="13191"/>
    <n v="0.13193418910220001"/>
    <x v="0"/>
  </r>
  <r>
    <x v="1820"/>
    <x v="1820"/>
    <x v="1"/>
    <x v="17"/>
    <x v="5"/>
    <x v="6"/>
    <n v="158315"/>
    <n v="38749"/>
    <n v="28517"/>
    <n v="2547"/>
    <n v="315"/>
    <n v="283"/>
    <n v="442"/>
    <n v="231"/>
    <n v="0.12578461970052951"/>
    <x v="0"/>
  </r>
  <r>
    <x v="1821"/>
    <x v="1821"/>
    <x v="2"/>
    <x v="3"/>
    <x v="1"/>
    <x v="2"/>
    <n v="284598"/>
    <n v="132175"/>
    <n v="111819"/>
    <n v="10074"/>
    <n v="1269"/>
    <n v="1338"/>
    <n v="27"/>
    <n v="1934"/>
    <n v="0.11364794891744695"/>
    <x v="1"/>
  </r>
  <r>
    <x v="1822"/>
    <x v="1822"/>
    <x v="1"/>
    <x v="24"/>
    <x v="0"/>
    <x v="8"/>
    <n v="697817"/>
    <n v="300655"/>
    <n v="227518"/>
    <n v="17710"/>
    <n v="680"/>
    <n v="546"/>
    <n v="1892"/>
    <n v="4653"/>
    <n v="9.1544405277824176E-2"/>
    <x v="1"/>
  </r>
  <r>
    <x v="1823"/>
    <x v="1823"/>
    <x v="0"/>
    <x v="22"/>
    <x v="0"/>
    <x v="0"/>
    <n v="483362"/>
    <n v="309583"/>
    <n v="232357"/>
    <n v="14441"/>
    <n v="1351"/>
    <n v="1699"/>
    <n v="2863"/>
    <n v="8712"/>
    <n v="8.759796347861265E-2"/>
    <x v="1"/>
  </r>
  <r>
    <x v="1824"/>
    <x v="1824"/>
    <x v="2"/>
    <x v="19"/>
    <x v="1"/>
    <x v="3"/>
    <n v="362691"/>
    <n v="47291"/>
    <n v="37866"/>
    <n v="2644"/>
    <n v="97"/>
    <n v="177"/>
    <n v="19"/>
    <n v="1109"/>
    <n v="7.7562985263825074E-2"/>
    <x v="0"/>
  </r>
  <r>
    <x v="1825"/>
    <x v="1825"/>
    <x v="3"/>
    <x v="18"/>
    <x v="2"/>
    <x v="14"/>
    <n v="63644"/>
    <n v="34820"/>
    <n v="28229"/>
    <n v="1053"/>
    <n v="147"/>
    <n v="113"/>
    <n v="28"/>
    <n v="440"/>
    <n v="4.7504339509015552E-2"/>
    <x v="0"/>
  </r>
  <r>
    <x v="1826"/>
    <x v="1826"/>
    <x v="2"/>
    <x v="5"/>
    <x v="0"/>
    <x v="3"/>
    <n v="394547"/>
    <n v="102930"/>
    <n v="88731"/>
    <n v="2733"/>
    <n v="451"/>
    <n v="86"/>
    <n v="3"/>
    <n v="3327"/>
    <n v="3.6886770125435307E-2"/>
    <x v="0"/>
  </r>
  <r>
    <x v="1827"/>
    <x v="1827"/>
    <x v="3"/>
    <x v="15"/>
    <x v="3"/>
    <x v="14"/>
    <n v="447401"/>
    <n v="191273"/>
    <n v="175780"/>
    <n v="7515"/>
    <n v="476"/>
    <n v="312"/>
    <n v="15"/>
    <n v="3004"/>
    <n v="4.7320514279212654E-2"/>
    <x v="0"/>
  </r>
  <r>
    <x v="1828"/>
    <x v="1828"/>
    <x v="4"/>
    <x v="20"/>
    <x v="4"/>
    <x v="17"/>
    <n v="684949"/>
    <n v="420618"/>
    <n v="295201"/>
    <n v="27576"/>
    <n v="4486"/>
    <n v="1081"/>
    <n v="6113"/>
    <n v="5443"/>
    <n v="0.13298057933408083"/>
    <x v="0"/>
  </r>
  <r>
    <x v="1829"/>
    <x v="1829"/>
    <x v="4"/>
    <x v="14"/>
    <x v="5"/>
    <x v="11"/>
    <n v="575702"/>
    <n v="316004"/>
    <n v="281667"/>
    <n v="23900"/>
    <n v="4020"/>
    <n v="2180"/>
    <n v="1682"/>
    <n v="7360"/>
    <n v="0.11283536942559831"/>
    <x v="2"/>
  </r>
  <r>
    <x v="1830"/>
    <x v="1830"/>
    <x v="0"/>
    <x v="13"/>
    <x v="4"/>
    <x v="10"/>
    <n v="296144"/>
    <n v="88949"/>
    <n v="65679"/>
    <n v="3102"/>
    <n v="305"/>
    <n v="103"/>
    <n v="602"/>
    <n v="2896"/>
    <n v="6.2607530565325295E-2"/>
    <x v="1"/>
  </r>
  <r>
    <x v="1831"/>
    <x v="1831"/>
    <x v="2"/>
    <x v="19"/>
    <x v="3"/>
    <x v="5"/>
    <n v="525777"/>
    <n v="56273"/>
    <n v="43651"/>
    <n v="1611"/>
    <n v="249"/>
    <n v="70"/>
    <n v="28"/>
    <n v="1740"/>
    <n v="4.4855787954456945E-2"/>
    <x v="1"/>
  </r>
  <r>
    <x v="1832"/>
    <x v="1832"/>
    <x v="3"/>
    <x v="9"/>
    <x v="1"/>
    <x v="14"/>
    <n v="552726"/>
    <n v="192494"/>
    <n v="146551"/>
    <n v="9771"/>
    <n v="1587"/>
    <n v="1158"/>
    <n v="4"/>
    <n v="2323"/>
    <n v="8.5431010364992385E-2"/>
    <x v="0"/>
  </r>
  <r>
    <x v="1833"/>
    <x v="1833"/>
    <x v="3"/>
    <x v="4"/>
    <x v="3"/>
    <x v="9"/>
    <n v="727334"/>
    <n v="307791"/>
    <n v="262540"/>
    <n v="12303"/>
    <n v="2198"/>
    <n v="1826"/>
    <n v="37"/>
    <n v="3466"/>
    <n v="6.2329549782890223E-2"/>
    <x v="0"/>
  </r>
  <r>
    <x v="1834"/>
    <x v="1834"/>
    <x v="4"/>
    <x v="12"/>
    <x v="5"/>
    <x v="11"/>
    <n v="828385"/>
    <n v="351487"/>
    <n v="301621"/>
    <n v="21140"/>
    <n v="1925"/>
    <n v="2954"/>
    <n v="1352"/>
    <n v="5554"/>
    <n v="9.074633397541948E-2"/>
    <x v="0"/>
  </r>
  <r>
    <x v="1835"/>
    <x v="1835"/>
    <x v="1"/>
    <x v="17"/>
    <x v="3"/>
    <x v="6"/>
    <n v="691656"/>
    <n v="297117"/>
    <n v="209959"/>
    <n v="11576"/>
    <n v="750"/>
    <n v="801"/>
    <n v="882"/>
    <n v="2649"/>
    <n v="6.6722550593211055E-2"/>
    <x v="1"/>
  </r>
  <r>
    <x v="1836"/>
    <x v="1836"/>
    <x v="1"/>
    <x v="1"/>
    <x v="4"/>
    <x v="16"/>
    <n v="684669"/>
    <n v="409302"/>
    <n v="334856"/>
    <n v="23798"/>
    <n v="1292"/>
    <n v="1398"/>
    <n v="5341"/>
    <n v="6370"/>
    <n v="9.5052798815013023E-2"/>
    <x v="0"/>
  </r>
  <r>
    <x v="1837"/>
    <x v="1837"/>
    <x v="4"/>
    <x v="12"/>
    <x v="1"/>
    <x v="12"/>
    <n v="517919"/>
    <n v="96345"/>
    <n v="78878"/>
    <n v="6539"/>
    <n v="1084"/>
    <n v="484"/>
    <n v="744"/>
    <n v="3031"/>
    <n v="0.11221126296305688"/>
    <x v="0"/>
  </r>
  <r>
    <x v="1838"/>
    <x v="1838"/>
    <x v="2"/>
    <x v="16"/>
    <x v="0"/>
    <x v="3"/>
    <n v="456542"/>
    <n v="253393"/>
    <n v="206524"/>
    <n v="5504"/>
    <n v="683"/>
    <n v="504"/>
    <n v="33"/>
    <n v="2605"/>
    <n v="3.255795936549747E-2"/>
    <x v="0"/>
  </r>
  <r>
    <x v="1839"/>
    <x v="1839"/>
    <x v="3"/>
    <x v="9"/>
    <x v="3"/>
    <x v="14"/>
    <n v="46019"/>
    <n v="11973"/>
    <n v="9098"/>
    <n v="662"/>
    <n v="90"/>
    <n v="58"/>
    <n v="19"/>
    <n v="122"/>
    <n v="9.1118927236755326E-2"/>
    <x v="0"/>
  </r>
  <r>
    <x v="1840"/>
    <x v="1840"/>
    <x v="0"/>
    <x v="6"/>
    <x v="2"/>
    <x v="7"/>
    <n v="164101"/>
    <n v="20540"/>
    <n v="18172"/>
    <n v="617"/>
    <n v="75"/>
    <n v="56"/>
    <n v="142"/>
    <n v="158"/>
    <n v="4.8976447281532026E-2"/>
    <x v="1"/>
  </r>
  <r>
    <x v="1841"/>
    <x v="1841"/>
    <x v="1"/>
    <x v="17"/>
    <x v="0"/>
    <x v="8"/>
    <n v="402673"/>
    <n v="257184"/>
    <n v="224594"/>
    <n v="19486"/>
    <n v="2773"/>
    <n v="1770"/>
    <n v="1505"/>
    <n v="8575"/>
    <n v="0.11368959099530709"/>
    <x v="1"/>
  </r>
  <r>
    <x v="1842"/>
    <x v="1842"/>
    <x v="1"/>
    <x v="7"/>
    <x v="3"/>
    <x v="8"/>
    <n v="32971"/>
    <n v="5448"/>
    <n v="5004"/>
    <n v="266"/>
    <n v="30"/>
    <n v="34"/>
    <n v="36"/>
    <n v="40"/>
    <n v="7.3141486810551562E-2"/>
    <x v="1"/>
  </r>
  <r>
    <x v="1843"/>
    <x v="1843"/>
    <x v="1"/>
    <x v="8"/>
    <x v="5"/>
    <x v="1"/>
    <n v="793537"/>
    <n v="495877"/>
    <n v="387290"/>
    <n v="17139"/>
    <n v="2804"/>
    <n v="729"/>
    <n v="4127"/>
    <n v="4399"/>
    <n v="6.4032120633117307E-2"/>
    <x v="1"/>
  </r>
  <r>
    <x v="1844"/>
    <x v="1844"/>
    <x v="4"/>
    <x v="10"/>
    <x v="5"/>
    <x v="11"/>
    <n v="225810"/>
    <n v="63944"/>
    <n v="51370"/>
    <n v="1512"/>
    <n v="73"/>
    <n v="121"/>
    <n v="301"/>
    <n v="1603"/>
    <n v="3.9069495814677828E-2"/>
    <x v="0"/>
  </r>
  <r>
    <x v="1845"/>
    <x v="1845"/>
    <x v="2"/>
    <x v="19"/>
    <x v="5"/>
    <x v="5"/>
    <n v="829469"/>
    <n v="427244"/>
    <n v="330189"/>
    <n v="17203"/>
    <n v="2859"/>
    <n v="1509"/>
    <n v="46"/>
    <n v="12258"/>
    <n v="6.5468564973394025E-2"/>
    <x v="1"/>
  </r>
  <r>
    <x v="1846"/>
    <x v="1846"/>
    <x v="2"/>
    <x v="19"/>
    <x v="5"/>
    <x v="15"/>
    <n v="111550"/>
    <n v="70667"/>
    <n v="62740"/>
    <n v="1706"/>
    <n v="253"/>
    <n v="127"/>
    <n v="50"/>
    <n v="2185"/>
    <n v="3.4045266177876954E-2"/>
    <x v="0"/>
  </r>
  <r>
    <x v="1847"/>
    <x v="1847"/>
    <x v="2"/>
    <x v="3"/>
    <x v="3"/>
    <x v="15"/>
    <n v="313948"/>
    <n v="74960"/>
    <n v="67766"/>
    <n v="2689"/>
    <n v="351"/>
    <n v="228"/>
    <n v="14"/>
    <n v="840"/>
    <n v="4.8431366762093087E-2"/>
    <x v="1"/>
  </r>
  <r>
    <x v="1848"/>
    <x v="1848"/>
    <x v="0"/>
    <x v="13"/>
    <x v="1"/>
    <x v="7"/>
    <n v="371860"/>
    <n v="224332"/>
    <n v="158464"/>
    <n v="13359"/>
    <n v="1248"/>
    <n v="547"/>
    <n v="2477"/>
    <n v="2883"/>
    <n v="0.11126186389337642"/>
    <x v="0"/>
  </r>
  <r>
    <x v="1849"/>
    <x v="1849"/>
    <x v="0"/>
    <x v="0"/>
    <x v="3"/>
    <x v="7"/>
    <n v="35817"/>
    <n v="3355"/>
    <n v="2787"/>
    <n v="108"/>
    <n v="4"/>
    <n v="15"/>
    <n v="6"/>
    <n v="103"/>
    <n v="4.7721564406171507E-2"/>
    <x v="0"/>
  </r>
  <r>
    <x v="1850"/>
    <x v="1850"/>
    <x v="1"/>
    <x v="7"/>
    <x v="3"/>
    <x v="6"/>
    <n v="798586"/>
    <n v="311649"/>
    <n v="242552"/>
    <n v="16512"/>
    <n v="627"/>
    <n v="2243"/>
    <n v="2635"/>
    <n v="10890"/>
    <n v="9.0772288004221768E-2"/>
    <x v="0"/>
  </r>
  <r>
    <x v="1851"/>
    <x v="1851"/>
    <x v="1"/>
    <x v="8"/>
    <x v="3"/>
    <x v="1"/>
    <n v="849871"/>
    <n v="263552"/>
    <n v="191983"/>
    <n v="15643"/>
    <n v="1621"/>
    <n v="1353"/>
    <n v="2223"/>
    <n v="9208"/>
    <n v="0.10855127797773761"/>
    <x v="2"/>
  </r>
  <r>
    <x v="1852"/>
    <x v="1852"/>
    <x v="3"/>
    <x v="15"/>
    <x v="3"/>
    <x v="14"/>
    <n v="612106"/>
    <n v="152178"/>
    <n v="117928"/>
    <n v="6177"/>
    <n v="713"/>
    <n v="907"/>
    <n v="1"/>
    <n v="4828"/>
    <n v="6.6125093277253924E-2"/>
    <x v="0"/>
  </r>
  <r>
    <x v="1853"/>
    <x v="1853"/>
    <x v="2"/>
    <x v="5"/>
    <x v="1"/>
    <x v="15"/>
    <n v="467134"/>
    <n v="174217"/>
    <n v="156353"/>
    <n v="9329"/>
    <n v="1153"/>
    <n v="1329"/>
    <n v="44"/>
    <n v="2506"/>
    <n v="7.5822018125651577E-2"/>
    <x v="1"/>
  </r>
  <r>
    <x v="1854"/>
    <x v="1854"/>
    <x v="4"/>
    <x v="20"/>
    <x v="4"/>
    <x v="17"/>
    <n v="814980"/>
    <n v="248392"/>
    <n v="179135"/>
    <n v="5967"/>
    <n v="742"/>
    <n v="262"/>
    <n v="655"/>
    <n v="8005"/>
    <n v="4.2571245150305637E-2"/>
    <x v="0"/>
  </r>
  <r>
    <x v="1855"/>
    <x v="1855"/>
    <x v="4"/>
    <x v="12"/>
    <x v="2"/>
    <x v="17"/>
    <n v="499089"/>
    <n v="257564"/>
    <n v="206543"/>
    <n v="5548"/>
    <n v="774"/>
    <n v="505"/>
    <n v="610"/>
    <n v="1725"/>
    <n v="3.6007030013120757E-2"/>
    <x v="1"/>
  </r>
  <r>
    <x v="1856"/>
    <x v="1856"/>
    <x v="1"/>
    <x v="17"/>
    <x v="0"/>
    <x v="1"/>
    <n v="302110"/>
    <n v="1407844"/>
    <n v="1047521"/>
    <n v="93444"/>
    <n v="6076"/>
    <n v="9691"/>
    <n v="19516"/>
    <n v="7970"/>
    <n v="0.12288727385894889"/>
    <x v="0"/>
  </r>
  <r>
    <x v="1857"/>
    <x v="1857"/>
    <x v="3"/>
    <x v="11"/>
    <x v="5"/>
    <x v="14"/>
    <n v="694596"/>
    <n v="244894"/>
    <n v="202835"/>
    <n v="5796"/>
    <n v="197"/>
    <n v="812"/>
    <n v="30"/>
    <n v="5689"/>
    <n v="3.3697340202627754E-2"/>
    <x v="0"/>
  </r>
  <r>
    <x v="1858"/>
    <x v="1858"/>
    <x v="1"/>
    <x v="24"/>
    <x v="5"/>
    <x v="8"/>
    <n v="11057"/>
    <n v="6557"/>
    <n v="5967"/>
    <n v="438"/>
    <n v="26"/>
    <n v="25"/>
    <n v="106"/>
    <n v="225"/>
    <n v="9.9715099715099717E-2"/>
    <x v="0"/>
  </r>
  <r>
    <x v="1859"/>
    <x v="1859"/>
    <x v="4"/>
    <x v="12"/>
    <x v="0"/>
    <x v="13"/>
    <n v="728014"/>
    <n v="249823"/>
    <n v="197740"/>
    <n v="7779"/>
    <n v="512"/>
    <n v="984"/>
    <n v="569"/>
    <n v="2122"/>
    <n v="4.978254273288156E-2"/>
    <x v="0"/>
  </r>
  <r>
    <x v="1860"/>
    <x v="1860"/>
    <x v="1"/>
    <x v="7"/>
    <x v="2"/>
    <x v="16"/>
    <n v="43849"/>
    <n v="18305"/>
    <n v="15070"/>
    <n v="544"/>
    <n v="59"/>
    <n v="53"/>
    <n v="87"/>
    <n v="445"/>
    <n v="4.9303251493032517E-2"/>
    <x v="1"/>
  </r>
  <r>
    <x v="1861"/>
    <x v="1861"/>
    <x v="0"/>
    <x v="23"/>
    <x v="0"/>
    <x v="0"/>
    <n v="125201"/>
    <n v="17701"/>
    <n v="15774"/>
    <n v="392"/>
    <n v="20"/>
    <n v="42"/>
    <n v="34"/>
    <n v="296"/>
    <n v="3.0936984911880308E-2"/>
    <x v="0"/>
  </r>
  <r>
    <x v="1862"/>
    <x v="1862"/>
    <x v="2"/>
    <x v="5"/>
    <x v="0"/>
    <x v="2"/>
    <n v="658945"/>
    <n v="72935"/>
    <n v="66679"/>
    <n v="4572"/>
    <n v="614"/>
    <n v="132"/>
    <n v="30"/>
    <n v="550"/>
    <n v="8.0205162045021677E-2"/>
    <x v="1"/>
  </r>
  <r>
    <x v="1863"/>
    <x v="1863"/>
    <x v="3"/>
    <x v="11"/>
    <x v="1"/>
    <x v="9"/>
    <n v="533265"/>
    <n v="188299"/>
    <n v="145109"/>
    <n v="13559"/>
    <n v="634"/>
    <n v="1544"/>
    <n v="50"/>
    <n v="1839"/>
    <n v="0.10879407893376702"/>
    <x v="1"/>
  </r>
  <r>
    <x v="1864"/>
    <x v="1864"/>
    <x v="3"/>
    <x v="15"/>
    <x v="3"/>
    <x v="9"/>
    <n v="519545"/>
    <n v="306421"/>
    <n v="266398"/>
    <n v="12470"/>
    <n v="1919"/>
    <n v="1053"/>
    <n v="22"/>
    <n v="8436"/>
    <n v="5.804848384747633E-2"/>
    <x v="0"/>
  </r>
  <r>
    <x v="1865"/>
    <x v="1865"/>
    <x v="1"/>
    <x v="17"/>
    <x v="3"/>
    <x v="16"/>
    <n v="125887"/>
    <n v="70004"/>
    <n v="56664"/>
    <n v="4098"/>
    <n v="570"/>
    <n v="131"/>
    <n v="1001"/>
    <n v="1760"/>
    <n v="0.10235775801214175"/>
    <x v="2"/>
  </r>
  <r>
    <x v="1866"/>
    <x v="1866"/>
    <x v="2"/>
    <x v="19"/>
    <x v="0"/>
    <x v="2"/>
    <n v="811461"/>
    <n v="261273"/>
    <n v="184196"/>
    <n v="10639"/>
    <n v="1288"/>
    <n v="769"/>
    <n v="38"/>
    <n v="8068"/>
    <n v="6.9132880192838059E-2"/>
    <x v="2"/>
  </r>
  <r>
    <x v="1867"/>
    <x v="1867"/>
    <x v="1"/>
    <x v="8"/>
    <x v="0"/>
    <x v="8"/>
    <n v="64644"/>
    <n v="128410"/>
    <n v="98878"/>
    <n v="8876"/>
    <n v="1306"/>
    <n v="846"/>
    <n v="1982"/>
    <n v="895"/>
    <n v="0.13157628592811343"/>
    <x v="1"/>
  </r>
  <r>
    <x v="1868"/>
    <x v="1868"/>
    <x v="1"/>
    <x v="8"/>
    <x v="5"/>
    <x v="16"/>
    <n v="34608"/>
    <n v="10781"/>
    <n v="9392"/>
    <n v="405"/>
    <n v="65"/>
    <n v="36"/>
    <n v="62"/>
    <n v="116"/>
    <n v="6.0477001703577511E-2"/>
    <x v="1"/>
  </r>
  <r>
    <x v="1869"/>
    <x v="1869"/>
    <x v="3"/>
    <x v="11"/>
    <x v="1"/>
    <x v="4"/>
    <n v="198063"/>
    <n v="111910"/>
    <n v="100823"/>
    <n v="7868"/>
    <n v="402"/>
    <n v="539"/>
    <n v="21"/>
    <n v="3052"/>
    <n v="8.7579222994753181E-2"/>
    <x v="0"/>
  </r>
  <r>
    <x v="1870"/>
    <x v="1870"/>
    <x v="4"/>
    <x v="21"/>
    <x v="3"/>
    <x v="12"/>
    <n v="227703"/>
    <n v="85626"/>
    <n v="74599"/>
    <n v="2920"/>
    <n v="304"/>
    <n v="271"/>
    <n v="266"/>
    <n v="2253"/>
    <n v="5.0416225418571298E-2"/>
    <x v="0"/>
  </r>
  <r>
    <x v="1871"/>
    <x v="1871"/>
    <x v="1"/>
    <x v="8"/>
    <x v="0"/>
    <x v="6"/>
    <n v="36622"/>
    <n v="7843"/>
    <n v="6247"/>
    <n v="401"/>
    <n v="36"/>
    <n v="54"/>
    <n v="41"/>
    <n v="140"/>
    <n v="8.5160877221066106E-2"/>
    <x v="0"/>
  </r>
  <r>
    <x v="1872"/>
    <x v="1872"/>
    <x v="1"/>
    <x v="1"/>
    <x v="2"/>
    <x v="16"/>
    <n v="42965"/>
    <n v="6024"/>
    <n v="4674"/>
    <n v="181"/>
    <n v="17"/>
    <n v="13"/>
    <n v="13"/>
    <n v="94"/>
    <n v="4.792468977321352E-2"/>
    <x v="0"/>
  </r>
  <r>
    <x v="1873"/>
    <x v="1873"/>
    <x v="0"/>
    <x v="23"/>
    <x v="2"/>
    <x v="7"/>
    <n v="463257"/>
    <n v="66830"/>
    <n v="57239"/>
    <n v="4155"/>
    <n v="680"/>
    <n v="122"/>
    <n v="655"/>
    <n v="571"/>
    <n v="9.8045039221509811E-2"/>
    <x v="0"/>
  </r>
  <r>
    <x v="1874"/>
    <x v="1874"/>
    <x v="4"/>
    <x v="10"/>
    <x v="1"/>
    <x v="17"/>
    <n v="421582"/>
    <n v="39045"/>
    <n v="30266"/>
    <n v="2442"/>
    <n v="172"/>
    <n v="357"/>
    <n v="566"/>
    <n v="400"/>
    <n v="0.11686380757285403"/>
    <x v="0"/>
  </r>
  <r>
    <x v="1875"/>
    <x v="1875"/>
    <x v="0"/>
    <x v="0"/>
    <x v="3"/>
    <x v="7"/>
    <n v="96352"/>
    <n v="52026"/>
    <n v="39738"/>
    <n v="3535"/>
    <n v="250"/>
    <n v="385"/>
    <n v="375"/>
    <n v="787"/>
    <n v="0.11437415068699985"/>
    <x v="0"/>
  </r>
  <r>
    <x v="1876"/>
    <x v="1876"/>
    <x v="4"/>
    <x v="10"/>
    <x v="0"/>
    <x v="12"/>
    <n v="92921"/>
    <n v="58030"/>
    <n v="53124"/>
    <n v="1690"/>
    <n v="247"/>
    <n v="243"/>
    <n v="411"/>
    <n v="945"/>
    <n v="4.8772682779911154E-2"/>
    <x v="0"/>
  </r>
  <r>
    <x v="1877"/>
    <x v="1877"/>
    <x v="4"/>
    <x v="20"/>
    <x v="4"/>
    <x v="17"/>
    <n v="412051"/>
    <n v="87395"/>
    <n v="73830"/>
    <n v="6334"/>
    <n v="1085"/>
    <n v="394"/>
    <n v="1177"/>
    <n v="1619"/>
    <n v="0.12176621969389137"/>
    <x v="2"/>
  </r>
  <r>
    <x v="1878"/>
    <x v="1878"/>
    <x v="3"/>
    <x v="18"/>
    <x v="2"/>
    <x v="4"/>
    <n v="718644"/>
    <n v="205248"/>
    <n v="148798"/>
    <n v="6432"/>
    <n v="968"/>
    <n v="789"/>
    <n v="48"/>
    <n v="5789"/>
    <n v="5.5356926840414523E-2"/>
    <x v="0"/>
  </r>
  <r>
    <x v="1879"/>
    <x v="1879"/>
    <x v="3"/>
    <x v="15"/>
    <x v="0"/>
    <x v="14"/>
    <n v="499379"/>
    <n v="49607"/>
    <n v="39308"/>
    <n v="3404"/>
    <n v="575"/>
    <n v="214"/>
    <n v="42"/>
    <n v="1105"/>
    <n v="0.10773888267019437"/>
    <x v="1"/>
  </r>
  <r>
    <x v="1880"/>
    <x v="1880"/>
    <x v="3"/>
    <x v="15"/>
    <x v="5"/>
    <x v="4"/>
    <n v="645336"/>
    <n v="208969"/>
    <n v="159779"/>
    <n v="14652"/>
    <n v="2595"/>
    <n v="1724"/>
    <n v="30"/>
    <n v="6326"/>
    <n v="0.11892050895299132"/>
    <x v="1"/>
  </r>
  <r>
    <x v="1881"/>
    <x v="1881"/>
    <x v="0"/>
    <x v="0"/>
    <x v="1"/>
    <x v="0"/>
    <n v="15062"/>
    <n v="9505"/>
    <n v="8512"/>
    <n v="696"/>
    <n v="95"/>
    <n v="19"/>
    <n v="173"/>
    <n v="105"/>
    <n v="0.11548402255639098"/>
    <x v="0"/>
  </r>
  <r>
    <x v="1882"/>
    <x v="1882"/>
    <x v="0"/>
    <x v="13"/>
    <x v="0"/>
    <x v="0"/>
    <n v="330750"/>
    <n v="180320"/>
    <n v="134668"/>
    <n v="6072"/>
    <n v="329"/>
    <n v="341"/>
    <n v="1192"/>
    <n v="4180"/>
    <n v="5.8915258264769656E-2"/>
    <x v="1"/>
  </r>
  <r>
    <x v="1883"/>
    <x v="1883"/>
    <x v="4"/>
    <x v="10"/>
    <x v="3"/>
    <x v="12"/>
    <n v="490217"/>
    <n v="303536"/>
    <n v="258090"/>
    <n v="17416"/>
    <n v="2184"/>
    <n v="1113"/>
    <n v="2281"/>
    <n v="2199"/>
    <n v="8.9092952070982986E-2"/>
    <x v="1"/>
  </r>
  <r>
    <x v="1884"/>
    <x v="1884"/>
    <x v="3"/>
    <x v="15"/>
    <x v="1"/>
    <x v="4"/>
    <n v="96727"/>
    <n v="54778"/>
    <n v="45882"/>
    <n v="4024"/>
    <n v="632"/>
    <n v="499"/>
    <n v="20"/>
    <n v="1446"/>
    <n v="0.11278932914868577"/>
    <x v="1"/>
  </r>
  <r>
    <x v="1885"/>
    <x v="1885"/>
    <x v="1"/>
    <x v="1"/>
    <x v="0"/>
    <x v="8"/>
    <n v="750073"/>
    <n v="233324"/>
    <n v="192779"/>
    <n v="12433"/>
    <n v="1603"/>
    <n v="326"/>
    <n v="966"/>
    <n v="7363"/>
    <n v="7.9510735090440349E-2"/>
    <x v="0"/>
  </r>
  <r>
    <x v="1886"/>
    <x v="1886"/>
    <x v="4"/>
    <x v="10"/>
    <x v="5"/>
    <x v="17"/>
    <n v="766660"/>
    <n v="89627"/>
    <n v="79800"/>
    <n v="6955"/>
    <n v="1209"/>
    <n v="749"/>
    <n v="1073"/>
    <n v="2046"/>
    <n v="0.12513784461152883"/>
    <x v="0"/>
  </r>
  <r>
    <x v="1887"/>
    <x v="1887"/>
    <x v="3"/>
    <x v="11"/>
    <x v="2"/>
    <x v="4"/>
    <n v="127553"/>
    <n v="78039"/>
    <n v="58998"/>
    <n v="4897"/>
    <n v="206"/>
    <n v="163"/>
    <n v="37"/>
    <n v="2394"/>
    <n v="8.9884402861113932E-2"/>
    <x v="0"/>
  </r>
  <r>
    <x v="1888"/>
    <x v="1888"/>
    <x v="0"/>
    <x v="0"/>
    <x v="4"/>
    <x v="7"/>
    <n v="515749"/>
    <n v="256353"/>
    <n v="217262"/>
    <n v="19235"/>
    <n v="3052"/>
    <n v="2298"/>
    <n v="4693"/>
    <n v="2702"/>
    <n v="0.13475895462621168"/>
    <x v="0"/>
  </r>
  <r>
    <x v="1889"/>
    <x v="1889"/>
    <x v="3"/>
    <x v="9"/>
    <x v="3"/>
    <x v="9"/>
    <n v="61750"/>
    <n v="24668"/>
    <n v="20700"/>
    <n v="997"/>
    <n v="55"/>
    <n v="140"/>
    <n v="10"/>
    <n v="187"/>
    <n v="5.8067632850241545E-2"/>
    <x v="1"/>
  </r>
  <r>
    <x v="1890"/>
    <x v="1890"/>
    <x v="3"/>
    <x v="4"/>
    <x v="0"/>
    <x v="4"/>
    <n v="509036"/>
    <n v="210622"/>
    <n v="166391"/>
    <n v="9341"/>
    <n v="1300"/>
    <n v="367"/>
    <n v="27"/>
    <n v="3331"/>
    <n v="6.6319692771844629E-2"/>
    <x v="1"/>
  </r>
  <r>
    <x v="1891"/>
    <x v="1891"/>
    <x v="3"/>
    <x v="15"/>
    <x v="3"/>
    <x v="9"/>
    <n v="432276"/>
    <n v="221346"/>
    <n v="180731"/>
    <n v="17376"/>
    <n v="2524"/>
    <n v="350"/>
    <n v="0"/>
    <n v="2361"/>
    <n v="0.11204497291554852"/>
    <x v="2"/>
  </r>
  <r>
    <x v="1892"/>
    <x v="1892"/>
    <x v="3"/>
    <x v="11"/>
    <x v="3"/>
    <x v="9"/>
    <n v="260415"/>
    <n v="136125"/>
    <n v="114199"/>
    <n v="8862"/>
    <n v="820"/>
    <n v="999"/>
    <n v="48"/>
    <n v="2455"/>
    <n v="9.3950034588744208E-2"/>
    <x v="1"/>
  </r>
  <r>
    <x v="1893"/>
    <x v="1893"/>
    <x v="2"/>
    <x v="19"/>
    <x v="1"/>
    <x v="5"/>
    <n v="288721"/>
    <n v="120831"/>
    <n v="103063"/>
    <n v="5571"/>
    <n v="770"/>
    <n v="503"/>
    <n v="26"/>
    <n v="3989"/>
    <n v="6.6658257570612153E-2"/>
    <x v="0"/>
  </r>
  <r>
    <x v="1894"/>
    <x v="1894"/>
    <x v="2"/>
    <x v="3"/>
    <x v="4"/>
    <x v="3"/>
    <n v="359344"/>
    <n v="119207"/>
    <n v="95794"/>
    <n v="4962"/>
    <n v="354"/>
    <n v="598"/>
    <n v="32"/>
    <n v="1168"/>
    <n v="6.2070693362841094E-2"/>
    <x v="0"/>
  </r>
  <r>
    <x v="1895"/>
    <x v="1895"/>
    <x v="3"/>
    <x v="15"/>
    <x v="2"/>
    <x v="9"/>
    <n v="205746"/>
    <n v="106141"/>
    <n v="77781"/>
    <n v="3306"/>
    <n v="582"/>
    <n v="236"/>
    <n v="14"/>
    <n v="716"/>
    <n v="5.3200653115799489E-2"/>
    <x v="0"/>
  </r>
  <r>
    <x v="1896"/>
    <x v="1896"/>
    <x v="0"/>
    <x v="23"/>
    <x v="0"/>
    <x v="7"/>
    <n v="467335"/>
    <n v="40079"/>
    <n v="34747"/>
    <n v="3204"/>
    <n v="317"/>
    <n v="386"/>
    <n v="325"/>
    <n v="1114"/>
    <n v="0.12179468731113477"/>
    <x v="1"/>
  </r>
  <r>
    <x v="1897"/>
    <x v="1897"/>
    <x v="3"/>
    <x v="15"/>
    <x v="0"/>
    <x v="14"/>
    <n v="158198"/>
    <n v="48699"/>
    <n v="38032"/>
    <n v="1339"/>
    <n v="182"/>
    <n v="61"/>
    <n v="48"/>
    <n v="1168"/>
    <n v="4.2858645351283128E-2"/>
    <x v="0"/>
  </r>
  <r>
    <x v="1898"/>
    <x v="1898"/>
    <x v="0"/>
    <x v="0"/>
    <x v="3"/>
    <x v="10"/>
    <n v="806830"/>
    <n v="492570"/>
    <n v="359537"/>
    <n v="22691"/>
    <n v="1419"/>
    <n v="1214"/>
    <n v="1812"/>
    <n v="16407"/>
    <n v="7.5474846816878369E-2"/>
    <x v="1"/>
  </r>
  <r>
    <x v="1899"/>
    <x v="1899"/>
    <x v="1"/>
    <x v="8"/>
    <x v="3"/>
    <x v="16"/>
    <n v="197785"/>
    <n v="81180"/>
    <n v="57457"/>
    <n v="5568"/>
    <n v="766"/>
    <n v="708"/>
    <n v="1095"/>
    <n v="2145"/>
    <n v="0.14161894982334616"/>
    <x v="0"/>
  </r>
  <r>
    <x v="1900"/>
    <x v="1900"/>
    <x v="1"/>
    <x v="8"/>
    <x v="5"/>
    <x v="6"/>
    <n v="216843"/>
    <n v="18724"/>
    <n v="13893"/>
    <n v="1370"/>
    <n v="81"/>
    <n v="49"/>
    <n v="240"/>
    <n v="591"/>
    <n v="0.12524292809328438"/>
    <x v="0"/>
  </r>
  <r>
    <x v="1901"/>
    <x v="1901"/>
    <x v="4"/>
    <x v="12"/>
    <x v="5"/>
    <x v="13"/>
    <n v="576516"/>
    <n v="50275"/>
    <n v="37616"/>
    <n v="1310"/>
    <n v="142"/>
    <n v="147"/>
    <n v="229"/>
    <n v="1386"/>
    <n v="4.8596341982135263E-2"/>
    <x v="1"/>
  </r>
  <r>
    <x v="1902"/>
    <x v="1902"/>
    <x v="2"/>
    <x v="2"/>
    <x v="2"/>
    <x v="2"/>
    <n v="312660"/>
    <n v="150837"/>
    <n v="115622"/>
    <n v="10546"/>
    <n v="544"/>
    <n v="714"/>
    <n v="42"/>
    <n v="3906"/>
    <n v="0.10245455017211258"/>
    <x v="1"/>
  </r>
  <r>
    <x v="1903"/>
    <x v="1903"/>
    <x v="2"/>
    <x v="3"/>
    <x v="2"/>
    <x v="3"/>
    <n v="218777"/>
    <n v="95970"/>
    <n v="71364"/>
    <n v="7503"/>
    <n v="1314"/>
    <n v="568"/>
    <n v="33"/>
    <n v="1523"/>
    <n v="0.13197130205705959"/>
    <x v="0"/>
  </r>
  <r>
    <x v="1904"/>
    <x v="1904"/>
    <x v="1"/>
    <x v="7"/>
    <x v="2"/>
    <x v="16"/>
    <n v="635032"/>
    <n v="380258"/>
    <n v="342618"/>
    <n v="23049"/>
    <n v="2481"/>
    <n v="1113"/>
    <n v="2126"/>
    <n v="9811"/>
    <n v="8.3968151118738649E-2"/>
    <x v="0"/>
  </r>
  <r>
    <x v="1905"/>
    <x v="1905"/>
    <x v="0"/>
    <x v="13"/>
    <x v="4"/>
    <x v="7"/>
    <n v="364725"/>
    <n v="191205"/>
    <n v="162655"/>
    <n v="4166"/>
    <n v="332"/>
    <n v="297"/>
    <n v="570"/>
    <n v="6184"/>
    <n v="3.2983923027266299E-2"/>
    <x v="1"/>
  </r>
  <r>
    <x v="1906"/>
    <x v="1906"/>
    <x v="4"/>
    <x v="20"/>
    <x v="4"/>
    <x v="13"/>
    <n v="236493"/>
    <n v="85539"/>
    <n v="61639"/>
    <n v="3239"/>
    <n v="373"/>
    <n v="350"/>
    <n v="439"/>
    <n v="792"/>
    <n v="7.1399600902026308E-2"/>
    <x v="0"/>
  </r>
  <r>
    <x v="1907"/>
    <x v="1907"/>
    <x v="4"/>
    <x v="12"/>
    <x v="1"/>
    <x v="11"/>
    <n v="196694"/>
    <n v="111764"/>
    <n v="82387"/>
    <n v="2927"/>
    <n v="242"/>
    <n v="347"/>
    <n v="288"/>
    <n v="2828"/>
    <n v="4.6172333013703618E-2"/>
    <x v="0"/>
  </r>
  <r>
    <x v="1908"/>
    <x v="1908"/>
    <x v="3"/>
    <x v="18"/>
    <x v="5"/>
    <x v="14"/>
    <n v="355678"/>
    <n v="87051"/>
    <n v="71590"/>
    <n v="3557"/>
    <n v="527"/>
    <n v="203"/>
    <n v="23"/>
    <n v="1572"/>
    <n v="6.0203939097639332E-2"/>
    <x v="1"/>
  </r>
  <r>
    <x v="1909"/>
    <x v="1909"/>
    <x v="4"/>
    <x v="21"/>
    <x v="3"/>
    <x v="17"/>
    <n v="35332"/>
    <n v="17695"/>
    <n v="12447"/>
    <n v="509"/>
    <n v="76"/>
    <n v="41"/>
    <n v="46"/>
    <n v="444"/>
    <n v="5.3988912991082189E-2"/>
    <x v="0"/>
  </r>
  <r>
    <x v="1910"/>
    <x v="1910"/>
    <x v="2"/>
    <x v="16"/>
    <x v="0"/>
    <x v="5"/>
    <n v="180770"/>
    <n v="35533"/>
    <n v="28406"/>
    <n v="1913"/>
    <n v="229"/>
    <n v="54"/>
    <n v="42"/>
    <n v="594"/>
    <n v="7.8786171935506577E-2"/>
    <x v="1"/>
  </r>
  <r>
    <x v="1911"/>
    <x v="1911"/>
    <x v="4"/>
    <x v="14"/>
    <x v="1"/>
    <x v="13"/>
    <n v="418082"/>
    <n v="206756"/>
    <n v="164850"/>
    <n v="16244"/>
    <n v="2304"/>
    <n v="1197"/>
    <n v="1800"/>
    <n v="5719"/>
    <n v="0.13069457082195934"/>
    <x v="1"/>
  </r>
  <r>
    <x v="1912"/>
    <x v="1912"/>
    <x v="1"/>
    <x v="1"/>
    <x v="1"/>
    <x v="1"/>
    <n v="646365"/>
    <n v="397827"/>
    <n v="320869"/>
    <n v="18238"/>
    <n v="706"/>
    <n v="2299"/>
    <n v="3359"/>
    <n v="9143"/>
    <n v="7.6673034789898675E-2"/>
    <x v="0"/>
  </r>
  <r>
    <x v="1913"/>
    <x v="1913"/>
    <x v="0"/>
    <x v="13"/>
    <x v="2"/>
    <x v="0"/>
    <n v="301935"/>
    <n v="108630"/>
    <n v="93146"/>
    <n v="4900"/>
    <n v="853"/>
    <n v="630"/>
    <n v="494"/>
    <n v="2152"/>
    <n v="7.3830330878405945E-2"/>
    <x v="0"/>
  </r>
  <r>
    <x v="1914"/>
    <x v="1914"/>
    <x v="3"/>
    <x v="11"/>
    <x v="4"/>
    <x v="14"/>
    <n v="343897"/>
    <n v="212435"/>
    <n v="179511"/>
    <n v="9206"/>
    <n v="752"/>
    <n v="1365"/>
    <n v="35"/>
    <n v="2281"/>
    <n v="6.3271888630780287E-2"/>
    <x v="0"/>
  </r>
  <r>
    <x v="1915"/>
    <x v="1915"/>
    <x v="2"/>
    <x v="19"/>
    <x v="1"/>
    <x v="5"/>
    <n v="469179"/>
    <n v="255568"/>
    <n v="181337"/>
    <n v="17676"/>
    <n v="1877"/>
    <n v="1775"/>
    <n v="32"/>
    <n v="1588"/>
    <n v="0.11779173582887111"/>
    <x v="0"/>
  </r>
  <r>
    <x v="1916"/>
    <x v="1916"/>
    <x v="4"/>
    <x v="21"/>
    <x v="1"/>
    <x v="13"/>
    <n v="296540"/>
    <n v="126536"/>
    <n v="93179"/>
    <n v="9594"/>
    <n v="716"/>
    <n v="1283"/>
    <n v="1167"/>
    <n v="2638"/>
    <n v="0.1369407269878406"/>
    <x v="0"/>
  </r>
  <r>
    <x v="1917"/>
    <x v="1917"/>
    <x v="4"/>
    <x v="14"/>
    <x v="3"/>
    <x v="12"/>
    <n v="249056"/>
    <n v="28938"/>
    <n v="23732"/>
    <n v="942"/>
    <n v="150"/>
    <n v="70"/>
    <n v="101"/>
    <n v="515"/>
    <n v="5.3219281982133826E-2"/>
    <x v="2"/>
  </r>
  <r>
    <x v="1918"/>
    <x v="1918"/>
    <x v="2"/>
    <x v="3"/>
    <x v="3"/>
    <x v="3"/>
    <n v="484379"/>
    <n v="291103"/>
    <n v="245852"/>
    <n v="21215"/>
    <n v="1992"/>
    <n v="938"/>
    <n v="7"/>
    <n v="8551"/>
    <n v="9.8237964303727443E-2"/>
    <x v="0"/>
  </r>
  <r>
    <x v="1919"/>
    <x v="1919"/>
    <x v="2"/>
    <x v="3"/>
    <x v="5"/>
    <x v="2"/>
    <n v="747157"/>
    <n v="454219"/>
    <n v="381754"/>
    <n v="33692"/>
    <n v="1235"/>
    <n v="4124"/>
    <n v="19"/>
    <n v="3942"/>
    <n v="0.10234339391335781"/>
    <x v="0"/>
  </r>
  <r>
    <x v="1920"/>
    <x v="1920"/>
    <x v="1"/>
    <x v="7"/>
    <x v="3"/>
    <x v="8"/>
    <n v="3831"/>
    <n v="794"/>
    <n v="610"/>
    <n v="15"/>
    <n v="2"/>
    <n v="0"/>
    <n v="1"/>
    <n v="24"/>
    <n v="2.9508196721311476E-2"/>
    <x v="0"/>
  </r>
  <r>
    <x v="1921"/>
    <x v="1921"/>
    <x v="4"/>
    <x v="10"/>
    <x v="0"/>
    <x v="11"/>
    <n v="373507"/>
    <n v="50037"/>
    <n v="36045"/>
    <n v="2125"/>
    <n v="81"/>
    <n v="249"/>
    <n v="384"/>
    <n v="386"/>
    <n v="7.8762657788875021E-2"/>
    <x v="0"/>
  </r>
  <r>
    <x v="1922"/>
    <x v="1922"/>
    <x v="2"/>
    <x v="3"/>
    <x v="2"/>
    <x v="3"/>
    <n v="354866"/>
    <n v="47582"/>
    <n v="41050"/>
    <n v="2644"/>
    <n v="409"/>
    <n v="250"/>
    <n v="34"/>
    <n v="863"/>
    <n v="8.1291108404384901E-2"/>
    <x v="0"/>
  </r>
  <r>
    <x v="1923"/>
    <x v="1923"/>
    <x v="2"/>
    <x v="19"/>
    <x v="1"/>
    <x v="15"/>
    <n v="675696"/>
    <n v="419144"/>
    <n v="371844"/>
    <n v="26166"/>
    <n v="3733"/>
    <n v="3747"/>
    <n v="35"/>
    <n v="13502"/>
    <n v="9.0578307031981151E-2"/>
    <x v="2"/>
  </r>
  <r>
    <x v="1924"/>
    <x v="1924"/>
    <x v="4"/>
    <x v="21"/>
    <x v="3"/>
    <x v="12"/>
    <n v="163664"/>
    <n v="33616"/>
    <n v="24570"/>
    <n v="2210"/>
    <n v="158"/>
    <n v="145"/>
    <n v="535"/>
    <n v="210"/>
    <n v="0.12405372405372406"/>
    <x v="1"/>
  </r>
  <r>
    <x v="1925"/>
    <x v="1925"/>
    <x v="4"/>
    <x v="12"/>
    <x v="3"/>
    <x v="12"/>
    <n v="496572"/>
    <n v="187518"/>
    <n v="147160"/>
    <n v="11810"/>
    <n v="805"/>
    <n v="246"/>
    <n v="1533"/>
    <n v="1321"/>
    <n v="9.7811905409078553E-2"/>
    <x v="2"/>
  </r>
  <r>
    <x v="1926"/>
    <x v="1926"/>
    <x v="1"/>
    <x v="17"/>
    <x v="4"/>
    <x v="16"/>
    <n v="64938"/>
    <n v="27104"/>
    <n v="21182"/>
    <n v="661"/>
    <n v="51"/>
    <n v="71"/>
    <n v="55"/>
    <n v="231"/>
    <n v="3.9561892172599374E-2"/>
    <x v="0"/>
  </r>
  <r>
    <x v="1927"/>
    <x v="1927"/>
    <x v="4"/>
    <x v="10"/>
    <x v="4"/>
    <x v="17"/>
    <n v="703131"/>
    <n v="368827"/>
    <n v="308047"/>
    <n v="20846"/>
    <n v="1318"/>
    <n v="577"/>
    <n v="2395"/>
    <n v="8302"/>
    <n v="8.159793797699702E-2"/>
    <x v="1"/>
  </r>
  <r>
    <x v="1928"/>
    <x v="1928"/>
    <x v="1"/>
    <x v="17"/>
    <x v="3"/>
    <x v="16"/>
    <n v="234404"/>
    <n v="56762"/>
    <n v="43989"/>
    <n v="2601"/>
    <n v="334"/>
    <n v="222"/>
    <n v="444"/>
    <n v="1724"/>
    <n v="8.1861374434517714E-2"/>
    <x v="0"/>
  </r>
  <r>
    <x v="1929"/>
    <x v="1929"/>
    <x v="4"/>
    <x v="21"/>
    <x v="3"/>
    <x v="12"/>
    <n v="304707"/>
    <n v="84085"/>
    <n v="60063"/>
    <n v="5488"/>
    <n v="858"/>
    <n v="675"/>
    <n v="280"/>
    <n v="729"/>
    <n v="0.12155569984849242"/>
    <x v="1"/>
  </r>
  <r>
    <x v="1930"/>
    <x v="1930"/>
    <x v="3"/>
    <x v="11"/>
    <x v="5"/>
    <x v="4"/>
    <n v="785944"/>
    <n v="245237"/>
    <n v="218951"/>
    <n v="15226"/>
    <n v="2036"/>
    <n v="1293"/>
    <n v="6"/>
    <n v="3114"/>
    <n v="8.4772391996382757E-2"/>
    <x v="1"/>
  </r>
  <r>
    <x v="1931"/>
    <x v="1931"/>
    <x v="3"/>
    <x v="15"/>
    <x v="5"/>
    <x v="4"/>
    <n v="596035"/>
    <n v="57819"/>
    <n v="40620"/>
    <n v="3515"/>
    <n v="553"/>
    <n v="222"/>
    <n v="32"/>
    <n v="349"/>
    <n v="0.10640078778926637"/>
    <x v="1"/>
  </r>
  <r>
    <x v="1932"/>
    <x v="1932"/>
    <x v="2"/>
    <x v="16"/>
    <x v="1"/>
    <x v="5"/>
    <n v="719995"/>
    <n v="281833"/>
    <n v="232717"/>
    <n v="6323"/>
    <n v="434"/>
    <n v="626"/>
    <n v="17"/>
    <n v="2070"/>
    <n v="3.1798278595891148E-2"/>
    <x v="0"/>
  </r>
  <r>
    <x v="1933"/>
    <x v="1933"/>
    <x v="3"/>
    <x v="15"/>
    <x v="3"/>
    <x v="14"/>
    <n v="467084"/>
    <n v="85060"/>
    <n v="72163"/>
    <n v="4901"/>
    <n v="358"/>
    <n v="356"/>
    <n v="24"/>
    <n v="1968"/>
    <n v="7.8142538419965907E-2"/>
    <x v="1"/>
  </r>
  <r>
    <x v="1934"/>
    <x v="1934"/>
    <x v="4"/>
    <x v="20"/>
    <x v="5"/>
    <x v="13"/>
    <n v="148235"/>
    <n v="65091"/>
    <n v="52285"/>
    <n v="2448"/>
    <n v="334"/>
    <n v="332"/>
    <n v="279"/>
    <n v="2095"/>
    <n v="6.4894329157502151E-2"/>
    <x v="0"/>
  </r>
  <r>
    <x v="1935"/>
    <x v="1935"/>
    <x v="3"/>
    <x v="9"/>
    <x v="3"/>
    <x v="9"/>
    <n v="129335"/>
    <n v="38872"/>
    <n v="33360"/>
    <n v="1708"/>
    <n v="53"/>
    <n v="76"/>
    <n v="38"/>
    <n v="803"/>
    <n v="5.6205035971223019E-2"/>
    <x v="0"/>
  </r>
  <r>
    <x v="1936"/>
    <x v="1936"/>
    <x v="2"/>
    <x v="16"/>
    <x v="4"/>
    <x v="15"/>
    <n v="133504"/>
    <n v="39481"/>
    <n v="34116"/>
    <n v="2735"/>
    <n v="203"/>
    <n v="110"/>
    <n v="23"/>
    <n v="1170"/>
    <n v="9.0016414585531709E-2"/>
    <x v="0"/>
  </r>
  <r>
    <x v="1937"/>
    <x v="1937"/>
    <x v="1"/>
    <x v="24"/>
    <x v="0"/>
    <x v="1"/>
    <n v="190521"/>
    <n v="52186"/>
    <n v="46034"/>
    <n v="2265"/>
    <n v="79"/>
    <n v="198"/>
    <n v="450"/>
    <n v="1078"/>
    <n v="6.4995438154407614E-2"/>
    <x v="1"/>
  </r>
  <r>
    <x v="1938"/>
    <x v="1938"/>
    <x v="2"/>
    <x v="5"/>
    <x v="2"/>
    <x v="3"/>
    <n v="61813"/>
    <n v="10237"/>
    <n v="7976"/>
    <n v="654"/>
    <n v="41"/>
    <n v="30"/>
    <n v="5"/>
    <n v="109"/>
    <n v="9.1524573721163488E-2"/>
    <x v="0"/>
  </r>
  <r>
    <x v="1939"/>
    <x v="1939"/>
    <x v="4"/>
    <x v="14"/>
    <x v="1"/>
    <x v="17"/>
    <n v="304652"/>
    <n v="66430"/>
    <n v="57105"/>
    <n v="4162"/>
    <n v="128"/>
    <n v="129"/>
    <n v="330"/>
    <n v="2082"/>
    <n v="8.3162595219332808E-2"/>
    <x v="0"/>
  </r>
  <r>
    <x v="1940"/>
    <x v="1940"/>
    <x v="4"/>
    <x v="14"/>
    <x v="4"/>
    <x v="12"/>
    <n v="297189"/>
    <n v="160554"/>
    <n v="145104"/>
    <n v="7887"/>
    <n v="499"/>
    <n v="869"/>
    <n v="1656"/>
    <n v="1750"/>
    <n v="7.5194343367515709E-2"/>
    <x v="1"/>
  </r>
  <r>
    <x v="1941"/>
    <x v="1941"/>
    <x v="3"/>
    <x v="4"/>
    <x v="4"/>
    <x v="4"/>
    <n v="49824"/>
    <n v="6731"/>
    <n v="5344"/>
    <n v="349"/>
    <n v="22"/>
    <n v="16"/>
    <n v="39"/>
    <n v="223"/>
    <n v="7.9715568862275446E-2"/>
    <x v="1"/>
  </r>
  <r>
    <x v="1942"/>
    <x v="1942"/>
    <x v="3"/>
    <x v="11"/>
    <x v="4"/>
    <x v="9"/>
    <n v="47205"/>
    <n v="19028"/>
    <n v="16926"/>
    <n v="566"/>
    <n v="51"/>
    <n v="84"/>
    <n v="33"/>
    <n v="536"/>
    <n v="4.3365236913624011E-2"/>
    <x v="1"/>
  </r>
  <r>
    <x v="1943"/>
    <x v="1943"/>
    <x v="0"/>
    <x v="13"/>
    <x v="3"/>
    <x v="7"/>
    <n v="298450"/>
    <n v="172037"/>
    <n v="136209"/>
    <n v="11360"/>
    <n v="852"/>
    <n v="999"/>
    <n v="1779"/>
    <n v="1868"/>
    <n v="0.11005146502800843"/>
    <x v="1"/>
  </r>
  <r>
    <x v="1944"/>
    <x v="1944"/>
    <x v="0"/>
    <x v="23"/>
    <x v="4"/>
    <x v="0"/>
    <n v="136991"/>
    <n v="26779"/>
    <n v="19143"/>
    <n v="1284"/>
    <n v="139"/>
    <n v="118"/>
    <n v="112"/>
    <n v="154"/>
    <n v="8.635010186491146E-2"/>
    <x v="0"/>
  </r>
  <r>
    <x v="1945"/>
    <x v="1945"/>
    <x v="1"/>
    <x v="7"/>
    <x v="4"/>
    <x v="16"/>
    <n v="538096"/>
    <n v="91765"/>
    <n v="73146"/>
    <n v="4438"/>
    <n v="385"/>
    <n v="307"/>
    <n v="261"/>
    <n v="812"/>
    <n v="7.3701911246001145E-2"/>
    <x v="0"/>
  </r>
  <r>
    <x v="1946"/>
    <x v="1946"/>
    <x v="3"/>
    <x v="9"/>
    <x v="2"/>
    <x v="14"/>
    <n v="699935"/>
    <n v="305653"/>
    <n v="227917"/>
    <n v="18657"/>
    <n v="2858"/>
    <n v="2111"/>
    <n v="24"/>
    <n v="6621"/>
    <n v="0.10376584458377391"/>
    <x v="1"/>
  </r>
  <r>
    <x v="1947"/>
    <x v="1947"/>
    <x v="1"/>
    <x v="1"/>
    <x v="0"/>
    <x v="6"/>
    <n v="691065"/>
    <n v="244661"/>
    <n v="209579"/>
    <n v="18700"/>
    <n v="1281"/>
    <n v="2694"/>
    <n v="1757"/>
    <n v="5888"/>
    <n v="0.11657656540015937"/>
    <x v="0"/>
  </r>
  <r>
    <x v="1948"/>
    <x v="1948"/>
    <x v="0"/>
    <x v="23"/>
    <x v="0"/>
    <x v="10"/>
    <n v="829253"/>
    <n v="246878"/>
    <n v="191961"/>
    <n v="11771"/>
    <n v="832"/>
    <n v="548"/>
    <n v="751"/>
    <n v="7127"/>
    <n v="7.2420960507603105E-2"/>
    <x v="1"/>
  </r>
  <r>
    <x v="1949"/>
    <x v="1949"/>
    <x v="0"/>
    <x v="0"/>
    <x v="0"/>
    <x v="0"/>
    <n v="292564"/>
    <n v="178966"/>
    <n v="149774"/>
    <n v="12620"/>
    <n v="1263"/>
    <n v="403"/>
    <n v="2524"/>
    <n v="4901"/>
    <n v="0.11223576855796066"/>
    <x v="1"/>
  </r>
  <r>
    <x v="1950"/>
    <x v="1950"/>
    <x v="3"/>
    <x v="18"/>
    <x v="3"/>
    <x v="4"/>
    <n v="777285"/>
    <n v="372769"/>
    <n v="306170"/>
    <n v="16700"/>
    <n v="673"/>
    <n v="1486"/>
    <n v="32"/>
    <n v="2896"/>
    <n v="6.1701015775549532E-2"/>
    <x v="2"/>
  </r>
  <r>
    <x v="1951"/>
    <x v="1951"/>
    <x v="1"/>
    <x v="17"/>
    <x v="5"/>
    <x v="16"/>
    <n v="525887"/>
    <n v="107222"/>
    <n v="98116"/>
    <n v="3557"/>
    <n v="174"/>
    <n v="488"/>
    <n v="592"/>
    <n v="680"/>
    <n v="4.9033796730400751E-2"/>
    <x v="2"/>
  </r>
  <r>
    <x v="1952"/>
    <x v="1952"/>
    <x v="1"/>
    <x v="8"/>
    <x v="1"/>
    <x v="1"/>
    <n v="279364"/>
    <n v="170341"/>
    <n v="119755"/>
    <n v="8010"/>
    <n v="1064"/>
    <n v="1181"/>
    <n v="1572"/>
    <n v="5340"/>
    <n v="9.8759968268548284E-2"/>
    <x v="1"/>
  </r>
  <r>
    <x v="1953"/>
    <x v="1953"/>
    <x v="3"/>
    <x v="9"/>
    <x v="5"/>
    <x v="4"/>
    <n v="497007"/>
    <n v="180379"/>
    <n v="144481"/>
    <n v="6001"/>
    <n v="526"/>
    <n v="790"/>
    <n v="48"/>
    <n v="2813"/>
    <n v="5.0975560800382055E-2"/>
    <x v="0"/>
  </r>
  <r>
    <x v="1954"/>
    <x v="1954"/>
    <x v="1"/>
    <x v="8"/>
    <x v="1"/>
    <x v="16"/>
    <n v="128482"/>
    <n v="23532"/>
    <n v="19811"/>
    <n v="650"/>
    <n v="76"/>
    <n v="91"/>
    <n v="144"/>
    <n v="473"/>
    <n v="4.8508404421785875E-2"/>
    <x v="1"/>
  </r>
  <r>
    <x v="1955"/>
    <x v="1955"/>
    <x v="0"/>
    <x v="6"/>
    <x v="0"/>
    <x v="7"/>
    <n v="276627"/>
    <n v="56108"/>
    <n v="41714"/>
    <n v="1159"/>
    <n v="86"/>
    <n v="140"/>
    <n v="207"/>
    <n v="1960"/>
    <n v="3.816464496332167E-2"/>
    <x v="0"/>
  </r>
  <r>
    <x v="1956"/>
    <x v="1956"/>
    <x v="2"/>
    <x v="16"/>
    <x v="4"/>
    <x v="2"/>
    <n v="36538"/>
    <n v="14233"/>
    <n v="10259"/>
    <n v="457"/>
    <n v="58"/>
    <n v="24"/>
    <n v="21"/>
    <n v="293"/>
    <n v="5.4586216980212494E-2"/>
    <x v="1"/>
  </r>
  <r>
    <x v="1957"/>
    <x v="1957"/>
    <x v="3"/>
    <x v="15"/>
    <x v="3"/>
    <x v="4"/>
    <n v="105342"/>
    <n v="24122"/>
    <n v="17039"/>
    <n v="1045"/>
    <n v="68"/>
    <n v="96"/>
    <n v="5"/>
    <n v="463"/>
    <n v="7.1248312694406943E-2"/>
    <x v="1"/>
  </r>
  <r>
    <x v="1958"/>
    <x v="1958"/>
    <x v="1"/>
    <x v="1"/>
    <x v="5"/>
    <x v="6"/>
    <n v="89703"/>
    <n v="44328"/>
    <n v="34439"/>
    <n v="1847"/>
    <n v="328"/>
    <n v="169"/>
    <n v="323"/>
    <n v="716"/>
    <n v="7.7441272975405789E-2"/>
    <x v="2"/>
  </r>
  <r>
    <x v="1959"/>
    <x v="1959"/>
    <x v="2"/>
    <x v="2"/>
    <x v="0"/>
    <x v="15"/>
    <n v="221205"/>
    <n v="69406"/>
    <n v="54598"/>
    <n v="3787"/>
    <n v="214"/>
    <n v="272"/>
    <n v="27"/>
    <n v="1429"/>
    <n v="7.8757463643356895E-2"/>
    <x v="0"/>
  </r>
  <r>
    <x v="1960"/>
    <x v="1960"/>
    <x v="3"/>
    <x v="9"/>
    <x v="2"/>
    <x v="9"/>
    <n v="815731"/>
    <n v="291012"/>
    <n v="208380"/>
    <n v="11862"/>
    <n v="1733"/>
    <n v="1772"/>
    <n v="1"/>
    <n v="9835"/>
    <n v="7.3749880026873979E-2"/>
    <x v="1"/>
  </r>
  <r>
    <x v="1961"/>
    <x v="1961"/>
    <x v="2"/>
    <x v="5"/>
    <x v="0"/>
    <x v="5"/>
    <n v="639830"/>
    <n v="299030"/>
    <n v="265208"/>
    <n v="8043"/>
    <n v="1285"/>
    <n v="195"/>
    <n v="4"/>
    <n v="2230"/>
    <n v="3.592274742843353E-2"/>
    <x v="1"/>
  </r>
  <r>
    <x v="1962"/>
    <x v="1962"/>
    <x v="0"/>
    <x v="23"/>
    <x v="0"/>
    <x v="10"/>
    <n v="210967"/>
    <n v="47074"/>
    <n v="34570"/>
    <n v="1152"/>
    <n v="206"/>
    <n v="113"/>
    <n v="77"/>
    <n v="1455"/>
    <n v="4.4778709864043968E-2"/>
    <x v="0"/>
  </r>
  <r>
    <x v="1963"/>
    <x v="1963"/>
    <x v="2"/>
    <x v="3"/>
    <x v="3"/>
    <x v="15"/>
    <n v="329515"/>
    <n v="210572"/>
    <n v="175325"/>
    <n v="16286"/>
    <n v="1325"/>
    <n v="2243"/>
    <n v="14"/>
    <n v="4402"/>
    <n v="0.11332097533152716"/>
    <x v="2"/>
  </r>
  <r>
    <x v="1964"/>
    <x v="1964"/>
    <x v="2"/>
    <x v="16"/>
    <x v="4"/>
    <x v="5"/>
    <n v="408408"/>
    <n v="260299"/>
    <n v="220897"/>
    <n v="7051"/>
    <n v="1058"/>
    <n v="839"/>
    <n v="29"/>
    <n v="2716"/>
    <n v="4.0638849780667008E-2"/>
    <x v="0"/>
  </r>
  <r>
    <x v="1965"/>
    <x v="1965"/>
    <x v="3"/>
    <x v="9"/>
    <x v="1"/>
    <x v="14"/>
    <n v="462648"/>
    <n v="273244"/>
    <n v="228568"/>
    <n v="13153"/>
    <n v="1705"/>
    <n v="1550"/>
    <n v="23"/>
    <n v="4332"/>
    <n v="7.1886703300549512E-2"/>
    <x v="1"/>
  </r>
  <r>
    <x v="1966"/>
    <x v="1966"/>
    <x v="2"/>
    <x v="16"/>
    <x v="2"/>
    <x v="15"/>
    <n v="123748"/>
    <n v="31642"/>
    <n v="22816"/>
    <n v="2465"/>
    <n v="323"/>
    <n v="115"/>
    <n v="11"/>
    <n v="851"/>
    <n v="0.12771739130434784"/>
    <x v="1"/>
  </r>
  <r>
    <x v="1967"/>
    <x v="1967"/>
    <x v="0"/>
    <x v="6"/>
    <x v="1"/>
    <x v="10"/>
    <n v="723773"/>
    <n v="322285"/>
    <n v="255385"/>
    <n v="7660"/>
    <n v="1295"/>
    <n v="674"/>
    <n v="1414"/>
    <n v="6197"/>
    <n v="4.324059752922059E-2"/>
    <x v="2"/>
  </r>
  <r>
    <x v="1968"/>
    <x v="1968"/>
    <x v="3"/>
    <x v="15"/>
    <x v="0"/>
    <x v="14"/>
    <n v="206497"/>
    <n v="64863"/>
    <n v="58014"/>
    <n v="1495"/>
    <n v="130"/>
    <n v="59"/>
    <n v="25"/>
    <n v="1958"/>
    <n v="2.9458406591512394E-2"/>
    <x v="1"/>
  </r>
  <r>
    <x v="1969"/>
    <x v="1969"/>
    <x v="0"/>
    <x v="23"/>
    <x v="1"/>
    <x v="7"/>
    <n v="690179"/>
    <n v="206678"/>
    <n v="181925"/>
    <n v="11983"/>
    <n v="2107"/>
    <n v="1399"/>
    <n v="1435"/>
    <n v="6253"/>
    <n v="9.3027346433970037E-2"/>
    <x v="1"/>
  </r>
  <r>
    <x v="1970"/>
    <x v="1970"/>
    <x v="0"/>
    <x v="23"/>
    <x v="4"/>
    <x v="0"/>
    <n v="754225"/>
    <n v="169185"/>
    <n v="131998"/>
    <n v="7877"/>
    <n v="436"/>
    <n v="820"/>
    <n v="1274"/>
    <n v="2231"/>
    <n v="7.8842103668237393E-2"/>
    <x v="1"/>
  </r>
  <r>
    <x v="1971"/>
    <x v="1971"/>
    <x v="1"/>
    <x v="7"/>
    <x v="5"/>
    <x v="1"/>
    <n v="30796"/>
    <n v="16589"/>
    <n v="12632"/>
    <n v="1194"/>
    <n v="41"/>
    <n v="174"/>
    <n v="185"/>
    <n v="269"/>
    <n v="0.12618746041798606"/>
    <x v="0"/>
  </r>
  <r>
    <x v="1972"/>
    <x v="1972"/>
    <x v="2"/>
    <x v="2"/>
    <x v="0"/>
    <x v="5"/>
    <n v="759168"/>
    <n v="167908"/>
    <n v="131564"/>
    <n v="13191"/>
    <n v="1434"/>
    <n v="1458"/>
    <n v="17"/>
    <n v="4926"/>
    <n v="0.12237390167523031"/>
    <x v="0"/>
  </r>
  <r>
    <x v="1973"/>
    <x v="1973"/>
    <x v="0"/>
    <x v="22"/>
    <x v="5"/>
    <x v="0"/>
    <n v="759268"/>
    <n v="155271"/>
    <n v="142488"/>
    <n v="5504"/>
    <n v="189"/>
    <n v="184"/>
    <n v="1158"/>
    <n v="4873"/>
    <n v="4.9372578743473138E-2"/>
    <x v="0"/>
  </r>
  <r>
    <x v="1974"/>
    <x v="1974"/>
    <x v="2"/>
    <x v="2"/>
    <x v="3"/>
    <x v="5"/>
    <n v="214407"/>
    <n v="130140"/>
    <n v="99147"/>
    <n v="5937"/>
    <n v="794"/>
    <n v="888"/>
    <n v="25"/>
    <n v="4023"/>
    <n v="7.7097642893884835E-2"/>
    <x v="1"/>
  </r>
  <r>
    <x v="1975"/>
    <x v="1975"/>
    <x v="1"/>
    <x v="1"/>
    <x v="0"/>
    <x v="8"/>
    <n v="279802"/>
    <n v="117220"/>
    <n v="83438"/>
    <n v="9060"/>
    <n v="1053"/>
    <n v="1144"/>
    <n v="579"/>
    <n v="3670"/>
    <n v="0.14185383158752607"/>
    <x v="0"/>
  </r>
  <r>
    <x v="1976"/>
    <x v="1976"/>
    <x v="2"/>
    <x v="2"/>
    <x v="2"/>
    <x v="3"/>
    <n v="123070"/>
    <n v="78364"/>
    <n v="65059"/>
    <n v="3737"/>
    <n v="429"/>
    <n v="302"/>
    <n v="33"/>
    <n v="853"/>
    <n v="6.9183356645506386E-2"/>
    <x v="0"/>
  </r>
  <r>
    <x v="1977"/>
    <x v="1977"/>
    <x v="0"/>
    <x v="23"/>
    <x v="0"/>
    <x v="7"/>
    <n v="471409"/>
    <n v="137456"/>
    <n v="124841"/>
    <n v="7104"/>
    <n v="437"/>
    <n v="457"/>
    <n v="1699"/>
    <n v="4445"/>
    <n v="7.767480234858741E-2"/>
    <x v="1"/>
  </r>
  <r>
    <x v="1978"/>
    <x v="1978"/>
    <x v="2"/>
    <x v="19"/>
    <x v="0"/>
    <x v="2"/>
    <n v="32901"/>
    <n v="18773"/>
    <n v="14521"/>
    <n v="1227"/>
    <n v="47"/>
    <n v="38"/>
    <n v="44"/>
    <n v="398"/>
    <n v="9.3381998484952822E-2"/>
    <x v="2"/>
  </r>
  <r>
    <x v="1979"/>
    <x v="1979"/>
    <x v="2"/>
    <x v="19"/>
    <x v="0"/>
    <x v="15"/>
    <n v="136063"/>
    <n v="46694"/>
    <n v="38831"/>
    <n v="2581"/>
    <n v="451"/>
    <n v="373"/>
    <n v="6"/>
    <n v="1213"/>
    <n v="8.7842187942623162E-2"/>
    <x v="2"/>
  </r>
  <r>
    <x v="1980"/>
    <x v="1980"/>
    <x v="3"/>
    <x v="9"/>
    <x v="2"/>
    <x v="4"/>
    <n v="729607"/>
    <n v="465599"/>
    <n v="385204"/>
    <n v="30501"/>
    <n v="3788"/>
    <n v="3599"/>
    <n v="41"/>
    <n v="7403"/>
    <n v="9.8464709608415288E-2"/>
    <x v="2"/>
  </r>
  <r>
    <x v="1981"/>
    <x v="1981"/>
    <x v="2"/>
    <x v="19"/>
    <x v="3"/>
    <x v="5"/>
    <n v="800835"/>
    <n v="358716"/>
    <n v="292999"/>
    <n v="12961"/>
    <n v="2272"/>
    <n v="1616"/>
    <n v="14"/>
    <n v="4530"/>
    <n v="5.755309745084454E-2"/>
    <x v="1"/>
  </r>
  <r>
    <x v="1982"/>
    <x v="1982"/>
    <x v="0"/>
    <x v="23"/>
    <x v="4"/>
    <x v="10"/>
    <n v="10090"/>
    <n v="5854"/>
    <n v="4264"/>
    <n v="181"/>
    <n v="6"/>
    <n v="3"/>
    <n v="13"/>
    <n v="108"/>
    <n v="4.7607879924953099E-2"/>
    <x v="1"/>
  </r>
  <r>
    <x v="1983"/>
    <x v="1983"/>
    <x v="2"/>
    <x v="3"/>
    <x v="0"/>
    <x v="15"/>
    <n v="451314"/>
    <n v="169683"/>
    <n v="142078"/>
    <n v="11829"/>
    <n v="2037"/>
    <n v="1764"/>
    <n v="2"/>
    <n v="3652"/>
    <n v="0.11002407128478722"/>
    <x v="1"/>
  </r>
  <r>
    <x v="1984"/>
    <x v="1984"/>
    <x v="1"/>
    <x v="17"/>
    <x v="0"/>
    <x v="16"/>
    <n v="658506"/>
    <n v="2843758"/>
    <n v="2263224"/>
    <n v="201009"/>
    <n v="30900"/>
    <n v="8057"/>
    <n v="34947"/>
    <n v="80868"/>
    <n v="0.12146963800313182"/>
    <x v="0"/>
  </r>
  <r>
    <x v="1985"/>
    <x v="1985"/>
    <x v="4"/>
    <x v="12"/>
    <x v="1"/>
    <x v="13"/>
    <n v="402109"/>
    <n v="37057"/>
    <n v="32645"/>
    <n v="1108"/>
    <n v="74"/>
    <n v="144"/>
    <n v="143"/>
    <n v="479"/>
    <n v="4.4999234185939652E-2"/>
    <x v="0"/>
  </r>
  <r>
    <x v="1986"/>
    <x v="1986"/>
    <x v="3"/>
    <x v="11"/>
    <x v="5"/>
    <x v="4"/>
    <n v="846702"/>
    <n v="96751"/>
    <n v="82255"/>
    <n v="3145"/>
    <n v="171"/>
    <n v="110"/>
    <n v="40"/>
    <n v="2252"/>
    <n v="4.2137256093854478E-2"/>
    <x v="0"/>
  </r>
  <r>
    <x v="1987"/>
    <x v="1987"/>
    <x v="0"/>
    <x v="0"/>
    <x v="0"/>
    <x v="0"/>
    <n v="699070"/>
    <n v="111723"/>
    <n v="96838"/>
    <n v="6879"/>
    <n v="603"/>
    <n v="600"/>
    <n v="1455"/>
    <n v="744"/>
    <n v="9.8484066172370349E-2"/>
    <x v="0"/>
  </r>
  <r>
    <x v="1988"/>
    <x v="1988"/>
    <x v="1"/>
    <x v="17"/>
    <x v="5"/>
    <x v="1"/>
    <n v="558965"/>
    <n v="187546"/>
    <n v="146091"/>
    <n v="12263"/>
    <n v="1260"/>
    <n v="957"/>
    <n v="1114"/>
    <n v="5502"/>
    <n v="0.10674168839969608"/>
    <x v="2"/>
  </r>
  <r>
    <x v="1989"/>
    <x v="1989"/>
    <x v="0"/>
    <x v="23"/>
    <x v="0"/>
    <x v="10"/>
    <n v="112577"/>
    <n v="14437"/>
    <n v="11649"/>
    <n v="1033"/>
    <n v="60"/>
    <n v="89"/>
    <n v="80"/>
    <n v="475"/>
    <n v="0.1083354794402953"/>
    <x v="1"/>
  </r>
  <r>
    <x v="1990"/>
    <x v="1990"/>
    <x v="3"/>
    <x v="15"/>
    <x v="0"/>
    <x v="4"/>
    <n v="385366"/>
    <n v="181418"/>
    <n v="148060"/>
    <n v="9353"/>
    <n v="1296"/>
    <n v="596"/>
    <n v="21"/>
    <n v="4127"/>
    <n v="7.6090774010536266E-2"/>
    <x v="0"/>
  </r>
  <r>
    <x v="1991"/>
    <x v="1991"/>
    <x v="3"/>
    <x v="15"/>
    <x v="5"/>
    <x v="4"/>
    <n v="780272"/>
    <n v="234844"/>
    <n v="205682"/>
    <n v="4906"/>
    <n v="668"/>
    <n v="285"/>
    <n v="35"/>
    <n v="3159"/>
    <n v="2.8655886271039762E-2"/>
    <x v="1"/>
  </r>
  <r>
    <x v="1992"/>
    <x v="1992"/>
    <x v="4"/>
    <x v="21"/>
    <x v="1"/>
    <x v="17"/>
    <n v="688695"/>
    <n v="214953"/>
    <n v="152409"/>
    <n v="16131"/>
    <n v="548"/>
    <n v="2278"/>
    <n v="2138"/>
    <n v="7073"/>
    <n v="0.13841046132446247"/>
    <x v="0"/>
  </r>
  <r>
    <x v="1993"/>
    <x v="1993"/>
    <x v="1"/>
    <x v="24"/>
    <x v="5"/>
    <x v="6"/>
    <n v="67514"/>
    <n v="32793"/>
    <n v="24055"/>
    <n v="1518"/>
    <n v="120"/>
    <n v="118"/>
    <n v="329"/>
    <n v="781"/>
    <n v="8.6676366659738102E-2"/>
    <x v="2"/>
  </r>
  <r>
    <x v="1994"/>
    <x v="1994"/>
    <x v="1"/>
    <x v="24"/>
    <x v="5"/>
    <x v="6"/>
    <n v="134820"/>
    <n v="45165"/>
    <n v="38935"/>
    <n v="3104"/>
    <n v="208"/>
    <n v="302"/>
    <n v="537"/>
    <n v="248"/>
    <n v="0.10661358674714268"/>
    <x v="0"/>
  </r>
  <r>
    <x v="1995"/>
    <x v="1995"/>
    <x v="3"/>
    <x v="15"/>
    <x v="1"/>
    <x v="4"/>
    <n v="599339"/>
    <n v="190081"/>
    <n v="171613"/>
    <n v="13443"/>
    <n v="616"/>
    <n v="1013"/>
    <n v="12"/>
    <n v="4815"/>
    <n v="8.7895439156707236E-2"/>
    <x v="0"/>
  </r>
  <r>
    <x v="1996"/>
    <x v="1996"/>
    <x v="4"/>
    <x v="12"/>
    <x v="5"/>
    <x v="11"/>
    <n v="617094"/>
    <n v="366512"/>
    <n v="319171"/>
    <n v="16806"/>
    <n v="1168"/>
    <n v="1940"/>
    <n v="910"/>
    <n v="5143"/>
    <n v="6.5244022796557333E-2"/>
    <x v="1"/>
  </r>
  <r>
    <x v="1997"/>
    <x v="1997"/>
    <x v="2"/>
    <x v="16"/>
    <x v="5"/>
    <x v="5"/>
    <n v="846886"/>
    <n v="204374"/>
    <n v="185705"/>
    <n v="12590"/>
    <n v="759"/>
    <n v="420"/>
    <n v="40"/>
    <n v="6044"/>
    <n v="7.4359871839745836E-2"/>
    <x v="0"/>
  </r>
  <r>
    <x v="1998"/>
    <x v="1998"/>
    <x v="1"/>
    <x v="24"/>
    <x v="5"/>
    <x v="1"/>
    <n v="655224"/>
    <n v="383965"/>
    <n v="346796"/>
    <n v="26142"/>
    <n v="4541"/>
    <n v="1963"/>
    <n v="4225"/>
    <n v="13091"/>
    <n v="0.1063189886849906"/>
    <x v="0"/>
  </r>
  <r>
    <x v="1999"/>
    <x v="1999"/>
    <x v="2"/>
    <x v="16"/>
    <x v="1"/>
    <x v="15"/>
    <n v="590217"/>
    <n v="253364"/>
    <n v="177788"/>
    <n v="20094"/>
    <n v="2844"/>
    <n v="641"/>
    <n v="32"/>
    <n v="4439"/>
    <n v="0.13280423875627151"/>
    <x v="1"/>
  </r>
  <r>
    <x v="2000"/>
    <x v="2000"/>
    <x v="4"/>
    <x v="14"/>
    <x v="5"/>
    <x v="13"/>
    <n v="588816"/>
    <n v="100360"/>
    <n v="86109"/>
    <n v="4757"/>
    <n v="307"/>
    <n v="336"/>
    <n v="602"/>
    <n v="640"/>
    <n v="6.9702353993194674E-2"/>
    <x v="2"/>
  </r>
  <r>
    <x v="2001"/>
    <x v="2001"/>
    <x v="2"/>
    <x v="19"/>
    <x v="1"/>
    <x v="3"/>
    <n v="680121"/>
    <n v="434138"/>
    <n v="339097"/>
    <n v="29262"/>
    <n v="3300"/>
    <n v="2857"/>
    <n v="5"/>
    <n v="3577"/>
    <n v="0.10446568386037033"/>
    <x v="1"/>
  </r>
  <r>
    <x v="2002"/>
    <x v="2002"/>
    <x v="0"/>
    <x v="22"/>
    <x v="2"/>
    <x v="10"/>
    <n v="745062"/>
    <n v="347484"/>
    <n v="297333"/>
    <n v="26556"/>
    <n v="2523"/>
    <n v="2256"/>
    <n v="1553"/>
    <n v="11220"/>
    <n v="0.11060998947308237"/>
    <x v="1"/>
  </r>
  <r>
    <x v="2003"/>
    <x v="2003"/>
    <x v="2"/>
    <x v="2"/>
    <x v="0"/>
    <x v="15"/>
    <n v="589280"/>
    <n v="118100"/>
    <n v="90031"/>
    <n v="9016"/>
    <n v="973"/>
    <n v="1062"/>
    <n v="26"/>
    <n v="3328"/>
    <n v="0.12303539891815042"/>
    <x v="0"/>
  </r>
  <r>
    <x v="2004"/>
    <x v="2004"/>
    <x v="1"/>
    <x v="17"/>
    <x v="1"/>
    <x v="16"/>
    <n v="316000"/>
    <n v="41978"/>
    <n v="31105"/>
    <n v="2768"/>
    <n v="263"/>
    <n v="228"/>
    <n v="220"/>
    <n v="1237"/>
    <n v="0.11184696994052404"/>
    <x v="0"/>
  </r>
  <r>
    <x v="2005"/>
    <x v="2005"/>
    <x v="3"/>
    <x v="4"/>
    <x v="4"/>
    <x v="9"/>
    <n v="801122"/>
    <n v="438730"/>
    <n v="330239"/>
    <n v="24407"/>
    <n v="3116"/>
    <n v="2132"/>
    <n v="43"/>
    <n v="11315"/>
    <n v="8.9928809135202084E-2"/>
    <x v="0"/>
  </r>
  <r>
    <x v="2006"/>
    <x v="2006"/>
    <x v="3"/>
    <x v="4"/>
    <x v="5"/>
    <x v="4"/>
    <n v="554548"/>
    <n v="72278"/>
    <n v="56700"/>
    <n v="4090"/>
    <n v="725"/>
    <n v="384"/>
    <n v="45"/>
    <n v="1087"/>
    <n v="9.2486772486772492E-2"/>
    <x v="0"/>
  </r>
  <r>
    <x v="2007"/>
    <x v="2007"/>
    <x v="2"/>
    <x v="3"/>
    <x v="4"/>
    <x v="5"/>
    <n v="208004"/>
    <n v="17854"/>
    <n v="14959"/>
    <n v="1205"/>
    <n v="141"/>
    <n v="25"/>
    <n v="35"/>
    <n v="592"/>
    <n v="9.39902399893041E-2"/>
    <x v="1"/>
  </r>
  <r>
    <x v="2008"/>
    <x v="2008"/>
    <x v="2"/>
    <x v="2"/>
    <x v="2"/>
    <x v="15"/>
    <n v="695910"/>
    <n v="127890"/>
    <n v="105744"/>
    <n v="8624"/>
    <n v="573"/>
    <n v="1038"/>
    <n v="40"/>
    <n v="4379"/>
    <n v="9.7168633681343625E-2"/>
    <x v="1"/>
  </r>
  <r>
    <x v="2009"/>
    <x v="2009"/>
    <x v="1"/>
    <x v="8"/>
    <x v="2"/>
    <x v="16"/>
    <n v="492929"/>
    <n v="175977"/>
    <n v="153131"/>
    <n v="4081"/>
    <n v="359"/>
    <n v="459"/>
    <n v="370"/>
    <n v="3063"/>
    <n v="3.4408447668989296E-2"/>
    <x v="2"/>
  </r>
  <r>
    <x v="2010"/>
    <x v="2010"/>
    <x v="3"/>
    <x v="4"/>
    <x v="2"/>
    <x v="4"/>
    <n v="827963"/>
    <n v="341906"/>
    <n v="299515"/>
    <n v="25085"/>
    <n v="3295"/>
    <n v="1967"/>
    <n v="25"/>
    <n v="8394"/>
    <n v="0.10140393636378812"/>
    <x v="1"/>
  </r>
  <r>
    <x v="2011"/>
    <x v="2011"/>
    <x v="2"/>
    <x v="2"/>
    <x v="3"/>
    <x v="15"/>
    <n v="59240"/>
    <n v="16129"/>
    <n v="11757"/>
    <n v="705"/>
    <n v="100"/>
    <n v="73"/>
    <n v="16"/>
    <n v="389"/>
    <n v="7.6039806072977806E-2"/>
    <x v="2"/>
  </r>
  <r>
    <x v="2012"/>
    <x v="2012"/>
    <x v="1"/>
    <x v="8"/>
    <x v="3"/>
    <x v="6"/>
    <n v="388003"/>
    <n v="87516"/>
    <n v="68098"/>
    <n v="6385"/>
    <n v="957"/>
    <n v="275"/>
    <n v="397"/>
    <n v="833"/>
    <n v="0.11768333871773033"/>
    <x v="2"/>
  </r>
  <r>
    <x v="2013"/>
    <x v="2013"/>
    <x v="2"/>
    <x v="19"/>
    <x v="5"/>
    <x v="5"/>
    <n v="55672"/>
    <n v="7081"/>
    <n v="5101"/>
    <n v="554"/>
    <n v="45"/>
    <n v="79"/>
    <n v="1"/>
    <n v="206"/>
    <n v="0.13311115467555382"/>
    <x v="0"/>
  </r>
  <r>
    <x v="2014"/>
    <x v="2014"/>
    <x v="0"/>
    <x v="13"/>
    <x v="5"/>
    <x v="0"/>
    <n v="572320"/>
    <n v="131618"/>
    <n v="118553"/>
    <n v="9210"/>
    <n v="1256"/>
    <n v="783"/>
    <n v="2171"/>
    <n v="4207"/>
    <n v="0.1131983163648326"/>
    <x v="0"/>
  </r>
  <r>
    <x v="2015"/>
    <x v="2015"/>
    <x v="3"/>
    <x v="11"/>
    <x v="5"/>
    <x v="9"/>
    <n v="219772"/>
    <n v="29581"/>
    <n v="20970"/>
    <n v="2334"/>
    <n v="350"/>
    <n v="233"/>
    <n v="4"/>
    <n v="801"/>
    <n v="0.13929422985216977"/>
    <x v="0"/>
  </r>
  <r>
    <x v="2016"/>
    <x v="2016"/>
    <x v="3"/>
    <x v="11"/>
    <x v="1"/>
    <x v="4"/>
    <n v="369052"/>
    <n v="205930"/>
    <n v="181910"/>
    <n v="7769"/>
    <n v="1202"/>
    <n v="565"/>
    <n v="39"/>
    <n v="4727"/>
    <n v="5.2635918860975205E-2"/>
    <x v="0"/>
  </r>
  <r>
    <x v="2017"/>
    <x v="2017"/>
    <x v="1"/>
    <x v="24"/>
    <x v="1"/>
    <x v="8"/>
    <n v="102830"/>
    <n v="55220"/>
    <n v="42499"/>
    <n v="4351"/>
    <n v="666"/>
    <n v="112"/>
    <n v="1037"/>
    <n v="286"/>
    <n v="0.14508576672392293"/>
    <x v="0"/>
  </r>
  <r>
    <x v="2018"/>
    <x v="2018"/>
    <x v="4"/>
    <x v="12"/>
    <x v="2"/>
    <x v="13"/>
    <n v="83041"/>
    <n v="405262"/>
    <n v="293377"/>
    <n v="21473"/>
    <n v="2112"/>
    <n v="1376"/>
    <n v="5092"/>
    <n v="12033"/>
    <n v="0.10243815977394274"/>
    <x v="0"/>
  </r>
  <r>
    <x v="2019"/>
    <x v="2019"/>
    <x v="4"/>
    <x v="14"/>
    <x v="0"/>
    <x v="12"/>
    <n v="641700"/>
    <n v="154484"/>
    <n v="111095"/>
    <n v="6924"/>
    <n v="634"/>
    <n v="496"/>
    <n v="406"/>
    <n v="1799"/>
    <n v="7.6151041901075661E-2"/>
    <x v="0"/>
  </r>
  <r>
    <x v="2020"/>
    <x v="2020"/>
    <x v="4"/>
    <x v="20"/>
    <x v="0"/>
    <x v="11"/>
    <n v="478227"/>
    <n v="130494"/>
    <n v="104462"/>
    <n v="3696"/>
    <n v="140"/>
    <n v="190"/>
    <n v="649"/>
    <n v="2504"/>
    <n v="4.4753115965614293E-2"/>
    <x v="0"/>
  </r>
  <r>
    <x v="2021"/>
    <x v="2021"/>
    <x v="4"/>
    <x v="10"/>
    <x v="5"/>
    <x v="13"/>
    <n v="579069"/>
    <n v="187022"/>
    <n v="144049"/>
    <n v="14478"/>
    <n v="2112"/>
    <n v="2118"/>
    <n v="964"/>
    <n v="3866"/>
    <n v="0.13656464119848108"/>
    <x v="1"/>
  </r>
  <r>
    <x v="2022"/>
    <x v="2022"/>
    <x v="1"/>
    <x v="8"/>
    <x v="5"/>
    <x v="16"/>
    <n v="604749"/>
    <n v="310440"/>
    <n v="218448"/>
    <n v="22321"/>
    <n v="1582"/>
    <n v="1264"/>
    <n v="3717"/>
    <n v="4529"/>
    <n v="0.13222368710173588"/>
    <x v="0"/>
  </r>
  <r>
    <x v="2023"/>
    <x v="2023"/>
    <x v="4"/>
    <x v="20"/>
    <x v="1"/>
    <x v="11"/>
    <n v="199994"/>
    <n v="28342"/>
    <n v="21256"/>
    <n v="818"/>
    <n v="46"/>
    <n v="89"/>
    <n v="108"/>
    <n v="590"/>
    <n v="4.9915318027850958E-2"/>
    <x v="0"/>
  </r>
  <r>
    <x v="2024"/>
    <x v="2024"/>
    <x v="3"/>
    <x v="11"/>
    <x v="0"/>
    <x v="14"/>
    <n v="38698"/>
    <n v="21981"/>
    <n v="19767"/>
    <n v="865"/>
    <n v="65"/>
    <n v="74"/>
    <n v="49"/>
    <n v="318"/>
    <n v="5.3270602519350431E-2"/>
    <x v="0"/>
  </r>
  <r>
    <x v="2025"/>
    <x v="2025"/>
    <x v="0"/>
    <x v="0"/>
    <x v="0"/>
    <x v="7"/>
    <n v="215447"/>
    <n v="18035"/>
    <n v="15436"/>
    <n v="759"/>
    <n v="57"/>
    <n v="61"/>
    <n v="170"/>
    <n v="91"/>
    <n v="6.7828452967089919E-2"/>
    <x v="1"/>
  </r>
  <r>
    <x v="2026"/>
    <x v="2026"/>
    <x v="0"/>
    <x v="0"/>
    <x v="3"/>
    <x v="7"/>
    <n v="37108"/>
    <n v="6072"/>
    <n v="4868"/>
    <n v="423"/>
    <n v="60"/>
    <n v="32"/>
    <n v="30"/>
    <n v="63"/>
    <n v="0.1119556285949055"/>
    <x v="1"/>
  </r>
  <r>
    <x v="2027"/>
    <x v="2027"/>
    <x v="1"/>
    <x v="8"/>
    <x v="4"/>
    <x v="8"/>
    <n v="99529"/>
    <n v="55649"/>
    <n v="43534"/>
    <n v="2879"/>
    <n v="282"/>
    <n v="284"/>
    <n v="359"/>
    <n v="870"/>
    <n v="8.7379978867092381E-2"/>
    <x v="0"/>
  </r>
  <r>
    <x v="2028"/>
    <x v="2028"/>
    <x v="3"/>
    <x v="4"/>
    <x v="2"/>
    <x v="14"/>
    <n v="75050"/>
    <n v="35334"/>
    <n v="27556"/>
    <n v="2456"/>
    <n v="104"/>
    <n v="169"/>
    <n v="49"/>
    <n v="757"/>
    <n v="0.10081289011467556"/>
    <x v="0"/>
  </r>
  <r>
    <x v="2029"/>
    <x v="2029"/>
    <x v="1"/>
    <x v="1"/>
    <x v="5"/>
    <x v="8"/>
    <n v="31786"/>
    <n v="15468"/>
    <n v="13286"/>
    <n v="349"/>
    <n v="28"/>
    <n v="39"/>
    <n v="61"/>
    <n v="508"/>
    <n v="3.5902453710672889E-2"/>
    <x v="1"/>
  </r>
  <r>
    <x v="2030"/>
    <x v="2030"/>
    <x v="3"/>
    <x v="4"/>
    <x v="5"/>
    <x v="4"/>
    <n v="24996"/>
    <n v="14145"/>
    <n v="12593"/>
    <n v="288"/>
    <n v="19"/>
    <n v="12"/>
    <n v="0"/>
    <n v="269"/>
    <n v="2.5331533391566744E-2"/>
    <x v="2"/>
  </r>
  <r>
    <x v="2031"/>
    <x v="2031"/>
    <x v="1"/>
    <x v="1"/>
    <x v="2"/>
    <x v="16"/>
    <n v="433118"/>
    <n v="900459"/>
    <n v="755437"/>
    <n v="38703"/>
    <n v="5454"/>
    <n v="5601"/>
    <n v="2873"/>
    <n v="16283"/>
    <n v="6.9669608451796775E-2"/>
    <x v="1"/>
  </r>
  <r>
    <x v="2032"/>
    <x v="2032"/>
    <x v="3"/>
    <x v="4"/>
    <x v="3"/>
    <x v="9"/>
    <n v="618679"/>
    <n v="257403"/>
    <n v="180379"/>
    <n v="13731"/>
    <n v="1758"/>
    <n v="362"/>
    <n v="12"/>
    <n v="8967"/>
    <n v="8.7942609727296409E-2"/>
    <x v="0"/>
  </r>
  <r>
    <x v="2033"/>
    <x v="2033"/>
    <x v="4"/>
    <x v="14"/>
    <x v="4"/>
    <x v="13"/>
    <n v="490024"/>
    <n v="276936"/>
    <n v="196886"/>
    <n v="10150"/>
    <n v="1200"/>
    <n v="379"/>
    <n v="1290"/>
    <n v="2460"/>
    <n v="6.6124559389697593E-2"/>
    <x v="2"/>
  </r>
  <r>
    <x v="2034"/>
    <x v="2034"/>
    <x v="3"/>
    <x v="9"/>
    <x v="5"/>
    <x v="4"/>
    <n v="32039"/>
    <n v="10773"/>
    <n v="8294"/>
    <n v="599"/>
    <n v="53"/>
    <n v="74"/>
    <n v="43"/>
    <n v="90"/>
    <n v="9.2717627200385816E-2"/>
    <x v="0"/>
  </r>
  <r>
    <x v="2035"/>
    <x v="2035"/>
    <x v="4"/>
    <x v="12"/>
    <x v="5"/>
    <x v="13"/>
    <n v="254324"/>
    <n v="126073"/>
    <n v="114149"/>
    <n v="7535"/>
    <n v="1126"/>
    <n v="866"/>
    <n v="1555"/>
    <n v="2936"/>
    <n v="9.7083636299923781E-2"/>
    <x v="0"/>
  </r>
  <r>
    <x v="2036"/>
    <x v="2036"/>
    <x v="2"/>
    <x v="16"/>
    <x v="4"/>
    <x v="3"/>
    <n v="760074"/>
    <n v="337631"/>
    <n v="263312"/>
    <n v="9196"/>
    <n v="456"/>
    <n v="319"/>
    <n v="46"/>
    <n v="6718"/>
    <n v="3.8042322415993195E-2"/>
    <x v="0"/>
  </r>
  <r>
    <x v="2037"/>
    <x v="2037"/>
    <x v="1"/>
    <x v="24"/>
    <x v="1"/>
    <x v="1"/>
    <n v="688903"/>
    <n v="139992"/>
    <n v="109477"/>
    <n v="7876"/>
    <n v="933"/>
    <n v="927"/>
    <n v="673"/>
    <n v="1307"/>
    <n v="9.5079331731779279E-2"/>
    <x v="0"/>
  </r>
  <r>
    <x v="2038"/>
    <x v="2038"/>
    <x v="2"/>
    <x v="3"/>
    <x v="3"/>
    <x v="15"/>
    <n v="158427"/>
    <n v="57004"/>
    <n v="41019"/>
    <n v="2577"/>
    <n v="303"/>
    <n v="114"/>
    <n v="23"/>
    <n v="693"/>
    <n v="7.3551281113630268E-2"/>
    <x v="0"/>
  </r>
  <r>
    <x v="2039"/>
    <x v="2039"/>
    <x v="3"/>
    <x v="9"/>
    <x v="1"/>
    <x v="9"/>
    <n v="44029"/>
    <n v="13393"/>
    <n v="10894"/>
    <n v="860"/>
    <n v="126"/>
    <n v="59"/>
    <n v="15"/>
    <n v="199"/>
    <n v="9.7301266752340743E-2"/>
    <x v="0"/>
  </r>
  <r>
    <x v="2040"/>
    <x v="2040"/>
    <x v="1"/>
    <x v="7"/>
    <x v="4"/>
    <x v="1"/>
    <n v="815725"/>
    <n v="293536"/>
    <n v="238034"/>
    <n v="7873"/>
    <n v="895"/>
    <n v="570"/>
    <n v="1739"/>
    <n v="6656"/>
    <n v="4.6535368896880279E-2"/>
    <x v="0"/>
  </r>
  <r>
    <x v="2041"/>
    <x v="2041"/>
    <x v="3"/>
    <x v="4"/>
    <x v="0"/>
    <x v="9"/>
    <n v="609635"/>
    <n v="201839"/>
    <n v="163963"/>
    <n v="8101"/>
    <n v="1376"/>
    <n v="997"/>
    <n v="36"/>
    <n v="4951"/>
    <n v="6.4099827400084172E-2"/>
    <x v="1"/>
  </r>
  <r>
    <x v="2042"/>
    <x v="2042"/>
    <x v="4"/>
    <x v="14"/>
    <x v="5"/>
    <x v="13"/>
    <n v="728872"/>
    <n v="359420"/>
    <n v="318412"/>
    <n v="8889"/>
    <n v="667"/>
    <n v="263"/>
    <n v="667"/>
    <n v="5045"/>
    <n v="3.2932175923017976E-2"/>
    <x v="0"/>
  </r>
  <r>
    <x v="2043"/>
    <x v="2043"/>
    <x v="3"/>
    <x v="11"/>
    <x v="2"/>
    <x v="14"/>
    <n v="348976"/>
    <n v="34215"/>
    <n v="25009"/>
    <n v="2672"/>
    <n v="143"/>
    <n v="268"/>
    <n v="32"/>
    <n v="206"/>
    <n v="0.12455516014234876"/>
    <x v="1"/>
  </r>
  <r>
    <x v="2044"/>
    <x v="2044"/>
    <x v="0"/>
    <x v="6"/>
    <x v="4"/>
    <x v="7"/>
    <n v="440495"/>
    <n v="188854"/>
    <n v="140485"/>
    <n v="4914"/>
    <n v="542"/>
    <n v="666"/>
    <n v="1023"/>
    <n v="6476"/>
    <n v="5.0859522368936184E-2"/>
    <x v="1"/>
  </r>
  <r>
    <x v="2045"/>
    <x v="2045"/>
    <x v="2"/>
    <x v="2"/>
    <x v="5"/>
    <x v="5"/>
    <n v="814109"/>
    <n v="363608"/>
    <n v="275805"/>
    <n v="9588"/>
    <n v="1417"/>
    <n v="275"/>
    <n v="19"/>
    <n v="3409"/>
    <n v="4.096735012055619E-2"/>
    <x v="0"/>
  </r>
  <r>
    <x v="2046"/>
    <x v="2046"/>
    <x v="3"/>
    <x v="4"/>
    <x v="5"/>
    <x v="4"/>
    <n v="615430"/>
    <n v="372254"/>
    <n v="269324"/>
    <n v="19161"/>
    <n v="778"/>
    <n v="1742"/>
    <n v="40"/>
    <n v="8728"/>
    <n v="8.0650072032199135E-2"/>
    <x v="1"/>
  </r>
  <r>
    <x v="2047"/>
    <x v="2047"/>
    <x v="1"/>
    <x v="7"/>
    <x v="0"/>
    <x v="1"/>
    <n v="472574"/>
    <n v="124261"/>
    <n v="95366"/>
    <n v="6233"/>
    <n v="779"/>
    <n v="206"/>
    <n v="716"/>
    <n v="2483"/>
    <n v="8.3195268754063287E-2"/>
    <x v="1"/>
  </r>
  <r>
    <x v="2048"/>
    <x v="2048"/>
    <x v="4"/>
    <x v="10"/>
    <x v="3"/>
    <x v="11"/>
    <n v="722993"/>
    <n v="135058"/>
    <n v="121537"/>
    <n v="5001"/>
    <n v="892"/>
    <n v="102"/>
    <n v="427"/>
    <n v="1175"/>
    <n v="5.2839875922558566E-2"/>
    <x v="0"/>
  </r>
  <r>
    <x v="2049"/>
    <x v="2049"/>
    <x v="3"/>
    <x v="4"/>
    <x v="0"/>
    <x v="14"/>
    <n v="264600"/>
    <n v="21766"/>
    <n v="18831"/>
    <n v="756"/>
    <n v="56"/>
    <n v="42"/>
    <n v="24"/>
    <n v="705"/>
    <n v="4.6625245605650255E-2"/>
    <x v="2"/>
  </r>
  <r>
    <x v="2050"/>
    <x v="2050"/>
    <x v="0"/>
    <x v="6"/>
    <x v="4"/>
    <x v="0"/>
    <n v="758253"/>
    <n v="240941"/>
    <n v="210608"/>
    <n v="18210"/>
    <n v="1981"/>
    <n v="2696"/>
    <n v="1097"/>
    <n v="5383"/>
    <n v="0.11387981463192282"/>
    <x v="1"/>
  </r>
  <r>
    <x v="2051"/>
    <x v="2051"/>
    <x v="1"/>
    <x v="17"/>
    <x v="5"/>
    <x v="6"/>
    <n v="778669"/>
    <n v="467356"/>
    <n v="357076"/>
    <n v="12338"/>
    <n v="995"/>
    <n v="354"/>
    <n v="1886"/>
    <n v="15031"/>
    <n v="4.3612564272031723E-2"/>
    <x v="0"/>
  </r>
  <r>
    <x v="2052"/>
    <x v="2052"/>
    <x v="3"/>
    <x v="15"/>
    <x v="5"/>
    <x v="9"/>
    <n v="203559"/>
    <n v="39149"/>
    <n v="30501"/>
    <n v="2670"/>
    <n v="136"/>
    <n v="171"/>
    <n v="38"/>
    <n v="1135"/>
    <n v="9.884921805842431E-2"/>
    <x v="0"/>
  </r>
  <r>
    <x v="2053"/>
    <x v="2053"/>
    <x v="0"/>
    <x v="13"/>
    <x v="2"/>
    <x v="7"/>
    <n v="680715"/>
    <n v="313251"/>
    <n v="251903"/>
    <n v="9468"/>
    <n v="368"/>
    <n v="594"/>
    <n v="1870"/>
    <n v="4423"/>
    <n v="4.8828318837012663E-2"/>
    <x v="0"/>
  </r>
  <r>
    <x v="2054"/>
    <x v="2054"/>
    <x v="4"/>
    <x v="14"/>
    <x v="0"/>
    <x v="11"/>
    <n v="530748"/>
    <n v="75785"/>
    <n v="65572"/>
    <n v="2499"/>
    <n v="267"/>
    <n v="167"/>
    <n v="476"/>
    <n v="2428"/>
    <n v="5.1988653693649731E-2"/>
    <x v="0"/>
  </r>
  <r>
    <x v="2055"/>
    <x v="2055"/>
    <x v="1"/>
    <x v="1"/>
    <x v="5"/>
    <x v="16"/>
    <n v="8499"/>
    <n v="4695"/>
    <n v="4020"/>
    <n v="124"/>
    <n v="9"/>
    <n v="3"/>
    <n v="7"/>
    <n v="150"/>
    <n v="3.5572139303482589E-2"/>
    <x v="1"/>
  </r>
  <r>
    <x v="2056"/>
    <x v="2056"/>
    <x v="3"/>
    <x v="18"/>
    <x v="1"/>
    <x v="4"/>
    <n v="425333"/>
    <n v="106102"/>
    <n v="90401"/>
    <n v="3057"/>
    <n v="177"/>
    <n v="378"/>
    <n v="7"/>
    <n v="1317"/>
    <n v="4.0032743000630526E-2"/>
    <x v="0"/>
  </r>
  <r>
    <x v="2057"/>
    <x v="2057"/>
    <x v="4"/>
    <x v="20"/>
    <x v="5"/>
    <x v="11"/>
    <n v="730053"/>
    <n v="109902"/>
    <n v="81558"/>
    <n v="3184"/>
    <n v="149"/>
    <n v="334"/>
    <n v="727"/>
    <n v="873"/>
    <n v="5.3875769391108171E-2"/>
    <x v="0"/>
  </r>
  <r>
    <x v="2058"/>
    <x v="2058"/>
    <x v="0"/>
    <x v="6"/>
    <x v="1"/>
    <x v="0"/>
    <n v="249777"/>
    <n v="97311"/>
    <n v="88944"/>
    <n v="6192"/>
    <n v="322"/>
    <n v="708"/>
    <n v="1219"/>
    <n v="1221"/>
    <n v="9.4902410505486604E-2"/>
    <x v="0"/>
  </r>
  <r>
    <x v="2059"/>
    <x v="2059"/>
    <x v="1"/>
    <x v="8"/>
    <x v="2"/>
    <x v="16"/>
    <n v="330845"/>
    <n v="183939"/>
    <n v="164414"/>
    <n v="5432"/>
    <n v="600"/>
    <n v="420"/>
    <n v="314"/>
    <n v="3392"/>
    <n v="4.1152213315167809E-2"/>
    <x v="0"/>
  </r>
  <r>
    <x v="2060"/>
    <x v="2060"/>
    <x v="1"/>
    <x v="7"/>
    <x v="1"/>
    <x v="8"/>
    <n v="673370"/>
    <n v="399220"/>
    <n v="314158"/>
    <n v="19236"/>
    <n v="726"/>
    <n v="1732"/>
    <n v="4333"/>
    <n v="12357"/>
    <n v="8.2846847764500658E-2"/>
    <x v="0"/>
  </r>
  <r>
    <x v="2061"/>
    <x v="2061"/>
    <x v="0"/>
    <x v="0"/>
    <x v="5"/>
    <x v="10"/>
    <n v="56773"/>
    <n v="297860"/>
    <n v="210847"/>
    <n v="20100"/>
    <n v="3179"/>
    <n v="450"/>
    <n v="3711"/>
    <n v="8672"/>
    <n v="0.13014176156170115"/>
    <x v="0"/>
  </r>
  <r>
    <x v="2062"/>
    <x v="2062"/>
    <x v="0"/>
    <x v="6"/>
    <x v="0"/>
    <x v="7"/>
    <n v="292441"/>
    <n v="81129"/>
    <n v="64587"/>
    <n v="5569"/>
    <n v="993"/>
    <n v="540"/>
    <n v="509"/>
    <n v="838"/>
    <n v="0.11784105160481212"/>
    <x v="2"/>
  </r>
  <r>
    <x v="2063"/>
    <x v="2063"/>
    <x v="1"/>
    <x v="7"/>
    <x v="1"/>
    <x v="1"/>
    <n v="735786"/>
    <n v="291859"/>
    <n v="255985"/>
    <n v="8801"/>
    <n v="1489"/>
    <n v="835"/>
    <n v="2038"/>
    <n v="7133"/>
    <n v="5.1420981698146379E-2"/>
    <x v="2"/>
  </r>
  <r>
    <x v="2064"/>
    <x v="2064"/>
    <x v="2"/>
    <x v="2"/>
    <x v="4"/>
    <x v="2"/>
    <n v="543536"/>
    <n v="2979053"/>
    <n v="2687389"/>
    <n v="108591"/>
    <n v="13856"/>
    <n v="5450"/>
    <n v="29"/>
    <n v="84003"/>
    <n v="4.7602338180293212E-2"/>
    <x v="0"/>
  </r>
  <r>
    <x v="2065"/>
    <x v="2065"/>
    <x v="3"/>
    <x v="4"/>
    <x v="2"/>
    <x v="9"/>
    <n v="763207"/>
    <n v="312762"/>
    <n v="265341"/>
    <n v="18467"/>
    <n v="1436"/>
    <n v="1119"/>
    <n v="29"/>
    <n v="8318"/>
    <n v="7.9335647336823176E-2"/>
    <x v="0"/>
  </r>
  <r>
    <x v="2066"/>
    <x v="2066"/>
    <x v="4"/>
    <x v="20"/>
    <x v="3"/>
    <x v="11"/>
    <n v="8927"/>
    <n v="3520"/>
    <n v="3162"/>
    <n v="190"/>
    <n v="24"/>
    <n v="18"/>
    <n v="39"/>
    <n v="59"/>
    <n v="8.5705249841872236E-2"/>
    <x v="1"/>
  </r>
  <r>
    <x v="2067"/>
    <x v="2067"/>
    <x v="2"/>
    <x v="5"/>
    <x v="2"/>
    <x v="5"/>
    <n v="575897"/>
    <n v="312576"/>
    <n v="243449"/>
    <n v="17708"/>
    <n v="2717"/>
    <n v="1625"/>
    <n v="47"/>
    <n v="4929"/>
    <n v="9.0766443895846774E-2"/>
    <x v="1"/>
  </r>
  <r>
    <x v="2068"/>
    <x v="2068"/>
    <x v="0"/>
    <x v="22"/>
    <x v="0"/>
    <x v="0"/>
    <n v="744872"/>
    <n v="2214748"/>
    <n v="1721355"/>
    <n v="57087"/>
    <n v="5253"/>
    <n v="6035"/>
    <n v="6900"/>
    <n v="72248"/>
    <n v="4.3730084729762309E-2"/>
    <x v="1"/>
  </r>
  <r>
    <x v="2069"/>
    <x v="2069"/>
    <x v="2"/>
    <x v="3"/>
    <x v="5"/>
    <x v="15"/>
    <n v="707692"/>
    <n v="403752"/>
    <n v="303001"/>
    <n v="26396"/>
    <n v="3698"/>
    <n v="561"/>
    <n v="21"/>
    <n v="10909"/>
    <n v="0.10124058996504962"/>
    <x v="0"/>
  </r>
  <r>
    <x v="2070"/>
    <x v="2070"/>
    <x v="1"/>
    <x v="8"/>
    <x v="0"/>
    <x v="1"/>
    <n v="143332"/>
    <n v="68824"/>
    <n v="60090"/>
    <n v="3301"/>
    <n v="574"/>
    <n v="82"/>
    <n v="633"/>
    <n v="2168"/>
    <n v="7.6385421867199196E-2"/>
    <x v="1"/>
  </r>
  <r>
    <x v="2071"/>
    <x v="2071"/>
    <x v="3"/>
    <x v="11"/>
    <x v="0"/>
    <x v="14"/>
    <n v="86573"/>
    <n v="50688"/>
    <n v="44581"/>
    <n v="3002"/>
    <n v="346"/>
    <n v="149"/>
    <n v="19"/>
    <n v="1279"/>
    <n v="7.8867679056100135E-2"/>
    <x v="1"/>
  </r>
  <r>
    <x v="2072"/>
    <x v="2072"/>
    <x v="1"/>
    <x v="17"/>
    <x v="2"/>
    <x v="16"/>
    <n v="465169"/>
    <n v="288569"/>
    <n v="217499"/>
    <n v="20603"/>
    <n v="3372"/>
    <n v="994"/>
    <n v="1391"/>
    <n v="6691"/>
    <n v="0.12119595952165298"/>
    <x v="2"/>
  </r>
  <r>
    <x v="2073"/>
    <x v="2073"/>
    <x v="3"/>
    <x v="18"/>
    <x v="3"/>
    <x v="9"/>
    <n v="254931"/>
    <n v="83166"/>
    <n v="64333"/>
    <n v="6508"/>
    <n v="1062"/>
    <n v="699"/>
    <n v="1"/>
    <n v="482"/>
    <n v="0.12854988885952778"/>
    <x v="1"/>
  </r>
  <r>
    <x v="2074"/>
    <x v="2074"/>
    <x v="4"/>
    <x v="12"/>
    <x v="4"/>
    <x v="13"/>
    <n v="314808"/>
    <n v="91976"/>
    <n v="78092"/>
    <n v="6903"/>
    <n v="340"/>
    <n v="587"/>
    <n v="765"/>
    <n v="2409"/>
    <n v="0.11006249039594325"/>
    <x v="0"/>
  </r>
  <r>
    <x v="2075"/>
    <x v="2075"/>
    <x v="3"/>
    <x v="15"/>
    <x v="3"/>
    <x v="9"/>
    <n v="447737"/>
    <n v="155916"/>
    <n v="131146"/>
    <n v="9033"/>
    <n v="519"/>
    <n v="256"/>
    <n v="36"/>
    <n v="3616"/>
    <n v="7.5061381971238156E-2"/>
    <x v="0"/>
  </r>
  <r>
    <x v="2076"/>
    <x v="2076"/>
    <x v="1"/>
    <x v="17"/>
    <x v="5"/>
    <x v="16"/>
    <n v="678021"/>
    <n v="245767"/>
    <n v="211195"/>
    <n v="9439"/>
    <n v="466"/>
    <n v="242"/>
    <n v="1153"/>
    <n v="7649"/>
    <n v="5.35050545704207E-2"/>
    <x v="1"/>
  </r>
  <r>
    <x v="2077"/>
    <x v="2077"/>
    <x v="4"/>
    <x v="14"/>
    <x v="2"/>
    <x v="17"/>
    <n v="130382"/>
    <n v="37659"/>
    <n v="30132"/>
    <n v="1438"/>
    <n v="53"/>
    <n v="117"/>
    <n v="352"/>
    <n v="354"/>
    <n v="6.5047125979025622E-2"/>
    <x v="1"/>
  </r>
  <r>
    <x v="2078"/>
    <x v="2078"/>
    <x v="2"/>
    <x v="16"/>
    <x v="0"/>
    <x v="15"/>
    <n v="515380"/>
    <n v="270692"/>
    <n v="220614"/>
    <n v="17826"/>
    <n v="2917"/>
    <n v="1652"/>
    <n v="37"/>
    <n v="5854"/>
    <n v="0.10167985712602101"/>
    <x v="1"/>
  </r>
  <r>
    <x v="2079"/>
    <x v="2079"/>
    <x v="2"/>
    <x v="16"/>
    <x v="5"/>
    <x v="15"/>
    <n v="230814"/>
    <n v="79605"/>
    <n v="57979"/>
    <n v="2609"/>
    <n v="288"/>
    <n v="232"/>
    <n v="36"/>
    <n v="931"/>
    <n v="5.458873040238707E-2"/>
    <x v="0"/>
  </r>
  <r>
    <x v="2080"/>
    <x v="2080"/>
    <x v="3"/>
    <x v="9"/>
    <x v="0"/>
    <x v="9"/>
    <n v="290764"/>
    <n v="120536"/>
    <n v="93433"/>
    <n v="6036"/>
    <n v="1022"/>
    <n v="755"/>
    <n v="5"/>
    <n v="2935"/>
    <n v="8.3674932839574889E-2"/>
    <x v="1"/>
  </r>
  <r>
    <x v="2081"/>
    <x v="2081"/>
    <x v="4"/>
    <x v="21"/>
    <x v="1"/>
    <x v="12"/>
    <n v="525352"/>
    <n v="215331"/>
    <n v="187628"/>
    <n v="13711"/>
    <n v="493"/>
    <n v="1390"/>
    <n v="2866"/>
    <n v="3323"/>
    <n v="9.8386168375722172E-2"/>
    <x v="0"/>
  </r>
  <r>
    <x v="2082"/>
    <x v="2082"/>
    <x v="1"/>
    <x v="7"/>
    <x v="2"/>
    <x v="1"/>
    <n v="252507"/>
    <n v="123871"/>
    <n v="96566"/>
    <n v="4550"/>
    <n v="345"/>
    <n v="204"/>
    <n v="441"/>
    <n v="1298"/>
    <n v="5.7370088851148436E-2"/>
    <x v="0"/>
  </r>
  <r>
    <x v="2083"/>
    <x v="2083"/>
    <x v="2"/>
    <x v="5"/>
    <x v="1"/>
    <x v="3"/>
    <n v="443401"/>
    <n v="37603"/>
    <n v="32434"/>
    <n v="2925"/>
    <n v="120"/>
    <n v="193"/>
    <n v="29"/>
    <n v="818"/>
    <n v="0.10072763149781094"/>
    <x v="0"/>
  </r>
  <r>
    <x v="2084"/>
    <x v="2084"/>
    <x v="0"/>
    <x v="23"/>
    <x v="4"/>
    <x v="7"/>
    <n v="794973"/>
    <n v="208424"/>
    <n v="188859"/>
    <n v="14790"/>
    <n v="1442"/>
    <n v="2101"/>
    <n v="2266"/>
    <n v="4752"/>
    <n v="0.10907078826002467"/>
    <x v="0"/>
  </r>
  <r>
    <x v="2085"/>
    <x v="2085"/>
    <x v="3"/>
    <x v="18"/>
    <x v="1"/>
    <x v="9"/>
    <n v="678144"/>
    <n v="336395"/>
    <n v="243310"/>
    <n v="25397"/>
    <n v="3581"/>
    <n v="2011"/>
    <n v="8"/>
    <n v="8535"/>
    <n v="0.12739714767169455"/>
    <x v="0"/>
  </r>
  <r>
    <x v="2086"/>
    <x v="2086"/>
    <x v="3"/>
    <x v="15"/>
    <x v="3"/>
    <x v="9"/>
    <n v="133357"/>
    <n v="33095"/>
    <n v="28176"/>
    <n v="1390"/>
    <n v="144"/>
    <n v="152"/>
    <n v="17"/>
    <n v="259"/>
    <n v="6.0441510505394661E-2"/>
    <x v="2"/>
  </r>
  <r>
    <x v="2087"/>
    <x v="2087"/>
    <x v="2"/>
    <x v="16"/>
    <x v="2"/>
    <x v="2"/>
    <n v="272101"/>
    <n v="44867"/>
    <n v="32651"/>
    <n v="1684"/>
    <n v="258"/>
    <n v="244"/>
    <n v="3"/>
    <n v="1160"/>
    <n v="6.7042357048788706E-2"/>
    <x v="0"/>
  </r>
  <r>
    <x v="2088"/>
    <x v="2088"/>
    <x v="4"/>
    <x v="10"/>
    <x v="1"/>
    <x v="13"/>
    <n v="491347"/>
    <n v="103983"/>
    <n v="80252"/>
    <n v="6924"/>
    <n v="927"/>
    <n v="732"/>
    <n v="656"/>
    <n v="2874"/>
    <n v="0.11512485670139062"/>
    <x v="0"/>
  </r>
  <r>
    <x v="2089"/>
    <x v="2089"/>
    <x v="2"/>
    <x v="2"/>
    <x v="1"/>
    <x v="2"/>
    <n v="691696"/>
    <n v="292179"/>
    <n v="248191"/>
    <n v="19075"/>
    <n v="2400"/>
    <n v="522"/>
    <n v="14"/>
    <n v="5961"/>
    <n v="8.868572994185929E-2"/>
    <x v="0"/>
  </r>
  <r>
    <x v="2090"/>
    <x v="2090"/>
    <x v="3"/>
    <x v="18"/>
    <x v="1"/>
    <x v="9"/>
    <n v="276306"/>
    <n v="112444"/>
    <n v="90266"/>
    <n v="4154"/>
    <n v="453"/>
    <n v="139"/>
    <n v="43"/>
    <n v="1208"/>
    <n v="5.3054306161788495E-2"/>
    <x v="0"/>
  </r>
  <r>
    <x v="2091"/>
    <x v="2091"/>
    <x v="1"/>
    <x v="17"/>
    <x v="5"/>
    <x v="1"/>
    <n v="725325"/>
    <n v="211652"/>
    <n v="184808"/>
    <n v="6341"/>
    <n v="539"/>
    <n v="193"/>
    <n v="1353"/>
    <n v="1419"/>
    <n v="4.5593264360850178E-2"/>
    <x v="0"/>
  </r>
  <r>
    <x v="2092"/>
    <x v="2092"/>
    <x v="1"/>
    <x v="24"/>
    <x v="3"/>
    <x v="8"/>
    <n v="312897"/>
    <n v="1613400"/>
    <n v="1373877"/>
    <n v="52595"/>
    <n v="2667"/>
    <n v="1676"/>
    <n v="9460"/>
    <n v="15561"/>
    <n v="4.8328926097459965E-2"/>
    <x v="0"/>
  </r>
  <r>
    <x v="2093"/>
    <x v="2093"/>
    <x v="4"/>
    <x v="10"/>
    <x v="1"/>
    <x v="12"/>
    <n v="673670"/>
    <n v="199495"/>
    <n v="144143"/>
    <n v="12811"/>
    <n v="1632"/>
    <n v="595"/>
    <n v="2649"/>
    <n v="3154"/>
    <n v="0.12270453646725821"/>
    <x v="0"/>
  </r>
  <r>
    <x v="2094"/>
    <x v="2094"/>
    <x v="1"/>
    <x v="1"/>
    <x v="3"/>
    <x v="16"/>
    <n v="787110"/>
    <n v="429204"/>
    <n v="325513"/>
    <n v="12088"/>
    <n v="1767"/>
    <n v="430"/>
    <n v="2617"/>
    <n v="3545"/>
    <n v="5.1924193503792473E-2"/>
    <x v="1"/>
  </r>
  <r>
    <x v="2095"/>
    <x v="2095"/>
    <x v="3"/>
    <x v="15"/>
    <x v="5"/>
    <x v="14"/>
    <n v="151050"/>
    <n v="72505"/>
    <n v="55143"/>
    <n v="5047"/>
    <n v="389"/>
    <n v="388"/>
    <n v="49"/>
    <n v="2530"/>
    <n v="0.10650490542770615"/>
    <x v="0"/>
  </r>
  <r>
    <x v="2096"/>
    <x v="2096"/>
    <x v="3"/>
    <x v="15"/>
    <x v="2"/>
    <x v="14"/>
    <n v="114138"/>
    <n v="48949"/>
    <n v="43440"/>
    <n v="1892"/>
    <n v="65"/>
    <n v="234"/>
    <n v="8"/>
    <n v="530"/>
    <n v="5.0621546961325967E-2"/>
    <x v="0"/>
  </r>
  <r>
    <x v="2097"/>
    <x v="2097"/>
    <x v="3"/>
    <x v="11"/>
    <x v="4"/>
    <x v="9"/>
    <n v="704692"/>
    <n v="308860"/>
    <n v="227848"/>
    <n v="15774"/>
    <n v="1268"/>
    <n v="2214"/>
    <n v="31"/>
    <n v="4473"/>
    <n v="8.4648537621572276E-2"/>
    <x v="1"/>
  </r>
  <r>
    <x v="2098"/>
    <x v="2098"/>
    <x v="3"/>
    <x v="9"/>
    <x v="0"/>
    <x v="4"/>
    <n v="274340"/>
    <n v="150555"/>
    <n v="117250"/>
    <n v="5544"/>
    <n v="749"/>
    <n v="465"/>
    <n v="30"/>
    <n v="1895"/>
    <n v="5.7893390191897653E-2"/>
    <x v="1"/>
  </r>
  <r>
    <x v="2099"/>
    <x v="2099"/>
    <x v="3"/>
    <x v="4"/>
    <x v="2"/>
    <x v="4"/>
    <n v="450386"/>
    <n v="49603"/>
    <n v="34817"/>
    <n v="2683"/>
    <n v="432"/>
    <n v="375"/>
    <n v="24"/>
    <n v="690"/>
    <n v="0.10092770772898296"/>
    <x v="0"/>
  </r>
  <r>
    <x v="2100"/>
    <x v="2100"/>
    <x v="0"/>
    <x v="0"/>
    <x v="3"/>
    <x v="7"/>
    <n v="625031"/>
    <n v="365644"/>
    <n v="284237"/>
    <n v="21607"/>
    <n v="1588"/>
    <n v="2691"/>
    <n v="1169"/>
    <n v="2932"/>
    <n v="9.5184652244429818E-2"/>
    <x v="0"/>
  </r>
  <r>
    <x v="2101"/>
    <x v="2101"/>
    <x v="1"/>
    <x v="24"/>
    <x v="5"/>
    <x v="1"/>
    <n v="769154"/>
    <n v="252272"/>
    <n v="218529"/>
    <n v="5960"/>
    <n v="924"/>
    <n v="595"/>
    <n v="1473"/>
    <n v="2945"/>
    <n v="4.0964814738547288E-2"/>
    <x v="1"/>
  </r>
  <r>
    <x v="2102"/>
    <x v="2102"/>
    <x v="2"/>
    <x v="2"/>
    <x v="0"/>
    <x v="2"/>
    <n v="145185"/>
    <n v="89245"/>
    <n v="64516"/>
    <n v="4338"/>
    <n v="261"/>
    <n v="473"/>
    <n v="49"/>
    <n v="598"/>
    <n v="7.9375658751317496E-2"/>
    <x v="0"/>
  </r>
  <r>
    <x v="2103"/>
    <x v="2103"/>
    <x v="3"/>
    <x v="15"/>
    <x v="0"/>
    <x v="14"/>
    <n v="667948"/>
    <n v="409198"/>
    <n v="371757"/>
    <n v="31209"/>
    <n v="3089"/>
    <n v="2949"/>
    <n v="9"/>
    <n v="10463"/>
    <n v="0.10021600131268543"/>
    <x v="0"/>
  </r>
  <r>
    <x v="2104"/>
    <x v="2104"/>
    <x v="0"/>
    <x v="13"/>
    <x v="3"/>
    <x v="10"/>
    <n v="277817"/>
    <n v="148662"/>
    <n v="126913"/>
    <n v="10963"/>
    <n v="1498"/>
    <n v="723"/>
    <n v="1548"/>
    <n v="3004"/>
    <n v="0.11607951904060261"/>
    <x v="0"/>
  </r>
  <r>
    <x v="2105"/>
    <x v="2105"/>
    <x v="4"/>
    <x v="20"/>
    <x v="4"/>
    <x v="11"/>
    <n v="716636"/>
    <n v="326417"/>
    <n v="260049"/>
    <n v="8613"/>
    <n v="553"/>
    <n v="1124"/>
    <n v="2035"/>
    <n v="4372"/>
    <n v="4.7394914035431786E-2"/>
    <x v="0"/>
  </r>
  <r>
    <x v="2106"/>
    <x v="2106"/>
    <x v="1"/>
    <x v="1"/>
    <x v="3"/>
    <x v="6"/>
    <n v="486595"/>
    <n v="265169"/>
    <n v="187391"/>
    <n v="15904"/>
    <n v="2811"/>
    <n v="893"/>
    <n v="3731"/>
    <n v="4001"/>
    <n v="0.12454707003004413"/>
    <x v="0"/>
  </r>
  <r>
    <x v="2107"/>
    <x v="2107"/>
    <x v="1"/>
    <x v="7"/>
    <x v="2"/>
    <x v="6"/>
    <n v="19180"/>
    <n v="11786"/>
    <n v="10504"/>
    <n v="328"/>
    <n v="45"/>
    <n v="13"/>
    <n v="47"/>
    <n v="288"/>
    <n v="4.1222391469916221E-2"/>
    <x v="1"/>
  </r>
  <r>
    <x v="2108"/>
    <x v="2108"/>
    <x v="3"/>
    <x v="4"/>
    <x v="3"/>
    <x v="4"/>
    <n v="516688"/>
    <n v="121709"/>
    <n v="101929"/>
    <n v="4758"/>
    <n v="331"/>
    <n v="658"/>
    <n v="14"/>
    <n v="3602"/>
    <n v="5.6519734324873193E-2"/>
    <x v="2"/>
  </r>
  <r>
    <x v="2109"/>
    <x v="2109"/>
    <x v="1"/>
    <x v="1"/>
    <x v="1"/>
    <x v="16"/>
    <n v="639941"/>
    <n v="323377"/>
    <n v="232041"/>
    <n v="25065"/>
    <n v="1201"/>
    <n v="540"/>
    <n v="3154"/>
    <n v="6367"/>
    <n v="0.12911511327739494"/>
    <x v="1"/>
  </r>
  <r>
    <x v="2110"/>
    <x v="2110"/>
    <x v="0"/>
    <x v="13"/>
    <x v="3"/>
    <x v="10"/>
    <n v="701358"/>
    <n v="444389"/>
    <n v="332245"/>
    <n v="22131"/>
    <n v="1862"/>
    <n v="1468"/>
    <n v="2207"/>
    <n v="15148"/>
    <n v="8.3275895799786309E-2"/>
    <x v="0"/>
  </r>
  <r>
    <x v="2111"/>
    <x v="2111"/>
    <x v="1"/>
    <x v="17"/>
    <x v="1"/>
    <x v="8"/>
    <n v="235264"/>
    <n v="1210327"/>
    <n v="861005"/>
    <n v="69426"/>
    <n v="10843"/>
    <n v="5604"/>
    <n v="15273"/>
    <n v="38895"/>
    <n v="0.11747434683886854"/>
    <x v="0"/>
  </r>
  <r>
    <x v="2112"/>
    <x v="2112"/>
    <x v="0"/>
    <x v="22"/>
    <x v="4"/>
    <x v="7"/>
    <n v="544817"/>
    <n v="321127"/>
    <n v="236086"/>
    <n v="19723"/>
    <n v="2573"/>
    <n v="2952"/>
    <n v="3378"/>
    <n v="9596"/>
    <n v="0.12125242496378438"/>
    <x v="1"/>
  </r>
  <r>
    <x v="2113"/>
    <x v="2113"/>
    <x v="4"/>
    <x v="10"/>
    <x v="1"/>
    <x v="12"/>
    <n v="497500"/>
    <n v="47603"/>
    <n v="39901"/>
    <n v="1195"/>
    <n v="63"/>
    <n v="140"/>
    <n v="184"/>
    <n v="1445"/>
    <n v="3.9648129119570941E-2"/>
    <x v="2"/>
  </r>
  <r>
    <x v="2114"/>
    <x v="2114"/>
    <x v="0"/>
    <x v="13"/>
    <x v="3"/>
    <x v="0"/>
    <n v="140288"/>
    <n v="17251"/>
    <n v="15152"/>
    <n v="1283"/>
    <n v="210"/>
    <n v="111"/>
    <n v="183"/>
    <n v="267"/>
    <n v="0.11793822597676874"/>
    <x v="0"/>
  </r>
  <r>
    <x v="2115"/>
    <x v="2115"/>
    <x v="1"/>
    <x v="8"/>
    <x v="2"/>
    <x v="6"/>
    <n v="835452"/>
    <n v="68276"/>
    <n v="52044"/>
    <n v="1640"/>
    <n v="131"/>
    <n v="68"/>
    <n v="342"/>
    <n v="914"/>
    <n v="4.1906848051648606E-2"/>
    <x v="2"/>
  </r>
  <r>
    <x v="2116"/>
    <x v="2116"/>
    <x v="3"/>
    <x v="9"/>
    <x v="3"/>
    <x v="14"/>
    <n v="369028"/>
    <n v="193880"/>
    <n v="150247"/>
    <n v="10173"/>
    <n v="1754"/>
    <n v="209"/>
    <n v="21"/>
    <n v="4314"/>
    <n v="8.0913429219884592E-2"/>
    <x v="0"/>
  </r>
  <r>
    <x v="2117"/>
    <x v="2117"/>
    <x v="2"/>
    <x v="5"/>
    <x v="0"/>
    <x v="2"/>
    <n v="434829"/>
    <n v="202620"/>
    <n v="161684"/>
    <n v="10151"/>
    <n v="1759"/>
    <n v="340"/>
    <n v="7"/>
    <n v="2763"/>
    <n v="7.5808366937977781E-2"/>
    <x v="1"/>
  </r>
  <r>
    <x v="2118"/>
    <x v="2118"/>
    <x v="1"/>
    <x v="7"/>
    <x v="5"/>
    <x v="1"/>
    <n v="50718"/>
    <n v="23969"/>
    <n v="17549"/>
    <n v="1179"/>
    <n v="103"/>
    <n v="125"/>
    <n v="278"/>
    <n v="554"/>
    <n v="9.6016867057952024E-2"/>
    <x v="0"/>
  </r>
  <r>
    <x v="2119"/>
    <x v="2119"/>
    <x v="2"/>
    <x v="16"/>
    <x v="5"/>
    <x v="15"/>
    <n v="465571"/>
    <n v="217378"/>
    <n v="194106"/>
    <n v="9818"/>
    <n v="1046"/>
    <n v="1260"/>
    <n v="44"/>
    <n v="6945"/>
    <n v="6.2687397607492812E-2"/>
    <x v="2"/>
  </r>
  <r>
    <x v="2120"/>
    <x v="2120"/>
    <x v="3"/>
    <x v="11"/>
    <x v="2"/>
    <x v="9"/>
    <n v="416993"/>
    <n v="256128"/>
    <n v="215414"/>
    <n v="20157"/>
    <n v="1480"/>
    <n v="643"/>
    <n v="28"/>
    <n v="6081"/>
    <n v="0.10355872877343163"/>
    <x v="1"/>
  </r>
  <r>
    <x v="2121"/>
    <x v="2121"/>
    <x v="0"/>
    <x v="0"/>
    <x v="3"/>
    <x v="7"/>
    <n v="57429"/>
    <n v="9835"/>
    <n v="7344"/>
    <n v="694"/>
    <n v="65"/>
    <n v="37"/>
    <n v="128"/>
    <n v="225"/>
    <n v="0.12581699346405228"/>
    <x v="2"/>
  </r>
  <r>
    <x v="2122"/>
    <x v="2122"/>
    <x v="2"/>
    <x v="2"/>
    <x v="2"/>
    <x v="3"/>
    <n v="464288"/>
    <n v="778494"/>
    <n v="645853"/>
    <n v="33738"/>
    <n v="1357"/>
    <n v="2907"/>
    <n v="28"/>
    <n v="12610"/>
    <n v="5.8883368196787814E-2"/>
    <x v="1"/>
  </r>
  <r>
    <x v="2123"/>
    <x v="2123"/>
    <x v="3"/>
    <x v="4"/>
    <x v="2"/>
    <x v="9"/>
    <n v="703190"/>
    <n v="346954"/>
    <n v="315597"/>
    <n v="27004"/>
    <n v="3954"/>
    <n v="953"/>
    <n v="23"/>
    <n v="5787"/>
    <n v="0.10118600620411475"/>
    <x v="0"/>
  </r>
  <r>
    <x v="2124"/>
    <x v="2124"/>
    <x v="1"/>
    <x v="17"/>
    <x v="2"/>
    <x v="1"/>
    <n v="482574"/>
    <n v="275857"/>
    <n v="240902"/>
    <n v="7422"/>
    <n v="483"/>
    <n v="829"/>
    <n v="640"/>
    <n v="7797"/>
    <n v="3.8912088733177808E-2"/>
    <x v="0"/>
  </r>
  <r>
    <x v="2125"/>
    <x v="2125"/>
    <x v="4"/>
    <x v="14"/>
    <x v="3"/>
    <x v="17"/>
    <n v="429547"/>
    <n v="45669"/>
    <n v="32278"/>
    <n v="3384"/>
    <n v="237"/>
    <n v="428"/>
    <n v="829"/>
    <n v="1354"/>
    <n v="0.15112460499411365"/>
    <x v="0"/>
  </r>
  <r>
    <x v="2126"/>
    <x v="2126"/>
    <x v="3"/>
    <x v="15"/>
    <x v="3"/>
    <x v="14"/>
    <n v="564647"/>
    <n v="331625"/>
    <n v="304946"/>
    <n v="15463"/>
    <n v="2134"/>
    <n v="1196"/>
    <n v="1"/>
    <n v="8984"/>
    <n v="6.1630583775488121E-2"/>
    <x v="1"/>
  </r>
  <r>
    <x v="2127"/>
    <x v="2127"/>
    <x v="0"/>
    <x v="6"/>
    <x v="2"/>
    <x v="7"/>
    <n v="827917"/>
    <n v="477684"/>
    <n v="438719"/>
    <n v="32022"/>
    <n v="4482"/>
    <n v="970"/>
    <n v="7158"/>
    <n v="9384"/>
    <n v="0.10173254406579155"/>
    <x v="0"/>
  </r>
  <r>
    <x v="2128"/>
    <x v="2128"/>
    <x v="2"/>
    <x v="19"/>
    <x v="4"/>
    <x v="2"/>
    <n v="252440"/>
    <n v="121283"/>
    <n v="89873"/>
    <n v="3002"/>
    <n v="251"/>
    <n v="246"/>
    <n v="31"/>
    <n v="3517"/>
    <n v="3.9277647346811613E-2"/>
    <x v="1"/>
  </r>
  <r>
    <x v="2129"/>
    <x v="2129"/>
    <x v="3"/>
    <x v="9"/>
    <x v="3"/>
    <x v="9"/>
    <n v="551453"/>
    <n v="283104"/>
    <n v="229281"/>
    <n v="6801"/>
    <n v="377"/>
    <n v="583"/>
    <n v="14"/>
    <n v="6747"/>
    <n v="3.3910354543115216E-2"/>
    <x v="0"/>
  </r>
  <r>
    <x v="2130"/>
    <x v="2130"/>
    <x v="3"/>
    <x v="9"/>
    <x v="0"/>
    <x v="4"/>
    <n v="219806"/>
    <n v="103539"/>
    <n v="74348"/>
    <n v="3071"/>
    <n v="186"/>
    <n v="148"/>
    <n v="37"/>
    <n v="3109"/>
    <n v="4.6295798138483883E-2"/>
    <x v="0"/>
  </r>
  <r>
    <x v="2131"/>
    <x v="2131"/>
    <x v="3"/>
    <x v="11"/>
    <x v="2"/>
    <x v="4"/>
    <n v="735115"/>
    <n v="147482"/>
    <n v="124710"/>
    <n v="3009"/>
    <n v="414"/>
    <n v="431"/>
    <n v="16"/>
    <n v="4821"/>
    <n v="3.1031994226605724E-2"/>
    <x v="0"/>
  </r>
  <r>
    <x v="2132"/>
    <x v="2132"/>
    <x v="0"/>
    <x v="22"/>
    <x v="4"/>
    <x v="7"/>
    <n v="683973"/>
    <n v="206994"/>
    <n v="159270"/>
    <n v="10946"/>
    <n v="1704"/>
    <n v="1039"/>
    <n v="2499"/>
    <n v="3530"/>
    <n v="0.10163872669052552"/>
    <x v="1"/>
  </r>
  <r>
    <x v="2133"/>
    <x v="2133"/>
    <x v="2"/>
    <x v="16"/>
    <x v="4"/>
    <x v="2"/>
    <n v="790856"/>
    <n v="483499"/>
    <n v="388850"/>
    <n v="22231"/>
    <n v="2003"/>
    <n v="1172"/>
    <n v="25"/>
    <n v="3097"/>
    <n v="6.5400540054005404E-2"/>
    <x v="0"/>
  </r>
  <r>
    <x v="2134"/>
    <x v="2134"/>
    <x v="0"/>
    <x v="0"/>
    <x v="1"/>
    <x v="7"/>
    <n v="328451"/>
    <n v="86308"/>
    <n v="61756"/>
    <n v="3609"/>
    <n v="263"/>
    <n v="364"/>
    <n v="555"/>
    <n v="1801"/>
    <n v="7.7579506444717922E-2"/>
    <x v="0"/>
  </r>
  <r>
    <x v="2135"/>
    <x v="2135"/>
    <x v="0"/>
    <x v="23"/>
    <x v="4"/>
    <x v="7"/>
    <n v="151128"/>
    <n v="49228"/>
    <n v="42038"/>
    <n v="2053"/>
    <n v="74"/>
    <n v="278"/>
    <n v="172"/>
    <n v="1467"/>
    <n v="6.1301679432894045E-2"/>
    <x v="0"/>
  </r>
  <r>
    <x v="2136"/>
    <x v="2136"/>
    <x v="2"/>
    <x v="3"/>
    <x v="2"/>
    <x v="15"/>
    <n v="400857"/>
    <n v="63986"/>
    <n v="56908"/>
    <n v="2937"/>
    <n v="345"/>
    <n v="152"/>
    <n v="5"/>
    <n v="813"/>
    <n v="6.043087087931398E-2"/>
    <x v="0"/>
  </r>
  <r>
    <x v="2137"/>
    <x v="2137"/>
    <x v="3"/>
    <x v="4"/>
    <x v="0"/>
    <x v="9"/>
    <n v="85316"/>
    <n v="12273"/>
    <n v="9300"/>
    <n v="261"/>
    <n v="21"/>
    <n v="22"/>
    <n v="20"/>
    <n v="187"/>
    <n v="3.4838709677419352E-2"/>
    <x v="0"/>
  </r>
  <r>
    <x v="2138"/>
    <x v="2138"/>
    <x v="0"/>
    <x v="0"/>
    <x v="1"/>
    <x v="7"/>
    <n v="111910"/>
    <n v="26589"/>
    <n v="22172"/>
    <n v="2025"/>
    <n v="165"/>
    <n v="226"/>
    <n v="313"/>
    <n v="386"/>
    <n v="0.12308316795958867"/>
    <x v="2"/>
  </r>
  <r>
    <x v="2139"/>
    <x v="2139"/>
    <x v="3"/>
    <x v="9"/>
    <x v="4"/>
    <x v="9"/>
    <n v="691132"/>
    <n v="192815"/>
    <n v="175491"/>
    <n v="14428"/>
    <n v="1367"/>
    <n v="1933"/>
    <n v="42"/>
    <n v="6673"/>
    <n v="0.10125875401017716"/>
    <x v="1"/>
  </r>
  <r>
    <x v="2140"/>
    <x v="2140"/>
    <x v="0"/>
    <x v="13"/>
    <x v="3"/>
    <x v="10"/>
    <n v="264996"/>
    <n v="119883"/>
    <n v="92543"/>
    <n v="7306"/>
    <n v="1209"/>
    <n v="803"/>
    <n v="1242"/>
    <n v="3296"/>
    <n v="0.1141091168429811"/>
    <x v="2"/>
  </r>
  <r>
    <x v="2141"/>
    <x v="2141"/>
    <x v="0"/>
    <x v="6"/>
    <x v="1"/>
    <x v="7"/>
    <n v="667109"/>
    <n v="320945"/>
    <n v="266455"/>
    <n v="13993"/>
    <n v="2278"/>
    <n v="1982"/>
    <n v="1494"/>
    <n v="5760"/>
    <n v="7.4110074871929596E-2"/>
    <x v="1"/>
  </r>
  <r>
    <x v="2142"/>
    <x v="2142"/>
    <x v="2"/>
    <x v="5"/>
    <x v="3"/>
    <x v="2"/>
    <n v="594514"/>
    <n v="252986"/>
    <n v="182124"/>
    <n v="18382"/>
    <n v="912"/>
    <n v="2728"/>
    <n v="31"/>
    <n v="7436"/>
    <n v="0.12108783026948672"/>
    <x v="1"/>
  </r>
  <r>
    <x v="2143"/>
    <x v="2143"/>
    <x v="0"/>
    <x v="0"/>
    <x v="2"/>
    <x v="0"/>
    <n v="568758"/>
    <n v="192747"/>
    <n v="173727"/>
    <n v="5291"/>
    <n v="841"/>
    <n v="357"/>
    <n v="344"/>
    <n v="1203"/>
    <n v="3.9331825220029128E-2"/>
    <x v="0"/>
  </r>
  <r>
    <x v="2144"/>
    <x v="2144"/>
    <x v="1"/>
    <x v="24"/>
    <x v="4"/>
    <x v="1"/>
    <n v="439832"/>
    <n v="72918"/>
    <n v="57309"/>
    <n v="3317"/>
    <n v="207"/>
    <n v="407"/>
    <n v="564"/>
    <n v="2520"/>
    <n v="7.8434451831300489E-2"/>
    <x v="0"/>
  </r>
  <r>
    <x v="2145"/>
    <x v="2145"/>
    <x v="1"/>
    <x v="1"/>
    <x v="0"/>
    <x v="1"/>
    <n v="254768"/>
    <n v="33646"/>
    <n v="23659"/>
    <n v="781"/>
    <n v="81"/>
    <n v="47"/>
    <n v="172"/>
    <n v="932"/>
    <n v="4.5690857601758318E-2"/>
    <x v="1"/>
  </r>
  <r>
    <x v="2146"/>
    <x v="2146"/>
    <x v="1"/>
    <x v="17"/>
    <x v="0"/>
    <x v="1"/>
    <n v="557426"/>
    <n v="283854"/>
    <n v="201774"/>
    <n v="10446"/>
    <n v="336"/>
    <n v="1505"/>
    <n v="1776"/>
    <n v="7699"/>
    <n v="6.9696789477336027E-2"/>
    <x v="0"/>
  </r>
  <r>
    <x v="2147"/>
    <x v="2147"/>
    <x v="3"/>
    <x v="18"/>
    <x v="1"/>
    <x v="4"/>
    <n v="28130"/>
    <n v="6576"/>
    <n v="5945"/>
    <n v="211"/>
    <n v="7"/>
    <n v="21"/>
    <n v="29"/>
    <n v="128"/>
    <n v="4.5079899074852818E-2"/>
    <x v="1"/>
  </r>
  <r>
    <x v="2148"/>
    <x v="2148"/>
    <x v="1"/>
    <x v="8"/>
    <x v="3"/>
    <x v="8"/>
    <n v="662683"/>
    <n v="237920"/>
    <n v="184505"/>
    <n v="11051"/>
    <n v="439"/>
    <n v="403"/>
    <n v="1341"/>
    <n v="7949"/>
    <n v="7.1727053467385712E-2"/>
    <x v="0"/>
  </r>
  <r>
    <x v="2149"/>
    <x v="2149"/>
    <x v="0"/>
    <x v="6"/>
    <x v="2"/>
    <x v="0"/>
    <n v="411060"/>
    <n v="57663"/>
    <n v="43498"/>
    <n v="1904"/>
    <n v="277"/>
    <n v="222"/>
    <n v="143"/>
    <n v="748"/>
    <n v="5.8531426732263553E-2"/>
    <x v="0"/>
  </r>
  <r>
    <x v="2150"/>
    <x v="2150"/>
    <x v="4"/>
    <x v="10"/>
    <x v="0"/>
    <x v="11"/>
    <n v="235895"/>
    <n v="95432"/>
    <n v="70111"/>
    <n v="5451"/>
    <n v="769"/>
    <n v="798"/>
    <n v="974"/>
    <n v="1423"/>
    <n v="0.11399067193450386"/>
    <x v="0"/>
  </r>
  <r>
    <x v="2151"/>
    <x v="2151"/>
    <x v="1"/>
    <x v="7"/>
    <x v="2"/>
    <x v="16"/>
    <n v="634813"/>
    <n v="363616"/>
    <n v="290522"/>
    <n v="9714"/>
    <n v="1166"/>
    <n v="381"/>
    <n v="1343"/>
    <n v="8357"/>
    <n v="4.3383977805467398E-2"/>
    <x v="0"/>
  </r>
  <r>
    <x v="2152"/>
    <x v="2152"/>
    <x v="4"/>
    <x v="14"/>
    <x v="0"/>
    <x v="12"/>
    <n v="830634"/>
    <n v="265977"/>
    <n v="197124"/>
    <n v="8148"/>
    <n v="1262"/>
    <n v="910"/>
    <n v="1802"/>
    <n v="7088"/>
    <n v="6.1494287859418434E-2"/>
    <x v="0"/>
  </r>
  <r>
    <x v="2153"/>
    <x v="2153"/>
    <x v="0"/>
    <x v="23"/>
    <x v="0"/>
    <x v="7"/>
    <n v="265887"/>
    <n v="80725"/>
    <n v="60964"/>
    <n v="5604"/>
    <n v="797"/>
    <n v="522"/>
    <n v="1170"/>
    <n v="1828"/>
    <n v="0.1327504756905715"/>
    <x v="0"/>
  </r>
  <r>
    <x v="2154"/>
    <x v="2154"/>
    <x v="4"/>
    <x v="10"/>
    <x v="3"/>
    <x v="17"/>
    <n v="175672"/>
    <n v="109945"/>
    <n v="94323"/>
    <n v="3775"/>
    <n v="202"/>
    <n v="325"/>
    <n v="828"/>
    <n v="2222"/>
    <n v="5.4387583092140833E-2"/>
    <x v="2"/>
  </r>
  <r>
    <x v="2155"/>
    <x v="2155"/>
    <x v="2"/>
    <x v="19"/>
    <x v="2"/>
    <x v="5"/>
    <n v="200004"/>
    <n v="58424"/>
    <n v="41080"/>
    <n v="3229"/>
    <n v="532"/>
    <n v="343"/>
    <n v="13"/>
    <n v="1403"/>
    <n v="0.1002190847127556"/>
    <x v="0"/>
  </r>
  <r>
    <x v="2156"/>
    <x v="2156"/>
    <x v="2"/>
    <x v="16"/>
    <x v="5"/>
    <x v="3"/>
    <n v="424538"/>
    <n v="133948"/>
    <n v="98646"/>
    <n v="7967"/>
    <n v="1390"/>
    <n v="836"/>
    <n v="15"/>
    <n v="1832"/>
    <n v="0.10348113456196906"/>
    <x v="1"/>
  </r>
  <r>
    <x v="2157"/>
    <x v="2157"/>
    <x v="0"/>
    <x v="6"/>
    <x v="5"/>
    <x v="10"/>
    <n v="829776"/>
    <n v="383345"/>
    <n v="292381"/>
    <n v="26580"/>
    <n v="1056"/>
    <n v="1556"/>
    <n v="3512"/>
    <n v="4224"/>
    <n v="0.11185405344396523"/>
    <x v="0"/>
  </r>
  <r>
    <x v="2158"/>
    <x v="2158"/>
    <x v="4"/>
    <x v="21"/>
    <x v="5"/>
    <x v="12"/>
    <n v="828366"/>
    <n v="534846"/>
    <n v="441330"/>
    <n v="23103"/>
    <n v="3131"/>
    <n v="2162"/>
    <n v="5374"/>
    <n v="9226"/>
    <n v="7.6518704824054568E-2"/>
    <x v="1"/>
  </r>
  <r>
    <x v="2159"/>
    <x v="2159"/>
    <x v="1"/>
    <x v="8"/>
    <x v="3"/>
    <x v="1"/>
    <n v="163400"/>
    <n v="91588"/>
    <n v="69593"/>
    <n v="3240"/>
    <n v="165"/>
    <n v="68"/>
    <n v="265"/>
    <n v="3125"/>
    <n v="5.3712298650726367E-2"/>
    <x v="0"/>
  </r>
  <r>
    <x v="2160"/>
    <x v="2160"/>
    <x v="0"/>
    <x v="6"/>
    <x v="1"/>
    <x v="10"/>
    <n v="388655"/>
    <n v="74947"/>
    <n v="54613"/>
    <n v="3678"/>
    <n v="338"/>
    <n v="204"/>
    <n v="393"/>
    <n v="2478"/>
    <n v="8.4467068280446048E-2"/>
    <x v="0"/>
  </r>
  <r>
    <x v="2161"/>
    <x v="2161"/>
    <x v="2"/>
    <x v="19"/>
    <x v="1"/>
    <x v="15"/>
    <n v="233898"/>
    <n v="39410"/>
    <n v="32438"/>
    <n v="1076"/>
    <n v="132"/>
    <n v="49"/>
    <n v="40"/>
    <n v="1092"/>
    <n v="3.9983969418583142E-2"/>
    <x v="0"/>
  </r>
  <r>
    <x v="2162"/>
    <x v="2162"/>
    <x v="1"/>
    <x v="7"/>
    <x v="4"/>
    <x v="1"/>
    <n v="37037"/>
    <n v="23847"/>
    <n v="21646"/>
    <n v="914"/>
    <n v="81"/>
    <n v="34"/>
    <n v="93"/>
    <n v="448"/>
    <n v="5.1834057100619051E-2"/>
    <x v="0"/>
  </r>
  <r>
    <x v="2163"/>
    <x v="2163"/>
    <x v="0"/>
    <x v="0"/>
    <x v="1"/>
    <x v="0"/>
    <n v="574781"/>
    <n v="351929"/>
    <n v="323675"/>
    <n v="13247"/>
    <n v="1388"/>
    <n v="1053"/>
    <n v="2314"/>
    <n v="2290"/>
    <n v="5.5617517571638214E-2"/>
    <x v="2"/>
  </r>
  <r>
    <x v="2164"/>
    <x v="2164"/>
    <x v="2"/>
    <x v="16"/>
    <x v="3"/>
    <x v="2"/>
    <n v="639579"/>
    <n v="256052"/>
    <n v="231584"/>
    <n v="17712"/>
    <n v="2338"/>
    <n v="1655"/>
    <n v="19"/>
    <n v="2896"/>
    <n v="9.3806135138869692E-2"/>
    <x v="0"/>
  </r>
  <r>
    <x v="2165"/>
    <x v="2165"/>
    <x v="4"/>
    <x v="21"/>
    <x v="5"/>
    <x v="11"/>
    <n v="609920"/>
    <n v="322442"/>
    <n v="237425"/>
    <n v="15671"/>
    <n v="903"/>
    <n v="1088"/>
    <n v="3136"/>
    <n v="3027"/>
    <n v="8.7598188901758453E-2"/>
    <x v="1"/>
  </r>
  <r>
    <x v="2166"/>
    <x v="2166"/>
    <x v="1"/>
    <x v="1"/>
    <x v="0"/>
    <x v="1"/>
    <n v="755209"/>
    <n v="238144"/>
    <n v="209663"/>
    <n v="13418"/>
    <n v="735"/>
    <n v="1944"/>
    <n v="2623"/>
    <n v="3123"/>
    <n v="8.9286140139175726E-2"/>
    <x v="0"/>
  </r>
  <r>
    <x v="2167"/>
    <x v="2167"/>
    <x v="0"/>
    <x v="23"/>
    <x v="3"/>
    <x v="7"/>
    <n v="419579"/>
    <n v="118094"/>
    <n v="98241"/>
    <n v="7631"/>
    <n v="328"/>
    <n v="200"/>
    <n v="959"/>
    <n v="2408"/>
    <n v="9.2812573161918141E-2"/>
    <x v="0"/>
  </r>
  <r>
    <x v="2168"/>
    <x v="2168"/>
    <x v="3"/>
    <x v="18"/>
    <x v="3"/>
    <x v="14"/>
    <n v="180139"/>
    <n v="40140"/>
    <n v="35952"/>
    <n v="2618"/>
    <n v="345"/>
    <n v="323"/>
    <n v="41"/>
    <n v="1014"/>
    <n v="9.2540053404539385E-2"/>
    <x v="1"/>
  </r>
  <r>
    <x v="2169"/>
    <x v="2169"/>
    <x v="0"/>
    <x v="6"/>
    <x v="2"/>
    <x v="0"/>
    <n v="702131"/>
    <n v="75000"/>
    <n v="68587"/>
    <n v="2525"/>
    <n v="324"/>
    <n v="335"/>
    <n v="401"/>
    <n v="1600"/>
    <n v="5.226938049484596E-2"/>
    <x v="0"/>
  </r>
  <r>
    <x v="2170"/>
    <x v="2170"/>
    <x v="2"/>
    <x v="16"/>
    <x v="1"/>
    <x v="15"/>
    <n v="846080"/>
    <n v="469210"/>
    <n v="379436"/>
    <n v="23286"/>
    <n v="4084"/>
    <n v="1215"/>
    <n v="39"/>
    <n v="10102"/>
    <n v="7.5438282081826707E-2"/>
    <x v="0"/>
  </r>
  <r>
    <x v="2171"/>
    <x v="2171"/>
    <x v="1"/>
    <x v="17"/>
    <x v="2"/>
    <x v="8"/>
    <n v="228008"/>
    <n v="117583"/>
    <n v="83112"/>
    <n v="6776"/>
    <n v="447"/>
    <n v="223"/>
    <n v="544"/>
    <n v="846"/>
    <n v="9.6135335450957746E-2"/>
    <x v="0"/>
  </r>
  <r>
    <x v="2172"/>
    <x v="2172"/>
    <x v="1"/>
    <x v="17"/>
    <x v="5"/>
    <x v="6"/>
    <n v="624984"/>
    <n v="78337"/>
    <n v="55620"/>
    <n v="2715"/>
    <n v="305"/>
    <n v="377"/>
    <n v="398"/>
    <n v="473"/>
    <n v="6.8230852211434739E-2"/>
    <x v="0"/>
  </r>
  <r>
    <x v="2173"/>
    <x v="2173"/>
    <x v="1"/>
    <x v="17"/>
    <x v="4"/>
    <x v="8"/>
    <n v="512063"/>
    <n v="157380"/>
    <n v="134315"/>
    <n v="3277"/>
    <n v="441"/>
    <n v="359"/>
    <n v="593"/>
    <n v="3803"/>
    <n v="3.4769013140751218E-2"/>
    <x v="1"/>
  </r>
  <r>
    <x v="2174"/>
    <x v="2174"/>
    <x v="0"/>
    <x v="0"/>
    <x v="0"/>
    <x v="7"/>
    <n v="326412"/>
    <n v="73962"/>
    <n v="64532"/>
    <n v="3743"/>
    <n v="549"/>
    <n v="130"/>
    <n v="870"/>
    <n v="1063"/>
    <n v="8.2005826566664594E-2"/>
    <x v="1"/>
  </r>
  <r>
    <x v="2175"/>
    <x v="2175"/>
    <x v="4"/>
    <x v="20"/>
    <x v="4"/>
    <x v="12"/>
    <n v="752789"/>
    <n v="254255"/>
    <n v="204975"/>
    <n v="13216"/>
    <n v="765"/>
    <n v="321"/>
    <n v="1333"/>
    <n v="1626"/>
    <n v="7.6277594828637635E-2"/>
    <x v="0"/>
  </r>
  <r>
    <x v="2176"/>
    <x v="2176"/>
    <x v="3"/>
    <x v="4"/>
    <x v="5"/>
    <x v="14"/>
    <n v="750550"/>
    <n v="108828"/>
    <n v="80195"/>
    <n v="4660"/>
    <n v="616"/>
    <n v="108"/>
    <n v="38"/>
    <n v="3385"/>
    <n v="6.7610200137165663E-2"/>
    <x v="0"/>
  </r>
  <r>
    <x v="2177"/>
    <x v="2177"/>
    <x v="1"/>
    <x v="8"/>
    <x v="4"/>
    <x v="1"/>
    <n v="198481"/>
    <n v="59365"/>
    <n v="43482"/>
    <n v="4282"/>
    <n v="696"/>
    <n v="134"/>
    <n v="309"/>
    <n v="1074"/>
    <n v="0.12467227818407617"/>
    <x v="0"/>
  </r>
  <r>
    <x v="2178"/>
    <x v="2178"/>
    <x v="1"/>
    <x v="8"/>
    <x v="3"/>
    <x v="8"/>
    <n v="715147"/>
    <n v="3484088"/>
    <n v="2746144"/>
    <n v="175361"/>
    <n v="8231"/>
    <n v="13378"/>
    <n v="41139"/>
    <n v="100480"/>
    <n v="8.6706669424473012E-2"/>
    <x v="1"/>
  </r>
  <r>
    <x v="2179"/>
    <x v="2179"/>
    <x v="4"/>
    <x v="12"/>
    <x v="5"/>
    <x v="12"/>
    <n v="351773"/>
    <n v="107739"/>
    <n v="93289"/>
    <n v="4949"/>
    <n v="322"/>
    <n v="109"/>
    <n v="416"/>
    <n v="2525"/>
    <n v="6.2129511517971039E-2"/>
    <x v="0"/>
  </r>
  <r>
    <x v="2180"/>
    <x v="2180"/>
    <x v="0"/>
    <x v="0"/>
    <x v="4"/>
    <x v="0"/>
    <n v="299156"/>
    <n v="25966"/>
    <n v="19303"/>
    <n v="1467"/>
    <n v="105"/>
    <n v="43"/>
    <n v="268"/>
    <n v="151"/>
    <n v="9.7549603688545816E-2"/>
    <x v="0"/>
  </r>
  <r>
    <x v="2181"/>
    <x v="2181"/>
    <x v="3"/>
    <x v="15"/>
    <x v="0"/>
    <x v="14"/>
    <n v="307859"/>
    <n v="110506"/>
    <n v="83011"/>
    <n v="5502"/>
    <n v="371"/>
    <n v="433"/>
    <n v="31"/>
    <n v="716"/>
    <n v="7.6339280336340964E-2"/>
    <x v="0"/>
  </r>
  <r>
    <x v="2182"/>
    <x v="2182"/>
    <x v="2"/>
    <x v="16"/>
    <x v="5"/>
    <x v="3"/>
    <n v="44796"/>
    <n v="16604"/>
    <n v="12819"/>
    <n v="1224"/>
    <n v="52"/>
    <n v="168"/>
    <n v="28"/>
    <n v="166"/>
    <n v="0.11482954988688665"/>
    <x v="1"/>
  </r>
  <r>
    <x v="2183"/>
    <x v="2183"/>
    <x v="1"/>
    <x v="7"/>
    <x v="0"/>
    <x v="6"/>
    <n v="126027"/>
    <n v="49386"/>
    <n v="35987"/>
    <n v="2057"/>
    <n v="89"/>
    <n v="83"/>
    <n v="442"/>
    <n v="625"/>
    <n v="7.4221246561258239E-2"/>
    <x v="0"/>
  </r>
  <r>
    <x v="2184"/>
    <x v="2184"/>
    <x v="4"/>
    <x v="21"/>
    <x v="1"/>
    <x v="12"/>
    <n v="384052"/>
    <n v="1099471"/>
    <n v="845774"/>
    <n v="26352"/>
    <n v="2644"/>
    <n v="2970"/>
    <n v="2757"/>
    <n v="36864"/>
    <n v="4.1054702556474899E-2"/>
    <x v="1"/>
  </r>
  <r>
    <x v="2185"/>
    <x v="2185"/>
    <x v="2"/>
    <x v="3"/>
    <x v="1"/>
    <x v="3"/>
    <n v="463803"/>
    <n v="278302"/>
    <n v="219641"/>
    <n v="8826"/>
    <n v="1135"/>
    <n v="364"/>
    <n v="50"/>
    <n v="8013"/>
    <n v="4.7236171752996936E-2"/>
    <x v="1"/>
  </r>
  <r>
    <x v="2186"/>
    <x v="2186"/>
    <x v="4"/>
    <x v="14"/>
    <x v="4"/>
    <x v="11"/>
    <n v="571902"/>
    <n v="352188"/>
    <n v="322669"/>
    <n v="18057"/>
    <n v="2106"/>
    <n v="2506"/>
    <n v="1263"/>
    <n v="9717"/>
    <n v="7.4168885142359503E-2"/>
    <x v="1"/>
  </r>
  <r>
    <x v="2187"/>
    <x v="2187"/>
    <x v="2"/>
    <x v="16"/>
    <x v="3"/>
    <x v="2"/>
    <n v="438805"/>
    <n v="181291"/>
    <n v="132058"/>
    <n v="9766"/>
    <n v="1373"/>
    <n v="317"/>
    <n v="2"/>
    <n v="3996"/>
    <n v="8.6764906329037245E-2"/>
    <x v="1"/>
  </r>
  <r>
    <x v="2188"/>
    <x v="2188"/>
    <x v="4"/>
    <x v="20"/>
    <x v="3"/>
    <x v="12"/>
    <n v="137699"/>
    <n v="63248"/>
    <n v="44331"/>
    <n v="3936"/>
    <n v="324"/>
    <n v="196"/>
    <n v="552"/>
    <n v="1974"/>
    <n v="0.11296835171775958"/>
    <x v="0"/>
  </r>
  <r>
    <x v="2189"/>
    <x v="2189"/>
    <x v="1"/>
    <x v="8"/>
    <x v="2"/>
    <x v="1"/>
    <n v="669510"/>
    <n v="316772"/>
    <n v="240401"/>
    <n v="17055"/>
    <n v="1725"/>
    <n v="863"/>
    <n v="3270"/>
    <n v="6324"/>
    <n v="9.5311583562464386E-2"/>
    <x v="2"/>
  </r>
  <r>
    <x v="2190"/>
    <x v="2190"/>
    <x v="1"/>
    <x v="8"/>
    <x v="4"/>
    <x v="1"/>
    <n v="737119"/>
    <n v="346551"/>
    <n v="255044"/>
    <n v="25668"/>
    <n v="885"/>
    <n v="3234"/>
    <n v="2529"/>
    <n v="6962"/>
    <n v="0.12670754850143504"/>
    <x v="1"/>
  </r>
  <r>
    <x v="2191"/>
    <x v="2191"/>
    <x v="3"/>
    <x v="15"/>
    <x v="3"/>
    <x v="4"/>
    <n v="562141"/>
    <n v="88329"/>
    <n v="66658"/>
    <n v="4719"/>
    <n v="367"/>
    <n v="559"/>
    <n v="50"/>
    <n v="2235"/>
    <n v="8.5436106693870209E-2"/>
    <x v="0"/>
  </r>
  <r>
    <x v="2192"/>
    <x v="2192"/>
    <x v="3"/>
    <x v="9"/>
    <x v="4"/>
    <x v="4"/>
    <n v="427447"/>
    <n v="270827"/>
    <n v="204410"/>
    <n v="21232"/>
    <n v="3396"/>
    <n v="2716"/>
    <n v="19"/>
    <n v="8625"/>
    <n v="0.13386331392789003"/>
    <x v="2"/>
  </r>
  <r>
    <x v="2193"/>
    <x v="2193"/>
    <x v="4"/>
    <x v="20"/>
    <x v="3"/>
    <x v="17"/>
    <n v="260285"/>
    <n v="29591"/>
    <n v="25213"/>
    <n v="828"/>
    <n v="71"/>
    <n v="90"/>
    <n v="83"/>
    <n v="759"/>
    <n v="4.2517748780391065E-2"/>
    <x v="0"/>
  </r>
  <r>
    <x v="2194"/>
    <x v="2194"/>
    <x v="1"/>
    <x v="7"/>
    <x v="1"/>
    <x v="8"/>
    <n v="193285"/>
    <n v="36941"/>
    <n v="26120"/>
    <n v="1350"/>
    <n v="114"/>
    <n v="167"/>
    <n v="99"/>
    <n v="1190"/>
    <n v="6.6232771822358344E-2"/>
    <x v="1"/>
  </r>
  <r>
    <x v="2195"/>
    <x v="2195"/>
    <x v="0"/>
    <x v="0"/>
    <x v="2"/>
    <x v="0"/>
    <n v="112865"/>
    <n v="26086"/>
    <n v="19780"/>
    <n v="2073"/>
    <n v="165"/>
    <n v="214"/>
    <n v="172"/>
    <n v="766"/>
    <n v="0.13265925176946411"/>
    <x v="1"/>
  </r>
  <r>
    <x v="2196"/>
    <x v="2196"/>
    <x v="0"/>
    <x v="6"/>
    <x v="0"/>
    <x v="10"/>
    <n v="117487"/>
    <n v="14394"/>
    <n v="10428"/>
    <n v="1133"/>
    <n v="103"/>
    <n v="133"/>
    <n v="202"/>
    <n v="146"/>
    <n v="0.15065209052550824"/>
    <x v="0"/>
  </r>
  <r>
    <x v="2197"/>
    <x v="2197"/>
    <x v="3"/>
    <x v="18"/>
    <x v="3"/>
    <x v="9"/>
    <n v="267984"/>
    <n v="52645"/>
    <n v="44400"/>
    <n v="3016"/>
    <n v="329"/>
    <n v="254"/>
    <n v="48"/>
    <n v="1282"/>
    <n v="8.2139639639639633E-2"/>
    <x v="1"/>
  </r>
  <r>
    <x v="2198"/>
    <x v="2198"/>
    <x v="4"/>
    <x v="20"/>
    <x v="5"/>
    <x v="12"/>
    <n v="276273"/>
    <n v="170738"/>
    <n v="149451"/>
    <n v="5670"/>
    <n v="406"/>
    <n v="764"/>
    <n v="484"/>
    <n v="4374"/>
    <n v="4.9006028731825149E-2"/>
    <x v="0"/>
  </r>
  <r>
    <x v="2199"/>
    <x v="2199"/>
    <x v="3"/>
    <x v="4"/>
    <x v="5"/>
    <x v="4"/>
    <n v="778603"/>
    <n v="96114"/>
    <n v="77919"/>
    <n v="2731"/>
    <n v="247"/>
    <n v="161"/>
    <n v="15"/>
    <n v="2622"/>
    <n v="4.0477932211655694E-2"/>
    <x v="0"/>
  </r>
  <r>
    <x v="2200"/>
    <x v="2200"/>
    <x v="1"/>
    <x v="17"/>
    <x v="4"/>
    <x v="6"/>
    <n v="284201"/>
    <n v="24881"/>
    <n v="21447"/>
    <n v="1378"/>
    <n v="64"/>
    <n v="32"/>
    <n v="291"/>
    <n v="568"/>
    <n v="8.2295892199375206E-2"/>
    <x v="0"/>
  </r>
  <r>
    <x v="2201"/>
    <x v="2201"/>
    <x v="3"/>
    <x v="11"/>
    <x v="0"/>
    <x v="9"/>
    <n v="546577"/>
    <n v="229945"/>
    <n v="192772"/>
    <n v="9921"/>
    <n v="310"/>
    <n v="298"/>
    <n v="49"/>
    <n v="2986"/>
    <n v="5.4873114352706823E-2"/>
    <x v="0"/>
  </r>
  <r>
    <x v="2202"/>
    <x v="2202"/>
    <x v="1"/>
    <x v="24"/>
    <x v="2"/>
    <x v="16"/>
    <n v="764969"/>
    <n v="96689"/>
    <n v="67717"/>
    <n v="3409"/>
    <n v="129"/>
    <n v="471"/>
    <n v="498"/>
    <n v="2101"/>
    <n v="6.6556403857229357E-2"/>
    <x v="1"/>
  </r>
  <r>
    <x v="2203"/>
    <x v="2203"/>
    <x v="3"/>
    <x v="4"/>
    <x v="4"/>
    <x v="9"/>
    <n v="120800"/>
    <n v="13800"/>
    <n v="12357"/>
    <n v="494"/>
    <n v="66"/>
    <n v="45"/>
    <n v="9"/>
    <n v="222"/>
    <n v="4.9688435704459008E-2"/>
    <x v="1"/>
  </r>
  <r>
    <x v="2204"/>
    <x v="2204"/>
    <x v="3"/>
    <x v="18"/>
    <x v="4"/>
    <x v="4"/>
    <n v="532298"/>
    <n v="92320"/>
    <n v="77771"/>
    <n v="3430"/>
    <n v="246"/>
    <n v="188"/>
    <n v="16"/>
    <n v="1547"/>
    <n v="4.9890061848246778E-2"/>
    <x v="1"/>
  </r>
  <r>
    <x v="2205"/>
    <x v="2205"/>
    <x v="3"/>
    <x v="9"/>
    <x v="2"/>
    <x v="14"/>
    <n v="373659"/>
    <n v="66027"/>
    <n v="59678"/>
    <n v="2596"/>
    <n v="311"/>
    <n v="344"/>
    <n v="17"/>
    <n v="1235"/>
    <n v="5.4760548275746508E-2"/>
    <x v="0"/>
  </r>
  <r>
    <x v="2206"/>
    <x v="2206"/>
    <x v="2"/>
    <x v="2"/>
    <x v="1"/>
    <x v="5"/>
    <n v="624340"/>
    <n v="170949"/>
    <n v="137636"/>
    <n v="8231"/>
    <n v="1260"/>
    <n v="850"/>
    <n v="13"/>
    <n v="2854"/>
    <n v="7.5227411433055308E-2"/>
    <x v="0"/>
  </r>
  <r>
    <x v="2207"/>
    <x v="2207"/>
    <x v="4"/>
    <x v="10"/>
    <x v="5"/>
    <x v="17"/>
    <n v="637144"/>
    <n v="295260"/>
    <n v="227238"/>
    <n v="19579"/>
    <n v="2987"/>
    <n v="976"/>
    <n v="1196"/>
    <n v="3570"/>
    <n v="0.10886383439389538"/>
    <x v="2"/>
  </r>
  <r>
    <x v="2208"/>
    <x v="2208"/>
    <x v="1"/>
    <x v="7"/>
    <x v="5"/>
    <x v="8"/>
    <n v="651539"/>
    <n v="194385"/>
    <n v="136714"/>
    <n v="11088"/>
    <n v="684"/>
    <n v="664"/>
    <n v="1592"/>
    <n v="6320"/>
    <n v="0.10260836490776365"/>
    <x v="0"/>
  </r>
  <r>
    <x v="2209"/>
    <x v="2209"/>
    <x v="1"/>
    <x v="17"/>
    <x v="2"/>
    <x v="6"/>
    <n v="527216"/>
    <n v="159203"/>
    <n v="116232"/>
    <n v="6152"/>
    <n v="789"/>
    <n v="854"/>
    <n v="955"/>
    <n v="4982"/>
    <n v="7.5280473535687245E-2"/>
    <x v="0"/>
  </r>
  <r>
    <x v="2210"/>
    <x v="2210"/>
    <x v="4"/>
    <x v="21"/>
    <x v="5"/>
    <x v="17"/>
    <n v="339774"/>
    <n v="73740"/>
    <n v="64614"/>
    <n v="4310"/>
    <n v="433"/>
    <n v="340"/>
    <n v="844"/>
    <n v="1675"/>
    <n v="9.1729346581236271E-2"/>
    <x v="0"/>
  </r>
  <r>
    <x v="2211"/>
    <x v="2211"/>
    <x v="0"/>
    <x v="23"/>
    <x v="3"/>
    <x v="0"/>
    <n v="511940"/>
    <n v="114492"/>
    <n v="99022"/>
    <n v="7282"/>
    <n v="1013"/>
    <n v="855"/>
    <n v="845"/>
    <n v="1157"/>
    <n v="0.10093716547837854"/>
    <x v="2"/>
  </r>
  <r>
    <x v="2212"/>
    <x v="2212"/>
    <x v="0"/>
    <x v="6"/>
    <x v="3"/>
    <x v="10"/>
    <n v="673822"/>
    <n v="307271"/>
    <n v="237033"/>
    <n v="9277"/>
    <n v="497"/>
    <n v="764"/>
    <n v="1858"/>
    <n v="9904"/>
    <n v="5.2296515675032587E-2"/>
    <x v="1"/>
  </r>
  <r>
    <x v="2213"/>
    <x v="2213"/>
    <x v="2"/>
    <x v="3"/>
    <x v="0"/>
    <x v="5"/>
    <n v="827245"/>
    <n v="300223"/>
    <n v="267844"/>
    <n v="23120"/>
    <n v="2648"/>
    <n v="620"/>
    <n v="3"/>
    <n v="8885"/>
    <n v="9.853123459924433E-2"/>
    <x v="1"/>
  </r>
  <r>
    <x v="2214"/>
    <x v="2214"/>
    <x v="4"/>
    <x v="10"/>
    <x v="1"/>
    <x v="11"/>
    <n v="799006"/>
    <n v="323676"/>
    <n v="293605"/>
    <n v="11966"/>
    <n v="1103"/>
    <n v="1390"/>
    <n v="1722"/>
    <n v="4727"/>
    <n v="5.5111459273513734E-2"/>
    <x v="1"/>
  </r>
  <r>
    <x v="2215"/>
    <x v="2215"/>
    <x v="1"/>
    <x v="7"/>
    <x v="3"/>
    <x v="8"/>
    <n v="742199"/>
    <n v="127498"/>
    <n v="100951"/>
    <n v="4938"/>
    <n v="683"/>
    <n v="578"/>
    <n v="268"/>
    <n v="865"/>
    <n v="6.4060781963526853E-2"/>
    <x v="0"/>
  </r>
  <r>
    <x v="2216"/>
    <x v="2216"/>
    <x v="1"/>
    <x v="24"/>
    <x v="3"/>
    <x v="6"/>
    <n v="74797"/>
    <n v="27223"/>
    <n v="20187"/>
    <n v="779"/>
    <n v="44"/>
    <n v="54"/>
    <n v="93"/>
    <n v="628"/>
    <n v="4.8050725714568782E-2"/>
    <x v="1"/>
  </r>
  <r>
    <x v="2217"/>
    <x v="2217"/>
    <x v="4"/>
    <x v="14"/>
    <x v="2"/>
    <x v="12"/>
    <n v="506826"/>
    <n v="296015"/>
    <n v="210353"/>
    <n v="10275"/>
    <n v="1827"/>
    <n v="1191"/>
    <n v="1905"/>
    <n v="2023"/>
    <n v="7.2249979795866948E-2"/>
    <x v="1"/>
  </r>
  <r>
    <x v="2218"/>
    <x v="2218"/>
    <x v="0"/>
    <x v="0"/>
    <x v="3"/>
    <x v="10"/>
    <n v="845911"/>
    <n v="93816"/>
    <n v="79643"/>
    <n v="5425"/>
    <n v="909"/>
    <n v="169"/>
    <n v="782"/>
    <n v="2026"/>
    <n v="9.147068794495436E-2"/>
    <x v="0"/>
  </r>
  <r>
    <x v="2219"/>
    <x v="2219"/>
    <x v="4"/>
    <x v="21"/>
    <x v="0"/>
    <x v="13"/>
    <n v="511607"/>
    <n v="251825"/>
    <n v="203904"/>
    <n v="11951"/>
    <n v="1189"/>
    <n v="612"/>
    <n v="1591"/>
    <n v="7040"/>
    <n v="7.5246194287507853E-2"/>
    <x v="0"/>
  </r>
  <r>
    <x v="2220"/>
    <x v="2220"/>
    <x v="0"/>
    <x v="13"/>
    <x v="2"/>
    <x v="0"/>
    <n v="264847"/>
    <n v="97312"/>
    <n v="75200"/>
    <n v="6972"/>
    <n v="470"/>
    <n v="464"/>
    <n v="1379"/>
    <n v="810"/>
    <n v="0.12347074468085106"/>
    <x v="2"/>
  </r>
  <r>
    <x v="2221"/>
    <x v="2221"/>
    <x v="3"/>
    <x v="15"/>
    <x v="5"/>
    <x v="9"/>
    <n v="248956"/>
    <n v="96169"/>
    <n v="83209"/>
    <n v="3032"/>
    <n v="204"/>
    <n v="317"/>
    <n v="5"/>
    <n v="1074"/>
    <n v="4.2759797618046123E-2"/>
    <x v="1"/>
  </r>
  <r>
    <x v="2222"/>
    <x v="2222"/>
    <x v="0"/>
    <x v="23"/>
    <x v="4"/>
    <x v="0"/>
    <n v="489574"/>
    <n v="1563857"/>
    <n v="1243385"/>
    <n v="106368"/>
    <n v="9933"/>
    <n v="7458"/>
    <n v="11305"/>
    <n v="12798"/>
    <n v="0.10862604905158096"/>
    <x v="1"/>
  </r>
  <r>
    <x v="2223"/>
    <x v="2223"/>
    <x v="0"/>
    <x v="13"/>
    <x v="3"/>
    <x v="7"/>
    <n v="167322"/>
    <n v="102680"/>
    <n v="93543"/>
    <n v="5518"/>
    <n v="368"/>
    <n v="819"/>
    <n v="1005"/>
    <n v="1909"/>
    <n v="8.2421987748949682E-2"/>
    <x v="1"/>
  </r>
  <r>
    <x v="2224"/>
    <x v="2224"/>
    <x v="4"/>
    <x v="12"/>
    <x v="1"/>
    <x v="11"/>
    <n v="58787"/>
    <n v="15666"/>
    <n v="14130"/>
    <n v="637"/>
    <n v="82"/>
    <n v="25"/>
    <n v="126"/>
    <n v="442"/>
    <n v="6.1571125265392782E-2"/>
    <x v="0"/>
  </r>
  <r>
    <x v="2225"/>
    <x v="2225"/>
    <x v="4"/>
    <x v="12"/>
    <x v="5"/>
    <x v="17"/>
    <n v="565598"/>
    <n v="363242"/>
    <n v="302423"/>
    <n v="9109"/>
    <n v="1188"/>
    <n v="1161"/>
    <n v="1529"/>
    <n v="12286"/>
    <n v="4.2943162391749307E-2"/>
    <x v="1"/>
  </r>
  <r>
    <x v="2226"/>
    <x v="2226"/>
    <x v="0"/>
    <x v="13"/>
    <x v="1"/>
    <x v="0"/>
    <n v="788030"/>
    <n v="325351"/>
    <n v="287599"/>
    <n v="14190"/>
    <n v="2553"/>
    <n v="2125"/>
    <n v="1937"/>
    <n v="9117"/>
    <n v="7.2340307163794026E-2"/>
    <x v="0"/>
  </r>
  <r>
    <x v="2227"/>
    <x v="2227"/>
    <x v="0"/>
    <x v="22"/>
    <x v="5"/>
    <x v="0"/>
    <n v="320385"/>
    <n v="204286"/>
    <n v="166654"/>
    <n v="10159"/>
    <n v="861"/>
    <n v="540"/>
    <n v="2317"/>
    <n v="5847"/>
    <n v="8.3268328392957863E-2"/>
    <x v="0"/>
  </r>
  <r>
    <x v="2228"/>
    <x v="2228"/>
    <x v="0"/>
    <x v="22"/>
    <x v="2"/>
    <x v="10"/>
    <n v="318395"/>
    <n v="195865"/>
    <n v="177322"/>
    <n v="11897"/>
    <n v="764"/>
    <n v="995"/>
    <n v="2400"/>
    <n v="6579"/>
    <n v="9.0547140230766626E-2"/>
    <x v="2"/>
  </r>
  <r>
    <x v="2229"/>
    <x v="2229"/>
    <x v="4"/>
    <x v="10"/>
    <x v="4"/>
    <x v="11"/>
    <n v="700884"/>
    <n v="249253"/>
    <n v="176256"/>
    <n v="14485"/>
    <n v="958"/>
    <n v="1609"/>
    <n v="1950"/>
    <n v="6278"/>
    <n v="0.10780909586056645"/>
    <x v="0"/>
  </r>
  <r>
    <x v="2230"/>
    <x v="2230"/>
    <x v="4"/>
    <x v="20"/>
    <x v="1"/>
    <x v="17"/>
    <n v="843344"/>
    <n v="109674"/>
    <n v="85217"/>
    <n v="4323"/>
    <n v="244"/>
    <n v="280"/>
    <n v="776"/>
    <n v="2909"/>
    <n v="6.5984486663459171E-2"/>
    <x v="1"/>
  </r>
  <r>
    <x v="2231"/>
    <x v="2231"/>
    <x v="3"/>
    <x v="9"/>
    <x v="3"/>
    <x v="14"/>
    <n v="529014"/>
    <n v="69552"/>
    <n v="59092"/>
    <n v="3155"/>
    <n v="513"/>
    <n v="276"/>
    <n v="32"/>
    <n v="494"/>
    <n v="6.72849116631693E-2"/>
    <x v="0"/>
  </r>
  <r>
    <x v="2232"/>
    <x v="2232"/>
    <x v="0"/>
    <x v="6"/>
    <x v="4"/>
    <x v="7"/>
    <n v="87383"/>
    <n v="27640"/>
    <n v="24768"/>
    <n v="2178"/>
    <n v="250"/>
    <n v="162"/>
    <n v="433"/>
    <n v="459"/>
    <n v="0.12205264857881137"/>
    <x v="0"/>
  </r>
  <r>
    <x v="2233"/>
    <x v="2233"/>
    <x v="0"/>
    <x v="23"/>
    <x v="2"/>
    <x v="10"/>
    <n v="435898"/>
    <n v="260105"/>
    <n v="193921"/>
    <n v="10418"/>
    <n v="1850"/>
    <n v="462"/>
    <n v="1064"/>
    <n v="4199"/>
    <n v="7.1132058931214256E-2"/>
    <x v="0"/>
  </r>
  <r>
    <x v="2234"/>
    <x v="2234"/>
    <x v="2"/>
    <x v="19"/>
    <x v="1"/>
    <x v="5"/>
    <n v="87984"/>
    <n v="39197"/>
    <n v="35229"/>
    <n v="1844"/>
    <n v="259"/>
    <n v="111"/>
    <n v="48"/>
    <n v="1018"/>
    <n v="6.4208464617218769E-2"/>
    <x v="0"/>
  </r>
  <r>
    <x v="2235"/>
    <x v="2235"/>
    <x v="2"/>
    <x v="2"/>
    <x v="1"/>
    <x v="2"/>
    <n v="777948"/>
    <n v="315724"/>
    <n v="225067"/>
    <n v="9384"/>
    <n v="1164"/>
    <n v="504"/>
    <n v="13"/>
    <n v="5260"/>
    <n v="4.9163138087769419E-2"/>
    <x v="1"/>
  </r>
  <r>
    <x v="2236"/>
    <x v="2236"/>
    <x v="3"/>
    <x v="11"/>
    <x v="3"/>
    <x v="4"/>
    <n v="142114"/>
    <n v="87618"/>
    <n v="70636"/>
    <n v="3883"/>
    <n v="650"/>
    <n v="464"/>
    <n v="7"/>
    <n v="1720"/>
    <n v="7.084206353700663E-2"/>
    <x v="0"/>
  </r>
  <r>
    <x v="2237"/>
    <x v="2237"/>
    <x v="3"/>
    <x v="9"/>
    <x v="0"/>
    <x v="4"/>
    <n v="717811"/>
    <n v="399825"/>
    <n v="338579"/>
    <n v="13423"/>
    <n v="1184"/>
    <n v="1001"/>
    <n v="9"/>
    <n v="4083"/>
    <n v="4.6125128847329576E-2"/>
    <x v="0"/>
  </r>
  <r>
    <x v="2238"/>
    <x v="2238"/>
    <x v="1"/>
    <x v="24"/>
    <x v="3"/>
    <x v="8"/>
    <n v="394366"/>
    <n v="195962"/>
    <n v="170212"/>
    <n v="10043"/>
    <n v="1507"/>
    <n v="203"/>
    <n v="1100"/>
    <n v="1029"/>
    <n v="7.5511714802716609E-2"/>
    <x v="2"/>
  </r>
  <r>
    <x v="2239"/>
    <x v="2239"/>
    <x v="1"/>
    <x v="1"/>
    <x v="0"/>
    <x v="6"/>
    <n v="231091"/>
    <n v="59128"/>
    <n v="43654"/>
    <n v="2759"/>
    <n v="440"/>
    <n v="409"/>
    <n v="252"/>
    <n v="1703"/>
    <n v="8.8422595867503548E-2"/>
    <x v="0"/>
  </r>
  <r>
    <x v="2240"/>
    <x v="2240"/>
    <x v="2"/>
    <x v="19"/>
    <x v="2"/>
    <x v="5"/>
    <n v="15991"/>
    <n v="8888"/>
    <n v="6228"/>
    <n v="627"/>
    <n v="99"/>
    <n v="67"/>
    <n v="46"/>
    <n v="199"/>
    <n v="0.13471419396274886"/>
    <x v="0"/>
  </r>
  <r>
    <x v="2241"/>
    <x v="2241"/>
    <x v="3"/>
    <x v="15"/>
    <x v="0"/>
    <x v="14"/>
    <n v="699410"/>
    <n v="339072"/>
    <n v="286274"/>
    <n v="10109"/>
    <n v="1458"/>
    <n v="815"/>
    <n v="50"/>
    <n v="7828"/>
    <n v="4.3426926650691297E-2"/>
    <x v="1"/>
  </r>
  <r>
    <x v="2242"/>
    <x v="2242"/>
    <x v="2"/>
    <x v="16"/>
    <x v="0"/>
    <x v="2"/>
    <n v="685051"/>
    <n v="295603"/>
    <n v="218314"/>
    <n v="7218"/>
    <n v="483"/>
    <n v="532"/>
    <n v="20"/>
    <n v="6634"/>
    <n v="3.7803347471989886E-2"/>
    <x v="0"/>
  </r>
  <r>
    <x v="2243"/>
    <x v="2243"/>
    <x v="2"/>
    <x v="2"/>
    <x v="2"/>
    <x v="5"/>
    <n v="702784"/>
    <n v="167617"/>
    <n v="148034"/>
    <n v="8285"/>
    <n v="520"/>
    <n v="847"/>
    <n v="12"/>
    <n v="4188"/>
    <n v="6.5282300012159372E-2"/>
    <x v="0"/>
  </r>
  <r>
    <x v="2244"/>
    <x v="2244"/>
    <x v="0"/>
    <x v="0"/>
    <x v="4"/>
    <x v="7"/>
    <n v="724615"/>
    <n v="244505"/>
    <n v="202462"/>
    <n v="9911"/>
    <n v="1506"/>
    <n v="1265"/>
    <n v="1945"/>
    <n v="1622"/>
    <n v="7.2245655974948392E-2"/>
    <x v="0"/>
  </r>
  <r>
    <x v="2245"/>
    <x v="2245"/>
    <x v="4"/>
    <x v="12"/>
    <x v="4"/>
    <x v="13"/>
    <n v="348281"/>
    <n v="196448"/>
    <n v="150138"/>
    <n v="10315"/>
    <n v="421"/>
    <n v="683"/>
    <n v="2164"/>
    <n v="4514"/>
    <n v="9.0470100840560022E-2"/>
    <x v="0"/>
  </r>
  <r>
    <x v="2246"/>
    <x v="2246"/>
    <x v="4"/>
    <x v="10"/>
    <x v="5"/>
    <x v="12"/>
    <n v="292470"/>
    <n v="97035"/>
    <n v="73650"/>
    <n v="2460"/>
    <n v="221"/>
    <n v="76"/>
    <n v="544"/>
    <n v="1767"/>
    <n v="4.4820095044127629E-2"/>
    <x v="1"/>
  </r>
  <r>
    <x v="2247"/>
    <x v="2247"/>
    <x v="1"/>
    <x v="1"/>
    <x v="2"/>
    <x v="1"/>
    <n v="690941"/>
    <n v="421135"/>
    <n v="370267"/>
    <n v="30895"/>
    <n v="5361"/>
    <n v="2877"/>
    <n v="5016"/>
    <n v="5435"/>
    <n v="0.11923557865000121"/>
    <x v="1"/>
  </r>
  <r>
    <x v="2248"/>
    <x v="2248"/>
    <x v="0"/>
    <x v="23"/>
    <x v="3"/>
    <x v="7"/>
    <n v="431660"/>
    <n v="53435"/>
    <n v="48202"/>
    <n v="2787"/>
    <n v="266"/>
    <n v="282"/>
    <n v="148"/>
    <n v="1448"/>
    <n v="7.225841251400357E-2"/>
    <x v="2"/>
  </r>
  <r>
    <x v="2249"/>
    <x v="2249"/>
    <x v="4"/>
    <x v="14"/>
    <x v="1"/>
    <x v="11"/>
    <n v="757750"/>
    <n v="252218"/>
    <n v="184412"/>
    <n v="8196"/>
    <n v="1102"/>
    <n v="1200"/>
    <n v="1695"/>
    <n v="4019"/>
    <n v="6.6118256946402623E-2"/>
    <x v="2"/>
  </r>
  <r>
    <x v="2250"/>
    <x v="2250"/>
    <x v="4"/>
    <x v="10"/>
    <x v="1"/>
    <x v="11"/>
    <n v="93684"/>
    <n v="32041"/>
    <n v="25127"/>
    <n v="1721"/>
    <n v="136"/>
    <n v="85"/>
    <n v="97"/>
    <n v="670"/>
    <n v="8.1147769331794489E-2"/>
    <x v="0"/>
  </r>
  <r>
    <x v="2251"/>
    <x v="2251"/>
    <x v="1"/>
    <x v="17"/>
    <x v="0"/>
    <x v="16"/>
    <n v="579825"/>
    <n v="79501"/>
    <n v="58413"/>
    <n v="5207"/>
    <n v="607"/>
    <n v="393"/>
    <n v="1148"/>
    <n v="1419"/>
    <n v="0.12591375207573657"/>
    <x v="0"/>
  </r>
  <r>
    <x v="2252"/>
    <x v="2252"/>
    <x v="2"/>
    <x v="5"/>
    <x v="5"/>
    <x v="3"/>
    <n v="530234"/>
    <n v="313164"/>
    <n v="248187"/>
    <n v="6281"/>
    <n v="791"/>
    <n v="598"/>
    <n v="44"/>
    <n v="1589"/>
    <n v="3.1081402329694949E-2"/>
    <x v="0"/>
  </r>
  <r>
    <x v="2253"/>
    <x v="2253"/>
    <x v="0"/>
    <x v="0"/>
    <x v="1"/>
    <x v="7"/>
    <n v="515377"/>
    <n v="134543"/>
    <n v="118413"/>
    <n v="4315"/>
    <n v="287"/>
    <n v="306"/>
    <n v="842"/>
    <n v="695"/>
    <n v="4.8558857557869491E-2"/>
    <x v="2"/>
  </r>
  <r>
    <x v="2254"/>
    <x v="2254"/>
    <x v="3"/>
    <x v="18"/>
    <x v="3"/>
    <x v="14"/>
    <n v="255297"/>
    <n v="27711"/>
    <n v="22552"/>
    <n v="1389"/>
    <n v="152"/>
    <n v="38"/>
    <n v="10"/>
    <n v="413"/>
    <n v="7.0459382759843911E-2"/>
    <x v="2"/>
  </r>
  <r>
    <x v="2255"/>
    <x v="2255"/>
    <x v="2"/>
    <x v="16"/>
    <x v="0"/>
    <x v="3"/>
    <n v="287840"/>
    <n v="150566"/>
    <n v="128133"/>
    <n v="8102"/>
    <n v="869"/>
    <n v="484"/>
    <n v="5"/>
    <n v="4274"/>
    <n v="7.3829536497233339E-2"/>
    <x v="0"/>
  </r>
  <r>
    <x v="2256"/>
    <x v="2256"/>
    <x v="2"/>
    <x v="19"/>
    <x v="2"/>
    <x v="15"/>
    <n v="76256"/>
    <n v="35288"/>
    <n v="28200"/>
    <n v="1804"/>
    <n v="307"/>
    <n v="96"/>
    <n v="28"/>
    <n v="1147"/>
    <n v="7.9255319148936174E-2"/>
    <x v="1"/>
  </r>
  <r>
    <x v="2257"/>
    <x v="2257"/>
    <x v="0"/>
    <x v="0"/>
    <x v="3"/>
    <x v="10"/>
    <n v="245745"/>
    <n v="108778"/>
    <n v="89413"/>
    <n v="3978"/>
    <n v="245"/>
    <n v="376"/>
    <n v="451"/>
    <n v="2421"/>
    <n v="5.6479482849250112E-2"/>
    <x v="0"/>
  </r>
  <r>
    <x v="2258"/>
    <x v="2258"/>
    <x v="1"/>
    <x v="17"/>
    <x v="5"/>
    <x v="1"/>
    <n v="134466"/>
    <n v="52265"/>
    <n v="44113"/>
    <n v="3270"/>
    <n v="273"/>
    <n v="94"/>
    <n v="220"/>
    <n v="1677"/>
    <n v="8.7434543105207083E-2"/>
    <x v="1"/>
  </r>
  <r>
    <x v="2259"/>
    <x v="2259"/>
    <x v="4"/>
    <x v="21"/>
    <x v="5"/>
    <x v="17"/>
    <n v="696480"/>
    <n v="80750"/>
    <n v="62094"/>
    <n v="3787"/>
    <n v="468"/>
    <n v="479"/>
    <n v="216"/>
    <n v="2058"/>
    <n v="7.971784713498889E-2"/>
    <x v="1"/>
  </r>
  <r>
    <x v="2260"/>
    <x v="2260"/>
    <x v="2"/>
    <x v="16"/>
    <x v="3"/>
    <x v="2"/>
    <n v="453603"/>
    <n v="1971995"/>
    <n v="1745490"/>
    <n v="101390"/>
    <n v="17306"/>
    <n v="13841"/>
    <n v="4"/>
    <n v="62763"/>
    <n v="7.5933405519367059E-2"/>
    <x v="1"/>
  </r>
  <r>
    <x v="2261"/>
    <x v="2261"/>
    <x v="1"/>
    <x v="7"/>
    <x v="1"/>
    <x v="8"/>
    <n v="579335"/>
    <n v="198623"/>
    <n v="168274"/>
    <n v="11748"/>
    <n v="390"/>
    <n v="387"/>
    <n v="1049"/>
    <n v="2416"/>
    <n v="8.0666056550625767E-2"/>
    <x v="1"/>
  </r>
  <r>
    <x v="2262"/>
    <x v="2262"/>
    <x v="3"/>
    <x v="9"/>
    <x v="4"/>
    <x v="9"/>
    <n v="191621"/>
    <n v="57040"/>
    <n v="42021"/>
    <n v="1155"/>
    <n v="55"/>
    <n v="163"/>
    <n v="35"/>
    <n v="421"/>
    <n v="3.3507055995811615E-2"/>
    <x v="0"/>
  </r>
  <r>
    <x v="2263"/>
    <x v="2263"/>
    <x v="4"/>
    <x v="10"/>
    <x v="3"/>
    <x v="13"/>
    <n v="61723"/>
    <n v="34111"/>
    <n v="30198"/>
    <n v="1691"/>
    <n v="201"/>
    <n v="250"/>
    <n v="349"/>
    <n v="1002"/>
    <n v="8.2488906550102659E-2"/>
    <x v="0"/>
  </r>
  <r>
    <x v="2264"/>
    <x v="2264"/>
    <x v="1"/>
    <x v="17"/>
    <x v="0"/>
    <x v="8"/>
    <n v="337614"/>
    <n v="78932"/>
    <n v="63995"/>
    <n v="5141"/>
    <n v="297"/>
    <n v="557"/>
    <n v="270"/>
    <n v="1383"/>
    <n v="9.7898273302601771E-2"/>
    <x v="0"/>
  </r>
  <r>
    <x v="2265"/>
    <x v="2265"/>
    <x v="3"/>
    <x v="4"/>
    <x v="5"/>
    <x v="14"/>
    <n v="497584"/>
    <n v="89431"/>
    <n v="69322"/>
    <n v="6512"/>
    <n v="258"/>
    <n v="911"/>
    <n v="18"/>
    <n v="1993"/>
    <n v="0.11106142350191858"/>
    <x v="0"/>
  </r>
  <r>
    <x v="2266"/>
    <x v="2266"/>
    <x v="0"/>
    <x v="23"/>
    <x v="0"/>
    <x v="7"/>
    <n v="376211"/>
    <n v="106318"/>
    <n v="81450"/>
    <n v="7272"/>
    <n v="957"/>
    <n v="1042"/>
    <n v="1117"/>
    <n v="997"/>
    <n v="0.12753836709637814"/>
    <x v="1"/>
  </r>
  <r>
    <x v="2267"/>
    <x v="2267"/>
    <x v="3"/>
    <x v="18"/>
    <x v="2"/>
    <x v="14"/>
    <n v="120466"/>
    <n v="34720"/>
    <n v="30123"/>
    <n v="909"/>
    <n v="42"/>
    <n v="105"/>
    <n v="30"/>
    <n v="1103"/>
    <n v="3.6052186037247289E-2"/>
    <x v="1"/>
  </r>
  <r>
    <x v="2268"/>
    <x v="2268"/>
    <x v="2"/>
    <x v="16"/>
    <x v="5"/>
    <x v="2"/>
    <n v="520963"/>
    <n v="234399"/>
    <n v="198166"/>
    <n v="15248"/>
    <n v="2393"/>
    <n v="1359"/>
    <n v="38"/>
    <n v="5001"/>
    <n v="9.6070970802256697E-2"/>
    <x v="0"/>
  </r>
  <r>
    <x v="2269"/>
    <x v="2269"/>
    <x v="1"/>
    <x v="24"/>
    <x v="3"/>
    <x v="1"/>
    <n v="739174"/>
    <n v="379092"/>
    <n v="307827"/>
    <n v="17324"/>
    <n v="1165"/>
    <n v="1755"/>
    <n v="3452"/>
    <n v="12130"/>
    <n v="7.6978302747972072E-2"/>
    <x v="0"/>
  </r>
  <r>
    <x v="2270"/>
    <x v="2270"/>
    <x v="3"/>
    <x v="18"/>
    <x v="0"/>
    <x v="9"/>
    <n v="317757"/>
    <n v="185846"/>
    <n v="141495"/>
    <n v="7296"/>
    <n v="277"/>
    <n v="219"/>
    <n v="21"/>
    <n v="4957"/>
    <n v="5.5217498851549522E-2"/>
    <x v="1"/>
  </r>
  <r>
    <x v="2271"/>
    <x v="2271"/>
    <x v="3"/>
    <x v="18"/>
    <x v="2"/>
    <x v="14"/>
    <n v="214867"/>
    <n v="134950"/>
    <n v="116404"/>
    <n v="10051"/>
    <n v="1001"/>
    <n v="694"/>
    <n v="42"/>
    <n v="2801"/>
    <n v="0.10126799766331054"/>
    <x v="1"/>
  </r>
  <r>
    <x v="2272"/>
    <x v="2272"/>
    <x v="3"/>
    <x v="9"/>
    <x v="1"/>
    <x v="4"/>
    <n v="774080"/>
    <n v="246343"/>
    <n v="182187"/>
    <n v="18115"/>
    <n v="1129"/>
    <n v="1467"/>
    <n v="13"/>
    <n v="6290"/>
    <n v="0.1137512555780599"/>
    <x v="0"/>
  </r>
  <r>
    <x v="2273"/>
    <x v="2273"/>
    <x v="2"/>
    <x v="5"/>
    <x v="3"/>
    <x v="15"/>
    <n v="601024"/>
    <n v="112902"/>
    <n v="98815"/>
    <n v="3308"/>
    <n v="458"/>
    <n v="475"/>
    <n v="5"/>
    <n v="3178"/>
    <n v="4.2969184840358242E-2"/>
    <x v="1"/>
  </r>
  <r>
    <x v="2274"/>
    <x v="2274"/>
    <x v="3"/>
    <x v="11"/>
    <x v="3"/>
    <x v="9"/>
    <n v="367947"/>
    <n v="151029"/>
    <n v="108869"/>
    <n v="7567"/>
    <n v="538"/>
    <n v="513"/>
    <n v="4"/>
    <n v="4576"/>
    <n v="7.9196098062809431E-2"/>
    <x v="1"/>
  </r>
  <r>
    <x v="2275"/>
    <x v="2275"/>
    <x v="1"/>
    <x v="17"/>
    <x v="5"/>
    <x v="6"/>
    <n v="56151"/>
    <n v="15603"/>
    <n v="11018"/>
    <n v="1158"/>
    <n v="62"/>
    <n v="45"/>
    <n v="167"/>
    <n v="230"/>
    <n v="0.12996914140497368"/>
    <x v="0"/>
  </r>
  <r>
    <x v="2276"/>
    <x v="2276"/>
    <x v="3"/>
    <x v="18"/>
    <x v="3"/>
    <x v="4"/>
    <n v="467049"/>
    <n v="257877"/>
    <n v="213658"/>
    <n v="11914"/>
    <n v="606"/>
    <n v="539"/>
    <n v="49"/>
    <n v="7007"/>
    <n v="6.1350382386805083E-2"/>
    <x v="0"/>
  </r>
  <r>
    <x v="2277"/>
    <x v="2277"/>
    <x v="3"/>
    <x v="9"/>
    <x v="1"/>
    <x v="4"/>
    <n v="407181"/>
    <n v="177657"/>
    <n v="141488"/>
    <n v="4091"/>
    <n v="540"/>
    <n v="520"/>
    <n v="34"/>
    <n v="1820"/>
    <n v="3.6646217347054165E-2"/>
    <x v="0"/>
  </r>
  <r>
    <x v="2278"/>
    <x v="2278"/>
    <x v="1"/>
    <x v="7"/>
    <x v="1"/>
    <x v="1"/>
    <n v="416750"/>
    <n v="241222"/>
    <n v="189707"/>
    <n v="5953"/>
    <n v="359"/>
    <n v="131"/>
    <n v="957"/>
    <n v="4009"/>
    <n v="3.9007522126226234E-2"/>
    <x v="0"/>
  </r>
  <r>
    <x v="2279"/>
    <x v="2279"/>
    <x v="1"/>
    <x v="7"/>
    <x v="2"/>
    <x v="16"/>
    <n v="220063"/>
    <n v="68434"/>
    <n v="48643"/>
    <n v="4757"/>
    <n v="345"/>
    <n v="643"/>
    <n v="713"/>
    <n v="1514"/>
    <n v="0.1327631930596386"/>
    <x v="1"/>
  </r>
  <r>
    <x v="2280"/>
    <x v="2280"/>
    <x v="1"/>
    <x v="17"/>
    <x v="0"/>
    <x v="6"/>
    <n v="66529"/>
    <n v="31475"/>
    <n v="24885"/>
    <n v="2081"/>
    <n v="197"/>
    <n v="308"/>
    <n v="508"/>
    <n v="652"/>
    <n v="0.12433192686357243"/>
    <x v="0"/>
  </r>
  <r>
    <x v="2281"/>
    <x v="2281"/>
    <x v="4"/>
    <x v="21"/>
    <x v="4"/>
    <x v="11"/>
    <n v="478254"/>
    <n v="290810"/>
    <n v="213308"/>
    <n v="21433"/>
    <n v="1774"/>
    <n v="2556"/>
    <n v="1517"/>
    <n v="1470"/>
    <n v="0.12789018695970147"/>
    <x v="0"/>
  </r>
  <r>
    <x v="2282"/>
    <x v="2282"/>
    <x v="2"/>
    <x v="19"/>
    <x v="4"/>
    <x v="15"/>
    <n v="194028"/>
    <n v="114064"/>
    <n v="90355"/>
    <n v="2401"/>
    <n v="109"/>
    <n v="129"/>
    <n v="42"/>
    <n v="1718"/>
    <n v="2.9671849925294671E-2"/>
    <x v="0"/>
  </r>
  <r>
    <x v="2283"/>
    <x v="2283"/>
    <x v="2"/>
    <x v="5"/>
    <x v="5"/>
    <x v="3"/>
    <n v="78617"/>
    <n v="24949"/>
    <n v="20162"/>
    <n v="1313"/>
    <n v="102"/>
    <n v="106"/>
    <n v="14"/>
    <n v="759"/>
    <n v="7.6133320107132224E-2"/>
    <x v="0"/>
  </r>
  <r>
    <x v="2284"/>
    <x v="2284"/>
    <x v="1"/>
    <x v="24"/>
    <x v="0"/>
    <x v="16"/>
    <n v="814293"/>
    <n v="155671"/>
    <n v="134399"/>
    <n v="11025"/>
    <n v="353"/>
    <n v="329"/>
    <n v="700"/>
    <n v="5098"/>
    <n v="9.2314674960379164E-2"/>
    <x v="1"/>
  </r>
  <r>
    <x v="2285"/>
    <x v="2285"/>
    <x v="0"/>
    <x v="22"/>
    <x v="0"/>
    <x v="0"/>
    <n v="695842"/>
    <n v="448517"/>
    <n v="405741"/>
    <n v="9789"/>
    <n v="918"/>
    <n v="761"/>
    <n v="983"/>
    <n v="6815"/>
    <n v="3.06870639151577E-2"/>
    <x v="2"/>
  </r>
  <r>
    <x v="2286"/>
    <x v="2286"/>
    <x v="2"/>
    <x v="19"/>
    <x v="5"/>
    <x v="2"/>
    <n v="605337"/>
    <n v="171548"/>
    <n v="150667"/>
    <n v="5188"/>
    <n v="870"/>
    <n v="688"/>
    <n v="44"/>
    <n v="1711"/>
    <n v="4.5066271977274384E-2"/>
    <x v="1"/>
  </r>
  <r>
    <x v="2287"/>
    <x v="2287"/>
    <x v="1"/>
    <x v="7"/>
    <x v="4"/>
    <x v="6"/>
    <n v="376357"/>
    <n v="68936"/>
    <n v="57150"/>
    <n v="5512"/>
    <n v="458"/>
    <n v="189"/>
    <n v="761"/>
    <n v="1156"/>
    <n v="0.121084864391951"/>
    <x v="0"/>
  </r>
  <r>
    <x v="2288"/>
    <x v="2288"/>
    <x v="2"/>
    <x v="5"/>
    <x v="5"/>
    <x v="15"/>
    <n v="346023"/>
    <n v="121806"/>
    <n v="111709"/>
    <n v="3429"/>
    <n v="488"/>
    <n v="336"/>
    <n v="14"/>
    <n v="3851"/>
    <n v="3.8197459470588759E-2"/>
    <x v="0"/>
  </r>
  <r>
    <x v="2289"/>
    <x v="2289"/>
    <x v="1"/>
    <x v="24"/>
    <x v="2"/>
    <x v="16"/>
    <n v="512468"/>
    <n v="157090"/>
    <n v="137207"/>
    <n v="5401"/>
    <n v="348"/>
    <n v="782"/>
    <n v="589"/>
    <n v="4360"/>
    <n v="5.1892396160545744E-2"/>
    <x v="2"/>
  </r>
  <r>
    <x v="2290"/>
    <x v="2290"/>
    <x v="2"/>
    <x v="3"/>
    <x v="5"/>
    <x v="5"/>
    <n v="627581"/>
    <n v="145366"/>
    <n v="119733"/>
    <n v="6015"/>
    <n v="653"/>
    <n v="269"/>
    <n v="1"/>
    <n v="3006"/>
    <n v="5.79455956169143E-2"/>
    <x v="1"/>
  </r>
  <r>
    <x v="2291"/>
    <x v="2291"/>
    <x v="2"/>
    <x v="5"/>
    <x v="0"/>
    <x v="15"/>
    <n v="542875"/>
    <n v="49728"/>
    <n v="43057"/>
    <n v="1807"/>
    <n v="236"/>
    <n v="236"/>
    <n v="42"/>
    <n v="406"/>
    <n v="5.3905288338713796E-2"/>
    <x v="0"/>
  </r>
  <r>
    <x v="2292"/>
    <x v="2292"/>
    <x v="1"/>
    <x v="8"/>
    <x v="3"/>
    <x v="8"/>
    <n v="181172"/>
    <n v="77930"/>
    <n v="58890"/>
    <n v="2761"/>
    <n v="319"/>
    <n v="138"/>
    <n v="197"/>
    <n v="557"/>
    <n v="5.7989471896756663E-2"/>
    <x v="0"/>
  </r>
  <r>
    <x v="2293"/>
    <x v="2293"/>
    <x v="1"/>
    <x v="24"/>
    <x v="5"/>
    <x v="8"/>
    <n v="556015"/>
    <n v="204252"/>
    <n v="184108"/>
    <n v="10579"/>
    <n v="840"/>
    <n v="1495"/>
    <n v="2124"/>
    <n v="3955"/>
    <n v="8.1680318074173849E-2"/>
    <x v="1"/>
  </r>
  <r>
    <x v="2294"/>
    <x v="2294"/>
    <x v="4"/>
    <x v="20"/>
    <x v="0"/>
    <x v="17"/>
    <n v="415385"/>
    <n v="46975"/>
    <n v="41679"/>
    <n v="3180"/>
    <n v="221"/>
    <n v="124"/>
    <n v="514"/>
    <n v="1000"/>
    <n v="9.6907315434631353E-2"/>
    <x v="0"/>
  </r>
  <r>
    <x v="2295"/>
    <x v="2295"/>
    <x v="1"/>
    <x v="24"/>
    <x v="0"/>
    <x v="1"/>
    <n v="7477"/>
    <n v="3073"/>
    <n v="2397"/>
    <n v="135"/>
    <n v="6"/>
    <n v="13"/>
    <n v="25"/>
    <n v="59"/>
    <n v="7.4676679182311217E-2"/>
    <x v="0"/>
  </r>
  <r>
    <x v="2296"/>
    <x v="2296"/>
    <x v="2"/>
    <x v="2"/>
    <x v="5"/>
    <x v="15"/>
    <n v="230070"/>
    <n v="31342"/>
    <n v="24700"/>
    <n v="1610"/>
    <n v="159"/>
    <n v="63"/>
    <n v="41"/>
    <n v="677"/>
    <n v="7.5829959514170042E-2"/>
    <x v="0"/>
  </r>
  <r>
    <x v="2297"/>
    <x v="2297"/>
    <x v="0"/>
    <x v="0"/>
    <x v="1"/>
    <x v="10"/>
    <n v="243711"/>
    <n v="50087"/>
    <n v="45598"/>
    <n v="3294"/>
    <n v="275"/>
    <n v="322"/>
    <n v="254"/>
    <n v="1299"/>
    <n v="9.0903109785516911E-2"/>
    <x v="1"/>
  </r>
  <r>
    <x v="2298"/>
    <x v="2298"/>
    <x v="0"/>
    <x v="0"/>
    <x v="0"/>
    <x v="10"/>
    <n v="847436"/>
    <n v="293851"/>
    <n v="224461"/>
    <n v="21129"/>
    <n v="928"/>
    <n v="1120"/>
    <n v="4477"/>
    <n v="5778"/>
    <n v="0.12320180343133105"/>
    <x v="1"/>
  </r>
  <r>
    <x v="2299"/>
    <x v="2299"/>
    <x v="2"/>
    <x v="5"/>
    <x v="4"/>
    <x v="2"/>
    <n v="488213"/>
    <n v="2403877"/>
    <n v="1703789"/>
    <n v="189848"/>
    <n v="18761"/>
    <n v="5471"/>
    <n v="19"/>
    <n v="38312"/>
    <n v="0.12566051312691889"/>
    <x v="1"/>
  </r>
  <r>
    <x v="2300"/>
    <x v="2300"/>
    <x v="2"/>
    <x v="5"/>
    <x v="1"/>
    <x v="2"/>
    <n v="101162"/>
    <n v="9898"/>
    <n v="8612"/>
    <n v="346"/>
    <n v="28"/>
    <n v="16"/>
    <n v="25"/>
    <n v="210"/>
    <n v="4.8188574082675337E-2"/>
    <x v="1"/>
  </r>
  <r>
    <x v="2301"/>
    <x v="2301"/>
    <x v="3"/>
    <x v="11"/>
    <x v="5"/>
    <x v="9"/>
    <n v="742544"/>
    <n v="468422"/>
    <n v="372137"/>
    <n v="27331"/>
    <n v="4470"/>
    <n v="659"/>
    <n v="45"/>
    <n v="15156"/>
    <n v="8.7346864192488244E-2"/>
    <x v="1"/>
  </r>
  <r>
    <x v="2302"/>
    <x v="2302"/>
    <x v="3"/>
    <x v="9"/>
    <x v="4"/>
    <x v="4"/>
    <n v="843328"/>
    <n v="413043"/>
    <n v="342578"/>
    <n v="17856"/>
    <n v="1891"/>
    <n v="777"/>
    <n v="26"/>
    <n v="5128"/>
    <n v="5.9986338877569489E-2"/>
    <x v="1"/>
  </r>
  <r>
    <x v="2303"/>
    <x v="2303"/>
    <x v="0"/>
    <x v="6"/>
    <x v="1"/>
    <x v="10"/>
    <n v="442460"/>
    <n v="265634"/>
    <n v="208445"/>
    <n v="18210"/>
    <n v="2442"/>
    <n v="1664"/>
    <n v="1153"/>
    <n v="9048"/>
    <n v="0.11259085130370122"/>
    <x v="1"/>
  </r>
  <r>
    <x v="2304"/>
    <x v="2304"/>
    <x v="2"/>
    <x v="2"/>
    <x v="1"/>
    <x v="3"/>
    <n v="682526"/>
    <n v="279253"/>
    <n v="231263"/>
    <n v="16049"/>
    <n v="1454"/>
    <n v="1652"/>
    <n v="18"/>
    <n v="2233"/>
    <n v="8.2905609630593735E-2"/>
    <x v="1"/>
  </r>
  <r>
    <x v="2305"/>
    <x v="2305"/>
    <x v="0"/>
    <x v="0"/>
    <x v="3"/>
    <x v="10"/>
    <n v="240432"/>
    <n v="128159"/>
    <n v="102560"/>
    <n v="5764"/>
    <n v="280"/>
    <n v="355"/>
    <n v="940"/>
    <n v="4373"/>
    <n v="7.1558112324492981E-2"/>
    <x v="0"/>
  </r>
  <r>
    <x v="2306"/>
    <x v="2306"/>
    <x v="3"/>
    <x v="15"/>
    <x v="5"/>
    <x v="14"/>
    <n v="746974"/>
    <n v="100410"/>
    <n v="77033"/>
    <n v="2036"/>
    <n v="289"/>
    <n v="112"/>
    <n v="50"/>
    <n v="1841"/>
    <n v="3.228486492801786E-2"/>
    <x v="0"/>
  </r>
  <r>
    <x v="2307"/>
    <x v="2307"/>
    <x v="4"/>
    <x v="10"/>
    <x v="4"/>
    <x v="13"/>
    <n v="330021"/>
    <n v="33992"/>
    <n v="31211"/>
    <n v="1671"/>
    <n v="196"/>
    <n v="147"/>
    <n v="137"/>
    <n v="917"/>
    <n v="6.8918009676075739E-2"/>
    <x v="0"/>
  </r>
  <r>
    <x v="2308"/>
    <x v="2308"/>
    <x v="0"/>
    <x v="0"/>
    <x v="3"/>
    <x v="0"/>
    <n v="781215"/>
    <n v="505514"/>
    <n v="407845"/>
    <n v="35067"/>
    <n v="4203"/>
    <n v="4786"/>
    <n v="4382"/>
    <n v="14613"/>
    <n v="0.11876570756047028"/>
    <x v="1"/>
  </r>
  <r>
    <x v="2309"/>
    <x v="2309"/>
    <x v="2"/>
    <x v="16"/>
    <x v="4"/>
    <x v="3"/>
    <n v="291759"/>
    <n v="179606"/>
    <n v="161338"/>
    <n v="8564"/>
    <n v="976"/>
    <n v="1260"/>
    <n v="42"/>
    <n v="6111"/>
    <n v="6.7200535521699786E-2"/>
    <x v="0"/>
  </r>
  <r>
    <x v="2310"/>
    <x v="2310"/>
    <x v="4"/>
    <x v="14"/>
    <x v="0"/>
    <x v="17"/>
    <n v="374331"/>
    <n v="155853"/>
    <n v="123846"/>
    <n v="10659"/>
    <n v="1054"/>
    <n v="986"/>
    <n v="948"/>
    <n v="2655"/>
    <n v="0.11019330458795601"/>
    <x v="1"/>
  </r>
  <r>
    <x v="2311"/>
    <x v="2311"/>
    <x v="1"/>
    <x v="17"/>
    <x v="5"/>
    <x v="6"/>
    <n v="167970"/>
    <n v="104785"/>
    <n v="74427"/>
    <n v="2855"/>
    <n v="471"/>
    <n v="208"/>
    <n v="369"/>
    <n v="2077"/>
    <n v="5.2440646539562256E-2"/>
    <x v="0"/>
  </r>
  <r>
    <x v="2312"/>
    <x v="2312"/>
    <x v="1"/>
    <x v="1"/>
    <x v="1"/>
    <x v="8"/>
    <n v="110069"/>
    <n v="22168"/>
    <n v="15562"/>
    <n v="1604"/>
    <n v="231"/>
    <n v="69"/>
    <n v="303"/>
    <n v="215"/>
    <n v="0.14181981750417685"/>
    <x v="1"/>
  </r>
  <r>
    <x v="2313"/>
    <x v="2313"/>
    <x v="3"/>
    <x v="18"/>
    <x v="4"/>
    <x v="9"/>
    <n v="513241"/>
    <n v="160185"/>
    <n v="116904"/>
    <n v="11513"/>
    <n v="1810"/>
    <n v="886"/>
    <n v="9"/>
    <n v="4348"/>
    <n v="0.12162115924177103"/>
    <x v="0"/>
  </r>
  <r>
    <x v="2314"/>
    <x v="2314"/>
    <x v="3"/>
    <x v="11"/>
    <x v="5"/>
    <x v="14"/>
    <n v="326489"/>
    <n v="76869"/>
    <n v="55940"/>
    <n v="3467"/>
    <n v="533"/>
    <n v="242"/>
    <n v="29"/>
    <n v="2664"/>
    <n v="7.6349660350375409E-2"/>
    <x v="0"/>
  </r>
  <r>
    <x v="2315"/>
    <x v="2315"/>
    <x v="2"/>
    <x v="2"/>
    <x v="2"/>
    <x v="2"/>
    <n v="729902"/>
    <n v="191639"/>
    <n v="163783"/>
    <n v="4210"/>
    <n v="639"/>
    <n v="299"/>
    <n v="4"/>
    <n v="2323"/>
    <n v="3.1456256143800029E-2"/>
    <x v="0"/>
  </r>
  <r>
    <x v="2316"/>
    <x v="2316"/>
    <x v="1"/>
    <x v="8"/>
    <x v="4"/>
    <x v="6"/>
    <n v="749309"/>
    <n v="247466"/>
    <n v="226043"/>
    <n v="9203"/>
    <n v="281"/>
    <n v="464"/>
    <n v="1628"/>
    <n v="3299"/>
    <n v="5.1211495158000914E-2"/>
    <x v="1"/>
  </r>
  <r>
    <x v="2317"/>
    <x v="2317"/>
    <x v="2"/>
    <x v="2"/>
    <x v="5"/>
    <x v="5"/>
    <n v="353710"/>
    <n v="61898"/>
    <n v="53479"/>
    <n v="4630"/>
    <n v="462"/>
    <n v="493"/>
    <n v="23"/>
    <n v="1338"/>
    <n v="0.10486359131621759"/>
    <x v="0"/>
  </r>
  <r>
    <x v="2318"/>
    <x v="2318"/>
    <x v="1"/>
    <x v="8"/>
    <x v="2"/>
    <x v="16"/>
    <n v="399033"/>
    <n v="132814"/>
    <n v="115094"/>
    <n v="9928"/>
    <n v="1131"/>
    <n v="581"/>
    <n v="1156"/>
    <n v="2147"/>
    <n v="0.11117868872399951"/>
    <x v="0"/>
  </r>
  <r>
    <x v="2319"/>
    <x v="2319"/>
    <x v="4"/>
    <x v="14"/>
    <x v="4"/>
    <x v="11"/>
    <n v="524403"/>
    <n v="3061511"/>
    <n v="2562597"/>
    <n v="129835"/>
    <n v="14842"/>
    <n v="11569"/>
    <n v="29588"/>
    <n v="39824"/>
    <n v="7.2517840300289127E-2"/>
    <x v="0"/>
  </r>
  <r>
    <x v="2320"/>
    <x v="2320"/>
    <x v="3"/>
    <x v="18"/>
    <x v="4"/>
    <x v="14"/>
    <n v="620453"/>
    <n v="110937"/>
    <n v="91355"/>
    <n v="6190"/>
    <n v="997"/>
    <n v="322"/>
    <n v="27"/>
    <n v="637"/>
    <n v="8.2491379782168459E-2"/>
    <x v="0"/>
  </r>
  <r>
    <x v="2321"/>
    <x v="2321"/>
    <x v="4"/>
    <x v="14"/>
    <x v="2"/>
    <x v="13"/>
    <n v="841715"/>
    <n v="349148"/>
    <n v="278718"/>
    <n v="26928"/>
    <n v="1113"/>
    <n v="2586"/>
    <n v="3902"/>
    <n v="7202"/>
    <n v="0.12388507380219434"/>
    <x v="0"/>
  </r>
  <r>
    <x v="2322"/>
    <x v="2322"/>
    <x v="2"/>
    <x v="5"/>
    <x v="5"/>
    <x v="3"/>
    <n v="848946"/>
    <n v="324363"/>
    <n v="274796"/>
    <n v="18639"/>
    <n v="1936"/>
    <n v="2039"/>
    <n v="7"/>
    <n v="3542"/>
    <n v="8.2319247732863657E-2"/>
    <x v="0"/>
  </r>
  <r>
    <x v="2323"/>
    <x v="2323"/>
    <x v="2"/>
    <x v="19"/>
    <x v="5"/>
    <x v="5"/>
    <n v="736411"/>
    <n v="240049"/>
    <n v="181145"/>
    <n v="16502"/>
    <n v="810"/>
    <n v="1778"/>
    <n v="16"/>
    <n v="7702"/>
    <n v="0.10547351569184907"/>
    <x v="1"/>
  </r>
  <r>
    <x v="2324"/>
    <x v="2324"/>
    <x v="4"/>
    <x v="10"/>
    <x v="2"/>
    <x v="11"/>
    <n v="556174"/>
    <n v="97697"/>
    <n v="77903"/>
    <n v="5561"/>
    <n v="613"/>
    <n v="142"/>
    <n v="1212"/>
    <n v="2250"/>
    <n v="9.6632992310950794E-2"/>
    <x v="2"/>
  </r>
  <r>
    <x v="2325"/>
    <x v="2325"/>
    <x v="0"/>
    <x v="13"/>
    <x v="4"/>
    <x v="10"/>
    <n v="765241"/>
    <n v="445808"/>
    <n v="325380"/>
    <n v="19665"/>
    <n v="914"/>
    <n v="2321"/>
    <n v="3348"/>
    <n v="2339"/>
    <n v="8.0668756530825503E-2"/>
    <x v="0"/>
  </r>
  <r>
    <x v="2326"/>
    <x v="2326"/>
    <x v="3"/>
    <x v="18"/>
    <x v="1"/>
    <x v="9"/>
    <n v="348215"/>
    <n v="208293"/>
    <n v="147720"/>
    <n v="5674"/>
    <n v="183"/>
    <n v="273"/>
    <n v="45"/>
    <n v="6286"/>
    <n v="4.1802057947468184E-2"/>
    <x v="0"/>
  </r>
  <r>
    <x v="2327"/>
    <x v="2327"/>
    <x v="4"/>
    <x v="10"/>
    <x v="5"/>
    <x v="13"/>
    <n v="747202"/>
    <n v="467450"/>
    <n v="401326"/>
    <n v="27784"/>
    <n v="4210"/>
    <n v="2691"/>
    <n v="1600"/>
    <n v="4922"/>
    <n v="9.0412781628900193E-2"/>
    <x v="0"/>
  </r>
  <r>
    <x v="2328"/>
    <x v="2328"/>
    <x v="2"/>
    <x v="2"/>
    <x v="5"/>
    <x v="2"/>
    <n v="25611"/>
    <n v="16074"/>
    <n v="11820"/>
    <n v="1243"/>
    <n v="91"/>
    <n v="94"/>
    <n v="28"/>
    <n v="480"/>
    <n v="0.12318104906937394"/>
    <x v="1"/>
  </r>
  <r>
    <x v="2329"/>
    <x v="2329"/>
    <x v="0"/>
    <x v="13"/>
    <x v="1"/>
    <x v="0"/>
    <n v="418301"/>
    <n v="45761"/>
    <n v="40174"/>
    <n v="2622"/>
    <n v="402"/>
    <n v="319"/>
    <n v="269"/>
    <n v="1466"/>
    <n v="8.9908896301090252E-2"/>
    <x v="1"/>
  </r>
  <r>
    <x v="2330"/>
    <x v="2330"/>
    <x v="2"/>
    <x v="19"/>
    <x v="1"/>
    <x v="5"/>
    <n v="3011"/>
    <n v="415"/>
    <n v="358"/>
    <n v="17"/>
    <n v="2"/>
    <n v="1"/>
    <n v="45"/>
    <n v="13"/>
    <n v="0.18156424581005587"/>
    <x v="0"/>
  </r>
  <r>
    <x v="2331"/>
    <x v="2331"/>
    <x v="3"/>
    <x v="11"/>
    <x v="0"/>
    <x v="9"/>
    <n v="301773"/>
    <n v="131411"/>
    <n v="100753"/>
    <n v="9938"/>
    <n v="1147"/>
    <n v="1172"/>
    <n v="18"/>
    <n v="3216"/>
    <n v="0.12183260051809872"/>
    <x v="0"/>
  </r>
  <r>
    <x v="2332"/>
    <x v="2332"/>
    <x v="1"/>
    <x v="7"/>
    <x v="5"/>
    <x v="16"/>
    <n v="835391"/>
    <n v="432943"/>
    <n v="305247"/>
    <n v="34536"/>
    <n v="6181"/>
    <n v="4701"/>
    <n v="8488"/>
    <n v="9341"/>
    <n v="0.17659796820279969"/>
    <x v="0"/>
  </r>
  <r>
    <x v="2333"/>
    <x v="2333"/>
    <x v="2"/>
    <x v="19"/>
    <x v="0"/>
    <x v="3"/>
    <n v="819634"/>
    <n v="182973"/>
    <n v="144056"/>
    <n v="9192"/>
    <n v="294"/>
    <n v="569"/>
    <n v="32"/>
    <n v="2013"/>
    <n v="7.0021380574221137E-2"/>
    <x v="0"/>
  </r>
  <r>
    <x v="2334"/>
    <x v="2334"/>
    <x v="0"/>
    <x v="23"/>
    <x v="4"/>
    <x v="7"/>
    <n v="150095"/>
    <n v="52545"/>
    <n v="40860"/>
    <n v="2771"/>
    <n v="295"/>
    <n v="267"/>
    <n v="146"/>
    <n v="1227"/>
    <n v="8.5144395496818404E-2"/>
    <x v="0"/>
  </r>
  <r>
    <x v="2335"/>
    <x v="2335"/>
    <x v="3"/>
    <x v="9"/>
    <x v="0"/>
    <x v="4"/>
    <n v="459250"/>
    <n v="73088"/>
    <n v="59826"/>
    <n v="1825"/>
    <n v="102"/>
    <n v="117"/>
    <n v="16"/>
    <n v="634"/>
    <n v="3.4433189583124392E-2"/>
    <x v="0"/>
  </r>
  <r>
    <x v="2336"/>
    <x v="2336"/>
    <x v="0"/>
    <x v="23"/>
    <x v="4"/>
    <x v="7"/>
    <n v="590775"/>
    <n v="309610"/>
    <n v="227693"/>
    <n v="24061"/>
    <n v="4072"/>
    <n v="3140"/>
    <n v="1848"/>
    <n v="6321"/>
    <n v="0.14546340906395894"/>
    <x v="0"/>
  </r>
  <r>
    <x v="2337"/>
    <x v="2337"/>
    <x v="4"/>
    <x v="20"/>
    <x v="0"/>
    <x v="11"/>
    <n v="382980"/>
    <n v="34508"/>
    <n v="27090"/>
    <n v="2260"/>
    <n v="164"/>
    <n v="178"/>
    <n v="464"/>
    <n v="862"/>
    <n v="0.11317829457364341"/>
    <x v="0"/>
  </r>
  <r>
    <x v="2338"/>
    <x v="2338"/>
    <x v="1"/>
    <x v="7"/>
    <x v="2"/>
    <x v="6"/>
    <n v="781575"/>
    <n v="485651"/>
    <n v="414769"/>
    <n v="33810"/>
    <n v="3201"/>
    <n v="3590"/>
    <n v="4577"/>
    <n v="9256"/>
    <n v="0.10892328018728498"/>
    <x v="0"/>
  </r>
  <r>
    <x v="2339"/>
    <x v="2339"/>
    <x v="2"/>
    <x v="3"/>
    <x v="3"/>
    <x v="2"/>
    <n v="679774"/>
    <n v="345433"/>
    <n v="312229"/>
    <n v="8555"/>
    <n v="1376"/>
    <n v="499"/>
    <n v="35"/>
    <n v="4115"/>
    <n v="3.351706599963488E-2"/>
    <x v="0"/>
  </r>
  <r>
    <x v="2340"/>
    <x v="2340"/>
    <x v="1"/>
    <x v="1"/>
    <x v="2"/>
    <x v="6"/>
    <n v="676116"/>
    <n v="234748"/>
    <n v="204908"/>
    <n v="15299"/>
    <n v="1937"/>
    <n v="680"/>
    <n v="3620"/>
    <n v="7740"/>
    <n v="0.10510082573642805"/>
    <x v="0"/>
  </r>
  <r>
    <x v="2341"/>
    <x v="2341"/>
    <x v="3"/>
    <x v="4"/>
    <x v="0"/>
    <x v="4"/>
    <n v="136873"/>
    <n v="70569"/>
    <n v="56400"/>
    <n v="2179"/>
    <n v="214"/>
    <n v="146"/>
    <n v="43"/>
    <n v="1070"/>
    <n v="4.5780141843971632E-2"/>
    <x v="0"/>
  </r>
  <r>
    <x v="2342"/>
    <x v="2342"/>
    <x v="3"/>
    <x v="15"/>
    <x v="0"/>
    <x v="9"/>
    <n v="107155"/>
    <n v="25794"/>
    <n v="20507"/>
    <n v="569"/>
    <n v="77"/>
    <n v="25"/>
    <n v="14"/>
    <n v="579"/>
    <n v="3.3403228165992102E-2"/>
    <x v="0"/>
  </r>
  <r>
    <x v="2343"/>
    <x v="2343"/>
    <x v="3"/>
    <x v="15"/>
    <x v="0"/>
    <x v="9"/>
    <n v="797446"/>
    <n v="367046"/>
    <n v="283678"/>
    <n v="22493"/>
    <n v="3009"/>
    <n v="2168"/>
    <n v="35"/>
    <n v="4550"/>
    <n v="9.7663548107361164E-2"/>
    <x v="1"/>
  </r>
  <r>
    <x v="2344"/>
    <x v="2344"/>
    <x v="2"/>
    <x v="19"/>
    <x v="3"/>
    <x v="5"/>
    <n v="718121"/>
    <n v="272848"/>
    <n v="198845"/>
    <n v="15917"/>
    <n v="836"/>
    <n v="2332"/>
    <n v="20"/>
    <n v="3905"/>
    <n v="9.6079861198420879E-2"/>
    <x v="0"/>
  </r>
  <r>
    <x v="2345"/>
    <x v="2345"/>
    <x v="2"/>
    <x v="2"/>
    <x v="5"/>
    <x v="2"/>
    <n v="784874"/>
    <n v="351279"/>
    <n v="297249"/>
    <n v="8464"/>
    <n v="1515"/>
    <n v="795"/>
    <n v="50"/>
    <n v="6335"/>
    <n v="3.6413915606108009E-2"/>
    <x v="1"/>
  </r>
  <r>
    <x v="2346"/>
    <x v="2346"/>
    <x v="3"/>
    <x v="15"/>
    <x v="1"/>
    <x v="14"/>
    <n v="307191"/>
    <n v="82012"/>
    <n v="67977"/>
    <n v="5105"/>
    <n v="202"/>
    <n v="574"/>
    <n v="21"/>
    <n v="2251"/>
    <n v="8.6823484413845853E-2"/>
    <x v="0"/>
  </r>
  <r>
    <x v="2347"/>
    <x v="2347"/>
    <x v="4"/>
    <x v="21"/>
    <x v="5"/>
    <x v="13"/>
    <n v="226647"/>
    <n v="91891"/>
    <n v="72430"/>
    <n v="2922"/>
    <n v="488"/>
    <n v="280"/>
    <n v="662"/>
    <n v="1432"/>
    <n v="6.0085599889548529E-2"/>
    <x v="1"/>
  </r>
  <r>
    <x v="2348"/>
    <x v="2348"/>
    <x v="2"/>
    <x v="2"/>
    <x v="2"/>
    <x v="2"/>
    <n v="583364"/>
    <n v="97777"/>
    <n v="71351"/>
    <n v="2213"/>
    <n v="304"/>
    <n v="79"/>
    <n v="50"/>
    <n v="577"/>
    <n v="3.7084273521043855E-2"/>
    <x v="1"/>
  </r>
  <r>
    <x v="2349"/>
    <x v="2349"/>
    <x v="2"/>
    <x v="2"/>
    <x v="2"/>
    <x v="2"/>
    <n v="193555"/>
    <n v="50988"/>
    <n v="42266"/>
    <n v="1349"/>
    <n v="215"/>
    <n v="161"/>
    <n v="48"/>
    <n v="320"/>
    <n v="4.1948611176832441E-2"/>
    <x v="1"/>
  </r>
  <r>
    <x v="2350"/>
    <x v="2350"/>
    <x v="4"/>
    <x v="21"/>
    <x v="2"/>
    <x v="12"/>
    <n v="750315"/>
    <n v="462074"/>
    <n v="394065"/>
    <n v="34199"/>
    <n v="2425"/>
    <n v="3613"/>
    <n v="5018"/>
    <n v="11645"/>
    <n v="0.11484146016520118"/>
    <x v="1"/>
  </r>
  <r>
    <x v="2351"/>
    <x v="2351"/>
    <x v="2"/>
    <x v="16"/>
    <x v="5"/>
    <x v="5"/>
    <n v="651732"/>
    <n v="243927"/>
    <n v="221721"/>
    <n v="9932"/>
    <n v="978"/>
    <n v="955"/>
    <n v="9"/>
    <n v="6656"/>
    <n v="5.3553790574641102E-2"/>
    <x v="0"/>
  </r>
  <r>
    <x v="2352"/>
    <x v="2352"/>
    <x v="0"/>
    <x v="0"/>
    <x v="0"/>
    <x v="7"/>
    <n v="245784"/>
    <n v="84569"/>
    <n v="67524"/>
    <n v="4147"/>
    <n v="400"/>
    <n v="218"/>
    <n v="806"/>
    <n v="2505"/>
    <n v="8.2503998578283277E-2"/>
    <x v="0"/>
  </r>
  <r>
    <x v="2353"/>
    <x v="2353"/>
    <x v="2"/>
    <x v="3"/>
    <x v="2"/>
    <x v="5"/>
    <n v="700448"/>
    <n v="175635"/>
    <n v="145753"/>
    <n v="9827"/>
    <n v="673"/>
    <n v="797"/>
    <n v="30"/>
    <n v="1273"/>
    <n v="7.7713666271020151E-2"/>
    <x v="2"/>
  </r>
  <r>
    <x v="2354"/>
    <x v="2354"/>
    <x v="4"/>
    <x v="20"/>
    <x v="2"/>
    <x v="12"/>
    <n v="507252"/>
    <n v="328687"/>
    <n v="294249"/>
    <n v="25887"/>
    <n v="3122"/>
    <n v="2192"/>
    <n v="4755"/>
    <n v="6322"/>
    <n v="0.1221958273435084"/>
    <x v="1"/>
  </r>
  <r>
    <x v="2355"/>
    <x v="2355"/>
    <x v="4"/>
    <x v="12"/>
    <x v="5"/>
    <x v="17"/>
    <n v="388640"/>
    <n v="141953"/>
    <n v="107017"/>
    <n v="11267"/>
    <n v="423"/>
    <n v="450"/>
    <n v="2269"/>
    <n v="2357"/>
    <n v="0.13464215965687695"/>
    <x v="2"/>
  </r>
  <r>
    <x v="2356"/>
    <x v="2356"/>
    <x v="0"/>
    <x v="23"/>
    <x v="1"/>
    <x v="7"/>
    <n v="765493"/>
    <n v="226939"/>
    <n v="174842"/>
    <n v="4682"/>
    <n v="821"/>
    <n v="555"/>
    <n v="932"/>
    <n v="5636"/>
    <n v="3.9978952425618559E-2"/>
    <x v="0"/>
  </r>
  <r>
    <x v="2357"/>
    <x v="2357"/>
    <x v="0"/>
    <x v="6"/>
    <x v="3"/>
    <x v="7"/>
    <n v="763789"/>
    <n v="356463"/>
    <n v="263907"/>
    <n v="15232"/>
    <n v="1051"/>
    <n v="1686"/>
    <n v="3164"/>
    <n v="3970"/>
    <n v="8.0077451526484711E-2"/>
    <x v="0"/>
  </r>
  <r>
    <x v="2358"/>
    <x v="2358"/>
    <x v="2"/>
    <x v="5"/>
    <x v="3"/>
    <x v="3"/>
    <n v="416124"/>
    <n v="93931"/>
    <n v="83678"/>
    <n v="2094"/>
    <n v="162"/>
    <n v="213"/>
    <n v="21"/>
    <n v="1577"/>
    <n v="2.9756925356724587E-2"/>
    <x v="2"/>
  </r>
  <r>
    <x v="2359"/>
    <x v="2359"/>
    <x v="2"/>
    <x v="5"/>
    <x v="3"/>
    <x v="5"/>
    <n v="748044"/>
    <n v="397771"/>
    <n v="309829"/>
    <n v="9798"/>
    <n v="674"/>
    <n v="763"/>
    <n v="29"/>
    <n v="12372"/>
    <n v="3.6355538054862524E-2"/>
    <x v="2"/>
  </r>
  <r>
    <x v="2360"/>
    <x v="2360"/>
    <x v="4"/>
    <x v="14"/>
    <x v="1"/>
    <x v="12"/>
    <n v="97297"/>
    <n v="44056"/>
    <n v="39209"/>
    <n v="2873"/>
    <n v="462"/>
    <n v="314"/>
    <n v="417"/>
    <n v="1055"/>
    <n v="0.10370068096610473"/>
    <x v="1"/>
  </r>
  <r>
    <x v="2361"/>
    <x v="2361"/>
    <x v="1"/>
    <x v="1"/>
    <x v="4"/>
    <x v="16"/>
    <n v="805102"/>
    <n v="209837"/>
    <n v="172004"/>
    <n v="9744"/>
    <n v="977"/>
    <n v="272"/>
    <n v="1189"/>
    <n v="4302"/>
    <n v="7.0823934327108679E-2"/>
    <x v="0"/>
  </r>
  <r>
    <x v="2362"/>
    <x v="2362"/>
    <x v="1"/>
    <x v="7"/>
    <x v="1"/>
    <x v="8"/>
    <n v="641066"/>
    <n v="391278"/>
    <n v="299068"/>
    <n v="20716"/>
    <n v="3647"/>
    <n v="2947"/>
    <n v="1075"/>
    <n v="9666"/>
    <n v="9.4911525138095684E-2"/>
    <x v="0"/>
  </r>
  <r>
    <x v="2363"/>
    <x v="2363"/>
    <x v="1"/>
    <x v="8"/>
    <x v="3"/>
    <x v="16"/>
    <n v="496342"/>
    <n v="158727"/>
    <n v="113355"/>
    <n v="7313"/>
    <n v="817"/>
    <n v="655"/>
    <n v="476"/>
    <n v="3173"/>
    <n v="8.1699086939261617E-2"/>
    <x v="0"/>
  </r>
  <r>
    <x v="2364"/>
    <x v="2364"/>
    <x v="3"/>
    <x v="15"/>
    <x v="0"/>
    <x v="14"/>
    <n v="658283"/>
    <n v="76348"/>
    <n v="59376"/>
    <n v="3421"/>
    <n v="146"/>
    <n v="262"/>
    <n v="23"/>
    <n v="1151"/>
    <n v="6.4874696847210991E-2"/>
    <x v="1"/>
  </r>
  <r>
    <x v="2365"/>
    <x v="2365"/>
    <x v="0"/>
    <x v="0"/>
    <x v="4"/>
    <x v="10"/>
    <n v="341361"/>
    <n v="157320"/>
    <n v="116871"/>
    <n v="10545"/>
    <n v="555"/>
    <n v="413"/>
    <n v="2168"/>
    <n v="4154"/>
    <n v="0.11706069084717338"/>
    <x v="1"/>
  </r>
  <r>
    <x v="2366"/>
    <x v="2366"/>
    <x v="3"/>
    <x v="9"/>
    <x v="1"/>
    <x v="14"/>
    <n v="524536"/>
    <n v="259086"/>
    <n v="201352"/>
    <n v="19257"/>
    <n v="2452"/>
    <n v="1136"/>
    <n v="10"/>
    <n v="4486"/>
    <n v="0.11350768802892447"/>
    <x v="1"/>
  </r>
  <r>
    <x v="2367"/>
    <x v="2367"/>
    <x v="2"/>
    <x v="3"/>
    <x v="4"/>
    <x v="3"/>
    <n v="339049"/>
    <n v="1552850"/>
    <n v="1170826"/>
    <n v="101698"/>
    <n v="17135"/>
    <n v="3658"/>
    <n v="35"/>
    <n v="51982"/>
    <n v="0.10464919637930828"/>
    <x v="1"/>
  </r>
  <r>
    <x v="2368"/>
    <x v="2368"/>
    <x v="3"/>
    <x v="9"/>
    <x v="5"/>
    <x v="4"/>
    <n v="778482"/>
    <n v="477414"/>
    <n v="412980"/>
    <n v="30950"/>
    <n v="2499"/>
    <n v="1066"/>
    <n v="0"/>
    <n v="6971"/>
    <n v="8.357547580996659E-2"/>
    <x v="0"/>
  </r>
  <r>
    <x v="2369"/>
    <x v="2369"/>
    <x v="3"/>
    <x v="9"/>
    <x v="3"/>
    <x v="14"/>
    <n v="518213"/>
    <n v="118254"/>
    <n v="94100"/>
    <n v="6539"/>
    <n v="634"/>
    <n v="820"/>
    <n v="46"/>
    <n v="2535"/>
    <n v="8.5430393198724766E-2"/>
    <x v="0"/>
  </r>
  <r>
    <x v="2370"/>
    <x v="2370"/>
    <x v="0"/>
    <x v="6"/>
    <x v="5"/>
    <x v="0"/>
    <n v="232408"/>
    <n v="126854"/>
    <n v="96514"/>
    <n v="6906"/>
    <n v="1216"/>
    <n v="316"/>
    <n v="1007"/>
    <n v="4037"/>
    <n v="9.7861450152309515E-2"/>
    <x v="0"/>
  </r>
  <r>
    <x v="2371"/>
    <x v="2371"/>
    <x v="1"/>
    <x v="7"/>
    <x v="2"/>
    <x v="6"/>
    <n v="364183"/>
    <n v="904483"/>
    <n v="674275"/>
    <n v="66175"/>
    <n v="6935"/>
    <n v="3803"/>
    <n v="7454"/>
    <n v="13290"/>
    <n v="0.12512253902339551"/>
    <x v="0"/>
  </r>
  <r>
    <x v="2372"/>
    <x v="2372"/>
    <x v="4"/>
    <x v="14"/>
    <x v="3"/>
    <x v="17"/>
    <n v="790556"/>
    <n v="344570"/>
    <n v="283928"/>
    <n v="10278"/>
    <n v="425"/>
    <n v="680"/>
    <n v="1721"/>
    <n v="6383"/>
    <n v="4.6152545715815278E-2"/>
    <x v="2"/>
  </r>
  <r>
    <x v="2373"/>
    <x v="2373"/>
    <x v="3"/>
    <x v="15"/>
    <x v="1"/>
    <x v="9"/>
    <n v="638459"/>
    <n v="210868"/>
    <n v="170092"/>
    <n v="13335"/>
    <n v="1177"/>
    <n v="899"/>
    <n v="39"/>
    <n v="3845"/>
    <n v="9.0833196152670326E-2"/>
    <x v="0"/>
  </r>
  <r>
    <x v="2374"/>
    <x v="2374"/>
    <x v="0"/>
    <x v="13"/>
    <x v="4"/>
    <x v="10"/>
    <n v="718698"/>
    <n v="427481"/>
    <n v="341809"/>
    <n v="14826"/>
    <n v="2223"/>
    <n v="1476"/>
    <n v="1491"/>
    <n v="5503"/>
    <n v="5.8559019803457485E-2"/>
    <x v="2"/>
  </r>
  <r>
    <x v="2375"/>
    <x v="2375"/>
    <x v="4"/>
    <x v="20"/>
    <x v="0"/>
    <x v="11"/>
    <n v="192387"/>
    <n v="42912"/>
    <n v="34601"/>
    <n v="1468"/>
    <n v="185"/>
    <n v="44"/>
    <n v="138"/>
    <n v="567"/>
    <n v="5.303314933094419E-2"/>
    <x v="0"/>
  </r>
  <r>
    <x v="2376"/>
    <x v="2376"/>
    <x v="4"/>
    <x v="21"/>
    <x v="2"/>
    <x v="13"/>
    <n v="350742"/>
    <n v="146539"/>
    <n v="119917"/>
    <n v="11489"/>
    <n v="563"/>
    <n v="509"/>
    <n v="1940"/>
    <n v="3542"/>
    <n v="0.12092530667044706"/>
    <x v="0"/>
  </r>
  <r>
    <x v="2377"/>
    <x v="2377"/>
    <x v="0"/>
    <x v="23"/>
    <x v="5"/>
    <x v="10"/>
    <n v="121314"/>
    <n v="35966"/>
    <n v="28058"/>
    <n v="789"/>
    <n v="109"/>
    <n v="22"/>
    <n v="74"/>
    <n v="506"/>
    <n v="3.5426616294817879E-2"/>
    <x v="0"/>
  </r>
  <r>
    <x v="2378"/>
    <x v="2378"/>
    <x v="2"/>
    <x v="19"/>
    <x v="0"/>
    <x v="5"/>
    <n v="642202"/>
    <n v="394639"/>
    <n v="343513"/>
    <n v="25959"/>
    <n v="2088"/>
    <n v="1201"/>
    <n v="50"/>
    <n v="4278"/>
    <n v="8.5289348583605276E-2"/>
    <x v="1"/>
  </r>
  <r>
    <x v="2379"/>
    <x v="2379"/>
    <x v="3"/>
    <x v="18"/>
    <x v="2"/>
    <x v="14"/>
    <n v="417685"/>
    <n v="70657"/>
    <n v="60811"/>
    <n v="1922"/>
    <n v="173"/>
    <n v="38"/>
    <n v="31"/>
    <n v="1540"/>
    <n v="3.558566706681357E-2"/>
    <x v="1"/>
  </r>
  <r>
    <x v="2380"/>
    <x v="2380"/>
    <x v="3"/>
    <x v="4"/>
    <x v="4"/>
    <x v="4"/>
    <n v="202091"/>
    <n v="124384"/>
    <n v="88365"/>
    <n v="9442"/>
    <n v="928"/>
    <n v="902"/>
    <n v="32"/>
    <n v="3326"/>
    <n v="0.12792395179086744"/>
    <x v="1"/>
  </r>
  <r>
    <x v="2381"/>
    <x v="2381"/>
    <x v="3"/>
    <x v="9"/>
    <x v="4"/>
    <x v="14"/>
    <n v="525309"/>
    <n v="139608"/>
    <n v="127704"/>
    <n v="9417"/>
    <n v="1347"/>
    <n v="1028"/>
    <n v="18"/>
    <n v="1860"/>
    <n v="9.2479483806302068E-2"/>
    <x v="0"/>
  </r>
  <r>
    <x v="2382"/>
    <x v="2382"/>
    <x v="3"/>
    <x v="9"/>
    <x v="0"/>
    <x v="14"/>
    <n v="767261"/>
    <n v="399615"/>
    <n v="340064"/>
    <n v="8405"/>
    <n v="808"/>
    <n v="420"/>
    <n v="11"/>
    <n v="10266"/>
    <n v="2.8359367648442647E-2"/>
    <x v="0"/>
  </r>
  <r>
    <x v="2383"/>
    <x v="2383"/>
    <x v="1"/>
    <x v="24"/>
    <x v="5"/>
    <x v="8"/>
    <n v="251643"/>
    <n v="1080853"/>
    <n v="775241"/>
    <n v="44394"/>
    <n v="4660"/>
    <n v="1278"/>
    <n v="6144"/>
    <n v="11996"/>
    <n v="7.2849604187601016E-2"/>
    <x v="0"/>
  </r>
  <r>
    <x v="2384"/>
    <x v="2384"/>
    <x v="1"/>
    <x v="24"/>
    <x v="4"/>
    <x v="1"/>
    <n v="583008"/>
    <n v="338835"/>
    <n v="300272"/>
    <n v="18020"/>
    <n v="2353"/>
    <n v="2661"/>
    <n v="3320"/>
    <n v="4785"/>
    <n v="8.7767091170671926E-2"/>
    <x v="0"/>
  </r>
  <r>
    <x v="2385"/>
    <x v="2385"/>
    <x v="3"/>
    <x v="11"/>
    <x v="5"/>
    <x v="9"/>
    <n v="780180"/>
    <n v="337501"/>
    <n v="246789"/>
    <n v="17311"/>
    <n v="2779"/>
    <n v="2474"/>
    <n v="2"/>
    <n v="9477"/>
    <n v="9.1438435262511705E-2"/>
    <x v="1"/>
  </r>
  <r>
    <x v="2386"/>
    <x v="2386"/>
    <x v="1"/>
    <x v="17"/>
    <x v="3"/>
    <x v="8"/>
    <n v="472717"/>
    <n v="247847"/>
    <n v="179313"/>
    <n v="10728"/>
    <n v="711"/>
    <n v="842"/>
    <n v="596"/>
    <n v="8163"/>
    <n v="7.1812975077099814E-2"/>
    <x v="0"/>
  </r>
  <r>
    <x v="2387"/>
    <x v="2387"/>
    <x v="3"/>
    <x v="18"/>
    <x v="0"/>
    <x v="9"/>
    <n v="305313"/>
    <n v="150603"/>
    <n v="115699"/>
    <n v="5024"/>
    <n v="228"/>
    <n v="258"/>
    <n v="27"/>
    <n v="3863"/>
    <n v="4.7856939126526589E-2"/>
    <x v="0"/>
  </r>
  <r>
    <x v="2388"/>
    <x v="2388"/>
    <x v="1"/>
    <x v="17"/>
    <x v="3"/>
    <x v="1"/>
    <n v="719168"/>
    <n v="141235"/>
    <n v="123049"/>
    <n v="9290"/>
    <n v="1573"/>
    <n v="697"/>
    <n v="765"/>
    <n v="2976"/>
    <n v="0.10016334955993141"/>
    <x v="0"/>
  </r>
  <r>
    <x v="2389"/>
    <x v="2389"/>
    <x v="2"/>
    <x v="16"/>
    <x v="3"/>
    <x v="3"/>
    <n v="369392"/>
    <n v="124069"/>
    <n v="106910"/>
    <n v="8089"/>
    <n v="639"/>
    <n v="267"/>
    <n v="0"/>
    <n v="1805"/>
    <n v="8.4136189318118046E-2"/>
    <x v="1"/>
  </r>
  <r>
    <x v="2390"/>
    <x v="2390"/>
    <x v="2"/>
    <x v="5"/>
    <x v="5"/>
    <x v="15"/>
    <n v="310429"/>
    <n v="924129"/>
    <n v="810161"/>
    <n v="48046"/>
    <n v="5872"/>
    <n v="4097"/>
    <n v="4"/>
    <n v="5335"/>
    <n v="7.1614160642143973E-2"/>
    <x v="0"/>
  </r>
  <r>
    <x v="2391"/>
    <x v="2391"/>
    <x v="1"/>
    <x v="8"/>
    <x v="5"/>
    <x v="8"/>
    <n v="530825"/>
    <n v="151327"/>
    <n v="126878"/>
    <n v="3448"/>
    <n v="114"/>
    <n v="198"/>
    <n v="251"/>
    <n v="4356"/>
    <n v="3.1613045602862593E-2"/>
    <x v="0"/>
  </r>
  <r>
    <x v="2392"/>
    <x v="2392"/>
    <x v="0"/>
    <x v="13"/>
    <x v="0"/>
    <x v="0"/>
    <n v="428292"/>
    <n v="161940"/>
    <n v="128610"/>
    <n v="9851"/>
    <n v="464"/>
    <n v="636"/>
    <n v="1215"/>
    <n v="2667"/>
    <n v="9.4596065624757017E-2"/>
    <x v="0"/>
  </r>
  <r>
    <x v="2393"/>
    <x v="2393"/>
    <x v="0"/>
    <x v="6"/>
    <x v="4"/>
    <x v="10"/>
    <n v="376101"/>
    <n v="38970"/>
    <n v="29952"/>
    <n v="2070"/>
    <n v="72"/>
    <n v="213"/>
    <n v="346"/>
    <n v="346"/>
    <n v="9.017761752136752E-2"/>
    <x v="0"/>
  </r>
  <r>
    <x v="2394"/>
    <x v="2394"/>
    <x v="4"/>
    <x v="20"/>
    <x v="5"/>
    <x v="11"/>
    <n v="656617"/>
    <n v="216121"/>
    <n v="186426"/>
    <n v="15374"/>
    <n v="1958"/>
    <n v="1319"/>
    <n v="893"/>
    <n v="5474"/>
    <n v="0.10483516247733685"/>
    <x v="1"/>
  </r>
  <r>
    <x v="2395"/>
    <x v="2395"/>
    <x v="2"/>
    <x v="3"/>
    <x v="3"/>
    <x v="5"/>
    <n v="175245"/>
    <n v="46504"/>
    <n v="41927"/>
    <n v="1201"/>
    <n v="42"/>
    <n v="137"/>
    <n v="15"/>
    <n v="720"/>
    <n v="3.3272115820354428E-2"/>
    <x v="1"/>
  </r>
  <r>
    <x v="2396"/>
    <x v="2396"/>
    <x v="1"/>
    <x v="24"/>
    <x v="5"/>
    <x v="8"/>
    <n v="423374"/>
    <n v="195844"/>
    <n v="170284"/>
    <n v="12490"/>
    <n v="861"/>
    <n v="593"/>
    <n v="2890"/>
    <n v="5151"/>
    <n v="9.8858377768903716E-2"/>
    <x v="0"/>
  </r>
  <r>
    <x v="2397"/>
    <x v="2397"/>
    <x v="3"/>
    <x v="9"/>
    <x v="3"/>
    <x v="14"/>
    <n v="176266"/>
    <n v="24599"/>
    <n v="20939"/>
    <n v="1047"/>
    <n v="147"/>
    <n v="27"/>
    <n v="37"/>
    <n v="493"/>
    <n v="6.0079277902478627E-2"/>
    <x v="0"/>
  </r>
  <r>
    <x v="2398"/>
    <x v="2398"/>
    <x v="3"/>
    <x v="18"/>
    <x v="2"/>
    <x v="4"/>
    <n v="428521"/>
    <n v="256807"/>
    <n v="192356"/>
    <n v="5410"/>
    <n v="858"/>
    <n v="491"/>
    <n v="24"/>
    <n v="5927"/>
    <n v="3.5262741999209798E-2"/>
    <x v="1"/>
  </r>
  <r>
    <x v="2399"/>
    <x v="2399"/>
    <x v="4"/>
    <x v="20"/>
    <x v="5"/>
    <x v="11"/>
    <n v="276292"/>
    <n v="82744"/>
    <n v="64650"/>
    <n v="2804"/>
    <n v="149"/>
    <n v="183"/>
    <n v="376"/>
    <n v="729"/>
    <n v="5.432327919566899E-2"/>
    <x v="0"/>
  </r>
  <r>
    <x v="2400"/>
    <x v="2400"/>
    <x v="1"/>
    <x v="7"/>
    <x v="5"/>
    <x v="8"/>
    <n v="832741"/>
    <n v="343993"/>
    <n v="277747"/>
    <n v="14389"/>
    <n v="1630"/>
    <n v="1467"/>
    <n v="2583"/>
    <n v="8086"/>
    <n v="7.225640600978589E-2"/>
    <x v="0"/>
  </r>
  <r>
    <x v="2401"/>
    <x v="2401"/>
    <x v="4"/>
    <x v="14"/>
    <x v="3"/>
    <x v="12"/>
    <n v="447412"/>
    <n v="1230317"/>
    <n v="1115062"/>
    <n v="85653"/>
    <n v="5975"/>
    <n v="11826"/>
    <n v="8607"/>
    <n v="9383"/>
    <n v="0.10049755080883395"/>
    <x v="0"/>
  </r>
  <r>
    <x v="2402"/>
    <x v="2402"/>
    <x v="4"/>
    <x v="14"/>
    <x v="0"/>
    <x v="13"/>
    <n v="276425"/>
    <n v="76473"/>
    <n v="61946"/>
    <n v="4433"/>
    <n v="531"/>
    <n v="544"/>
    <n v="876"/>
    <n v="1038"/>
    <n v="0.1030575016950247"/>
    <x v="2"/>
  </r>
  <r>
    <x v="2403"/>
    <x v="2403"/>
    <x v="3"/>
    <x v="11"/>
    <x v="0"/>
    <x v="14"/>
    <n v="487893"/>
    <n v="109749"/>
    <n v="88537"/>
    <n v="5017"/>
    <n v="166"/>
    <n v="223"/>
    <n v="35"/>
    <n v="3208"/>
    <n v="6.1454533133040425E-2"/>
    <x v="0"/>
  </r>
  <r>
    <x v="2404"/>
    <x v="2404"/>
    <x v="1"/>
    <x v="24"/>
    <x v="0"/>
    <x v="8"/>
    <n v="705169"/>
    <n v="339799"/>
    <n v="258889"/>
    <n v="20575"/>
    <n v="1577"/>
    <n v="1111"/>
    <n v="4168"/>
    <n v="4454"/>
    <n v="0.10595660688557644"/>
    <x v="1"/>
  </r>
  <r>
    <x v="2405"/>
    <x v="2405"/>
    <x v="0"/>
    <x v="0"/>
    <x v="5"/>
    <x v="0"/>
    <n v="343863"/>
    <n v="103045"/>
    <n v="76607"/>
    <n v="7113"/>
    <n v="672"/>
    <n v="283"/>
    <n v="481"/>
    <n v="2164"/>
    <n v="0.11159554609892046"/>
    <x v="2"/>
  </r>
  <r>
    <x v="2406"/>
    <x v="2406"/>
    <x v="4"/>
    <x v="10"/>
    <x v="1"/>
    <x v="11"/>
    <n v="288939"/>
    <n v="166520"/>
    <n v="129826"/>
    <n v="4742"/>
    <n v="484"/>
    <n v="98"/>
    <n v="618"/>
    <n v="3536"/>
    <n v="4.5768952289988139E-2"/>
    <x v="1"/>
  </r>
  <r>
    <x v="2407"/>
    <x v="2407"/>
    <x v="3"/>
    <x v="4"/>
    <x v="4"/>
    <x v="9"/>
    <n v="462407"/>
    <n v="55922"/>
    <n v="41460"/>
    <n v="2148"/>
    <n v="287"/>
    <n v="94"/>
    <n v="39"/>
    <n v="635"/>
    <n v="6.1939218523878438E-2"/>
    <x v="0"/>
  </r>
  <r>
    <x v="2408"/>
    <x v="2408"/>
    <x v="1"/>
    <x v="1"/>
    <x v="3"/>
    <x v="16"/>
    <n v="475724"/>
    <n v="79993"/>
    <n v="58201"/>
    <n v="3746"/>
    <n v="517"/>
    <n v="288"/>
    <n v="512"/>
    <n v="1874"/>
    <n v="8.6991632446177899E-2"/>
    <x v="2"/>
  </r>
  <r>
    <x v="2409"/>
    <x v="2409"/>
    <x v="3"/>
    <x v="15"/>
    <x v="3"/>
    <x v="14"/>
    <n v="470530"/>
    <n v="160426"/>
    <n v="132894"/>
    <n v="4662"/>
    <n v="542"/>
    <n v="255"/>
    <n v="39"/>
    <n v="1735"/>
    <n v="4.1371318494439174E-2"/>
    <x v="0"/>
  </r>
  <r>
    <x v="2410"/>
    <x v="2410"/>
    <x v="2"/>
    <x v="5"/>
    <x v="4"/>
    <x v="2"/>
    <n v="431230"/>
    <n v="208849"/>
    <n v="190484"/>
    <n v="4234"/>
    <n v="563"/>
    <n v="211"/>
    <n v="41"/>
    <n v="3692"/>
    <n v="2.6506163247306862E-2"/>
    <x v="0"/>
  </r>
  <r>
    <x v="2411"/>
    <x v="2411"/>
    <x v="4"/>
    <x v="12"/>
    <x v="2"/>
    <x v="13"/>
    <n v="131938"/>
    <n v="64043"/>
    <n v="57148"/>
    <n v="3139"/>
    <n v="375"/>
    <n v="202"/>
    <n v="346"/>
    <n v="2078"/>
    <n v="7.1078602925736686E-2"/>
    <x v="0"/>
  </r>
  <r>
    <x v="2412"/>
    <x v="2412"/>
    <x v="4"/>
    <x v="14"/>
    <x v="4"/>
    <x v="12"/>
    <n v="539466"/>
    <n v="1775414"/>
    <n v="1453924"/>
    <n v="36715"/>
    <n v="2475"/>
    <n v="1379"/>
    <n v="2264"/>
    <n v="15227"/>
    <n v="2.9460274402238355E-2"/>
    <x v="0"/>
  </r>
  <r>
    <x v="2413"/>
    <x v="2413"/>
    <x v="3"/>
    <x v="15"/>
    <x v="0"/>
    <x v="9"/>
    <n v="118208"/>
    <n v="61667"/>
    <n v="55296"/>
    <n v="3317"/>
    <n v="370"/>
    <n v="106"/>
    <n v="31"/>
    <n v="763"/>
    <n v="6.9155092592592587E-2"/>
    <x v="1"/>
  </r>
  <r>
    <x v="2414"/>
    <x v="2414"/>
    <x v="4"/>
    <x v="10"/>
    <x v="4"/>
    <x v="13"/>
    <n v="815041"/>
    <n v="297540"/>
    <n v="223705"/>
    <n v="12735"/>
    <n v="495"/>
    <n v="912"/>
    <n v="3057"/>
    <n v="5150"/>
    <n v="7.688250150868331E-2"/>
    <x v="2"/>
  </r>
  <r>
    <x v="2415"/>
    <x v="2415"/>
    <x v="2"/>
    <x v="2"/>
    <x v="4"/>
    <x v="5"/>
    <n v="154131"/>
    <n v="96600"/>
    <n v="81185"/>
    <n v="5121"/>
    <n v="688"/>
    <n v="680"/>
    <n v="27"/>
    <n v="3269"/>
    <n v="8.0261131982509087E-2"/>
    <x v="0"/>
  </r>
  <r>
    <x v="2416"/>
    <x v="2416"/>
    <x v="2"/>
    <x v="5"/>
    <x v="2"/>
    <x v="15"/>
    <n v="557580"/>
    <n v="69201"/>
    <n v="61295"/>
    <n v="5079"/>
    <n v="530"/>
    <n v="531"/>
    <n v="25"/>
    <n v="628"/>
    <n v="0.10057916632678032"/>
    <x v="1"/>
  </r>
  <r>
    <x v="2417"/>
    <x v="2417"/>
    <x v="3"/>
    <x v="9"/>
    <x v="4"/>
    <x v="4"/>
    <n v="195370"/>
    <n v="62696"/>
    <n v="49658"/>
    <n v="2661"/>
    <n v="471"/>
    <n v="127"/>
    <n v="35"/>
    <n v="488"/>
    <n v="6.633372266301503E-2"/>
    <x v="0"/>
  </r>
  <r>
    <x v="2418"/>
    <x v="2418"/>
    <x v="4"/>
    <x v="14"/>
    <x v="2"/>
    <x v="13"/>
    <n v="239515"/>
    <n v="45915"/>
    <n v="39069"/>
    <n v="2167"/>
    <n v="365"/>
    <n v="255"/>
    <n v="359"/>
    <n v="498"/>
    <n v="8.0524200772991369E-2"/>
    <x v="0"/>
  </r>
  <r>
    <x v="2419"/>
    <x v="2419"/>
    <x v="4"/>
    <x v="14"/>
    <x v="4"/>
    <x v="13"/>
    <n v="188184"/>
    <n v="19298"/>
    <n v="16193"/>
    <n v="1526"/>
    <n v="259"/>
    <n v="128"/>
    <n v="233"/>
    <n v="285"/>
    <n v="0.13252640029642437"/>
    <x v="1"/>
  </r>
  <r>
    <x v="2420"/>
    <x v="2420"/>
    <x v="3"/>
    <x v="18"/>
    <x v="0"/>
    <x v="9"/>
    <n v="244759"/>
    <n v="51447"/>
    <n v="46083"/>
    <n v="3928"/>
    <n v="207"/>
    <n v="479"/>
    <n v="13"/>
    <n v="524"/>
    <n v="0.1004057895536315"/>
    <x v="0"/>
  </r>
  <r>
    <x v="2421"/>
    <x v="2421"/>
    <x v="0"/>
    <x v="23"/>
    <x v="2"/>
    <x v="0"/>
    <n v="313628"/>
    <n v="177667"/>
    <n v="145890"/>
    <n v="13688"/>
    <n v="2243"/>
    <n v="1144"/>
    <n v="3102"/>
    <n v="2442"/>
    <n v="0.13830283089999315"/>
    <x v="1"/>
  </r>
  <r>
    <x v="2422"/>
    <x v="2422"/>
    <x v="0"/>
    <x v="23"/>
    <x v="1"/>
    <x v="7"/>
    <n v="479100"/>
    <n v="54011"/>
    <n v="45283"/>
    <n v="3770"/>
    <n v="211"/>
    <n v="556"/>
    <n v="756"/>
    <n v="621"/>
    <n v="0.11688713203630502"/>
    <x v="0"/>
  </r>
  <r>
    <x v="2423"/>
    <x v="2423"/>
    <x v="0"/>
    <x v="23"/>
    <x v="4"/>
    <x v="10"/>
    <n v="385759"/>
    <n v="92459"/>
    <n v="75789"/>
    <n v="4842"/>
    <n v="407"/>
    <n v="105"/>
    <n v="960"/>
    <n v="2536"/>
    <n v="8.3310242911240423E-2"/>
    <x v="2"/>
  </r>
  <r>
    <x v="2424"/>
    <x v="2424"/>
    <x v="1"/>
    <x v="17"/>
    <x v="3"/>
    <x v="16"/>
    <n v="102104"/>
    <n v="12696"/>
    <n v="11026"/>
    <n v="1009"/>
    <n v="137"/>
    <n v="20"/>
    <n v="89"/>
    <n v="153"/>
    <n v="0.11382187556684201"/>
    <x v="1"/>
  </r>
  <r>
    <x v="2425"/>
    <x v="2425"/>
    <x v="2"/>
    <x v="3"/>
    <x v="2"/>
    <x v="15"/>
    <n v="53629"/>
    <n v="16692"/>
    <n v="14940"/>
    <n v="1012"/>
    <n v="180"/>
    <n v="141"/>
    <n v="20"/>
    <n v="176"/>
    <n v="9.0562248995983932E-2"/>
    <x v="1"/>
  </r>
  <r>
    <x v="2426"/>
    <x v="2426"/>
    <x v="2"/>
    <x v="19"/>
    <x v="4"/>
    <x v="5"/>
    <n v="83514"/>
    <n v="42061"/>
    <n v="36480"/>
    <n v="1847"/>
    <n v="314"/>
    <n v="92"/>
    <n v="24"/>
    <n v="329"/>
    <n v="6.241776315789474E-2"/>
    <x v="0"/>
  </r>
  <r>
    <x v="2427"/>
    <x v="2427"/>
    <x v="4"/>
    <x v="10"/>
    <x v="3"/>
    <x v="12"/>
    <n v="727168"/>
    <n v="307720"/>
    <n v="235382"/>
    <n v="14741"/>
    <n v="2075"/>
    <n v="383"/>
    <n v="2984"/>
    <n v="7111"/>
    <n v="8.5745723972096427E-2"/>
    <x v="1"/>
  </r>
  <r>
    <x v="2428"/>
    <x v="2428"/>
    <x v="3"/>
    <x v="11"/>
    <x v="2"/>
    <x v="4"/>
    <n v="435634"/>
    <n v="232984"/>
    <n v="195774"/>
    <n v="6858"/>
    <n v="634"/>
    <n v="338"/>
    <n v="38"/>
    <n v="3744"/>
    <n v="4.0189197748424201E-2"/>
    <x v="0"/>
  </r>
  <r>
    <x v="2429"/>
    <x v="2429"/>
    <x v="0"/>
    <x v="22"/>
    <x v="0"/>
    <x v="10"/>
    <n v="31997"/>
    <n v="5946"/>
    <n v="5186"/>
    <n v="253"/>
    <n v="45"/>
    <n v="6"/>
    <n v="33"/>
    <n v="162"/>
    <n v="6.4982645584265336E-2"/>
    <x v="0"/>
  </r>
  <r>
    <x v="2430"/>
    <x v="2430"/>
    <x v="0"/>
    <x v="6"/>
    <x v="3"/>
    <x v="7"/>
    <n v="304016"/>
    <n v="76483"/>
    <n v="59716"/>
    <n v="1921"/>
    <n v="154"/>
    <n v="76"/>
    <n v="370"/>
    <n v="2364"/>
    <n v="4.22164913925916E-2"/>
    <x v="1"/>
  </r>
  <r>
    <x v="2431"/>
    <x v="2431"/>
    <x v="0"/>
    <x v="0"/>
    <x v="3"/>
    <x v="0"/>
    <n v="333754"/>
    <n v="206263"/>
    <n v="172720"/>
    <n v="15388"/>
    <n v="2595"/>
    <n v="1497"/>
    <n v="2967"/>
    <n v="3512"/>
    <n v="0.12996178786475221"/>
    <x v="1"/>
  </r>
  <r>
    <x v="2432"/>
    <x v="2432"/>
    <x v="4"/>
    <x v="14"/>
    <x v="2"/>
    <x v="12"/>
    <n v="72430"/>
    <n v="35656"/>
    <n v="26192"/>
    <n v="2214"/>
    <n v="232"/>
    <n v="330"/>
    <n v="503"/>
    <n v="1211"/>
    <n v="0.12519089798411728"/>
    <x v="0"/>
  </r>
  <r>
    <x v="2433"/>
    <x v="2433"/>
    <x v="2"/>
    <x v="19"/>
    <x v="4"/>
    <x v="2"/>
    <n v="751139"/>
    <n v="305576"/>
    <n v="259778"/>
    <n v="13487"/>
    <n v="1054"/>
    <n v="1855"/>
    <n v="20"/>
    <n v="7529"/>
    <n v="6.3192418141644016E-2"/>
    <x v="0"/>
  </r>
  <r>
    <x v="2434"/>
    <x v="2434"/>
    <x v="1"/>
    <x v="24"/>
    <x v="2"/>
    <x v="6"/>
    <n v="683580"/>
    <n v="90050"/>
    <n v="71025"/>
    <n v="6698"/>
    <n v="664"/>
    <n v="470"/>
    <n v="611"/>
    <n v="2819"/>
    <n v="0.1188736360436466"/>
    <x v="0"/>
  </r>
  <r>
    <x v="2435"/>
    <x v="2435"/>
    <x v="3"/>
    <x v="4"/>
    <x v="2"/>
    <x v="14"/>
    <n v="550220"/>
    <n v="247866"/>
    <n v="182358"/>
    <n v="18900"/>
    <n v="3302"/>
    <n v="1533"/>
    <n v="24"/>
    <n v="3898"/>
    <n v="0.13028767589028176"/>
    <x v="1"/>
  </r>
  <r>
    <x v="2436"/>
    <x v="2436"/>
    <x v="3"/>
    <x v="11"/>
    <x v="4"/>
    <x v="14"/>
    <n v="774076"/>
    <n v="190220"/>
    <n v="165843"/>
    <n v="12053"/>
    <n v="1644"/>
    <n v="1609"/>
    <n v="35"/>
    <n v="5629"/>
    <n v="9.2503150570117515E-2"/>
    <x v="0"/>
  </r>
  <r>
    <x v="2437"/>
    <x v="2437"/>
    <x v="0"/>
    <x v="0"/>
    <x v="5"/>
    <x v="10"/>
    <n v="183408"/>
    <n v="83753"/>
    <n v="74034"/>
    <n v="2948"/>
    <n v="530"/>
    <n v="180"/>
    <n v="319"/>
    <n v="1413"/>
    <n v="5.3718561741902371E-2"/>
    <x v="0"/>
  </r>
  <r>
    <x v="2438"/>
    <x v="2438"/>
    <x v="1"/>
    <x v="17"/>
    <x v="4"/>
    <x v="8"/>
    <n v="310626"/>
    <n v="37826"/>
    <n v="29996"/>
    <n v="1916"/>
    <n v="172"/>
    <n v="94"/>
    <n v="404"/>
    <n v="1257"/>
    <n v="8.6211494865982133E-2"/>
    <x v="1"/>
  </r>
  <r>
    <x v="2439"/>
    <x v="2439"/>
    <x v="3"/>
    <x v="4"/>
    <x v="0"/>
    <x v="4"/>
    <n v="725435"/>
    <n v="189776"/>
    <n v="168143"/>
    <n v="9434"/>
    <n v="883"/>
    <n v="586"/>
    <n v="48"/>
    <n v="6217"/>
    <n v="6.5129086551328333E-2"/>
    <x v="0"/>
  </r>
  <r>
    <x v="2440"/>
    <x v="2440"/>
    <x v="0"/>
    <x v="22"/>
    <x v="3"/>
    <x v="0"/>
    <n v="819475"/>
    <n v="449294"/>
    <n v="324007"/>
    <n v="32753"/>
    <n v="3320"/>
    <n v="4910"/>
    <n v="5916"/>
    <n v="14799"/>
    <n v="0.14474687275274917"/>
    <x v="1"/>
  </r>
  <r>
    <x v="2441"/>
    <x v="2441"/>
    <x v="1"/>
    <x v="17"/>
    <x v="4"/>
    <x v="6"/>
    <n v="522977"/>
    <n v="294573"/>
    <n v="247610"/>
    <n v="15356"/>
    <n v="1788"/>
    <n v="1673"/>
    <n v="1754"/>
    <n v="8080"/>
    <n v="8.3078227858325596E-2"/>
    <x v="0"/>
  </r>
  <r>
    <x v="2442"/>
    <x v="2442"/>
    <x v="0"/>
    <x v="22"/>
    <x v="4"/>
    <x v="10"/>
    <n v="340886"/>
    <n v="215146"/>
    <n v="164019"/>
    <n v="8258"/>
    <n v="864"/>
    <n v="420"/>
    <n v="1572"/>
    <n v="3471"/>
    <n v="6.7760442387772152E-2"/>
    <x v="1"/>
  </r>
  <r>
    <x v="2443"/>
    <x v="2443"/>
    <x v="2"/>
    <x v="2"/>
    <x v="3"/>
    <x v="15"/>
    <n v="100834"/>
    <n v="36917"/>
    <n v="27110"/>
    <n v="2845"/>
    <n v="442"/>
    <n v="85"/>
    <n v="44"/>
    <n v="720"/>
    <n v="0.12600516414607155"/>
    <x v="1"/>
  </r>
  <r>
    <x v="2444"/>
    <x v="2444"/>
    <x v="3"/>
    <x v="4"/>
    <x v="3"/>
    <x v="9"/>
    <n v="89119"/>
    <n v="13000"/>
    <n v="10877"/>
    <n v="694"/>
    <n v="93"/>
    <n v="38"/>
    <n v="1"/>
    <n v="352"/>
    <n v="7.5940057001011307E-2"/>
    <x v="0"/>
  </r>
  <r>
    <x v="2445"/>
    <x v="2445"/>
    <x v="0"/>
    <x v="22"/>
    <x v="1"/>
    <x v="7"/>
    <n v="509059"/>
    <n v="85166"/>
    <n v="69558"/>
    <n v="3987"/>
    <n v="211"/>
    <n v="286"/>
    <n v="238"/>
    <n v="2843"/>
    <n v="6.7885793151039417E-2"/>
    <x v="1"/>
  </r>
  <r>
    <x v="2446"/>
    <x v="2446"/>
    <x v="1"/>
    <x v="24"/>
    <x v="2"/>
    <x v="8"/>
    <n v="668815"/>
    <n v="281030"/>
    <n v="198899"/>
    <n v="17255"/>
    <n v="2390"/>
    <n v="2360"/>
    <n v="3724"/>
    <n v="8059"/>
    <n v="0.1293571108954796"/>
    <x v="0"/>
  </r>
  <r>
    <x v="2447"/>
    <x v="2447"/>
    <x v="3"/>
    <x v="11"/>
    <x v="1"/>
    <x v="14"/>
    <n v="773944"/>
    <n v="85704"/>
    <n v="75058"/>
    <n v="2171"/>
    <n v="105"/>
    <n v="314"/>
    <n v="7"/>
    <n v="1612"/>
    <n v="3.4599909403394705E-2"/>
    <x v="0"/>
  </r>
  <r>
    <x v="2448"/>
    <x v="2448"/>
    <x v="1"/>
    <x v="8"/>
    <x v="0"/>
    <x v="16"/>
    <n v="87760"/>
    <n v="26538"/>
    <n v="19376"/>
    <n v="534"/>
    <n v="71"/>
    <n v="68"/>
    <n v="82"/>
    <n v="406"/>
    <n v="3.8965730800990916E-2"/>
    <x v="1"/>
  </r>
  <r>
    <x v="2449"/>
    <x v="2449"/>
    <x v="2"/>
    <x v="19"/>
    <x v="5"/>
    <x v="15"/>
    <n v="201183"/>
    <n v="36101"/>
    <n v="30896"/>
    <n v="1130"/>
    <n v="68"/>
    <n v="118"/>
    <n v="14"/>
    <n v="938"/>
    <n v="4.3047643707923355E-2"/>
    <x v="1"/>
  </r>
  <r>
    <x v="2450"/>
    <x v="2450"/>
    <x v="0"/>
    <x v="0"/>
    <x v="2"/>
    <x v="10"/>
    <n v="267402"/>
    <n v="88347"/>
    <n v="79265"/>
    <n v="3149"/>
    <n v="269"/>
    <n v="271"/>
    <n v="198"/>
    <n v="2320"/>
    <n v="4.9038036964612376E-2"/>
    <x v="0"/>
  </r>
  <r>
    <x v="2451"/>
    <x v="2451"/>
    <x v="0"/>
    <x v="13"/>
    <x v="0"/>
    <x v="10"/>
    <n v="834637"/>
    <n v="519832"/>
    <n v="456143"/>
    <n v="10464"/>
    <n v="1516"/>
    <n v="704"/>
    <n v="1965"/>
    <n v="14126"/>
    <n v="3.2114928870990017E-2"/>
    <x v="0"/>
  </r>
  <r>
    <x v="2452"/>
    <x v="2452"/>
    <x v="3"/>
    <x v="4"/>
    <x v="3"/>
    <x v="4"/>
    <n v="706520"/>
    <n v="253274"/>
    <n v="209886"/>
    <n v="11962"/>
    <n v="758"/>
    <n v="1361"/>
    <n v="6"/>
    <n v="4474"/>
    <n v="6.7117387534185224E-2"/>
    <x v="1"/>
  </r>
  <r>
    <x v="2453"/>
    <x v="2453"/>
    <x v="4"/>
    <x v="12"/>
    <x v="5"/>
    <x v="12"/>
    <n v="109431"/>
    <n v="48465"/>
    <n v="40915"/>
    <n v="1116"/>
    <n v="38"/>
    <n v="69"/>
    <n v="139"/>
    <n v="1354"/>
    <n v="3.3288524990834657E-2"/>
    <x v="0"/>
  </r>
  <r>
    <x v="2454"/>
    <x v="2454"/>
    <x v="0"/>
    <x v="13"/>
    <x v="5"/>
    <x v="10"/>
    <n v="769743"/>
    <n v="136400"/>
    <n v="120169"/>
    <n v="3760"/>
    <n v="241"/>
    <n v="158"/>
    <n v="213"/>
    <n v="2662"/>
    <n v="3.638209521590427E-2"/>
    <x v="0"/>
  </r>
  <r>
    <x v="2455"/>
    <x v="2455"/>
    <x v="2"/>
    <x v="19"/>
    <x v="4"/>
    <x v="3"/>
    <n v="219764"/>
    <n v="122022"/>
    <n v="98301"/>
    <n v="9644"/>
    <n v="1699"/>
    <n v="897"/>
    <n v="28"/>
    <n v="4119"/>
    <n v="0.12480035808384451"/>
    <x v="0"/>
  </r>
  <r>
    <x v="2456"/>
    <x v="2456"/>
    <x v="4"/>
    <x v="20"/>
    <x v="4"/>
    <x v="17"/>
    <n v="149886"/>
    <n v="16611"/>
    <n v="13883"/>
    <n v="1139"/>
    <n v="69"/>
    <n v="32"/>
    <n v="81"/>
    <n v="198"/>
    <n v="9.5152344594107902E-2"/>
    <x v="2"/>
  </r>
  <r>
    <x v="2457"/>
    <x v="2457"/>
    <x v="3"/>
    <x v="18"/>
    <x v="1"/>
    <x v="9"/>
    <n v="569058"/>
    <n v="1991238"/>
    <n v="1825195"/>
    <n v="92115"/>
    <n v="12994"/>
    <n v="4612"/>
    <n v="7"/>
    <n v="15674"/>
    <n v="6.0118507885458812E-2"/>
    <x v="1"/>
  </r>
  <r>
    <x v="2458"/>
    <x v="2458"/>
    <x v="3"/>
    <x v="15"/>
    <x v="3"/>
    <x v="9"/>
    <n v="323572"/>
    <n v="83643"/>
    <n v="66639"/>
    <n v="4123"/>
    <n v="732"/>
    <n v="90"/>
    <n v="14"/>
    <n v="2722"/>
    <n v="7.4415882591275379E-2"/>
    <x v="0"/>
  </r>
  <r>
    <x v="2459"/>
    <x v="2459"/>
    <x v="1"/>
    <x v="24"/>
    <x v="1"/>
    <x v="6"/>
    <n v="702042"/>
    <n v="260716"/>
    <n v="214357"/>
    <n v="8017"/>
    <n v="1024"/>
    <n v="402"/>
    <n v="1992"/>
    <n v="1756"/>
    <n v="5.3345587034713121E-2"/>
    <x v="2"/>
  </r>
  <r>
    <x v="2460"/>
    <x v="2460"/>
    <x v="2"/>
    <x v="2"/>
    <x v="1"/>
    <x v="5"/>
    <n v="359656"/>
    <n v="179721"/>
    <n v="144170"/>
    <n v="14292"/>
    <n v="1342"/>
    <n v="833"/>
    <n v="20"/>
    <n v="5666"/>
    <n v="0.11435804952486647"/>
    <x v="1"/>
  </r>
  <r>
    <x v="2461"/>
    <x v="2461"/>
    <x v="2"/>
    <x v="19"/>
    <x v="3"/>
    <x v="2"/>
    <n v="438804"/>
    <n v="158517"/>
    <n v="142005"/>
    <n v="9810"/>
    <n v="607"/>
    <n v="1350"/>
    <n v="5"/>
    <n v="1267"/>
    <n v="8.2898489489806701E-2"/>
    <x v="1"/>
  </r>
  <r>
    <x v="2462"/>
    <x v="2462"/>
    <x v="4"/>
    <x v="10"/>
    <x v="1"/>
    <x v="11"/>
    <n v="355827"/>
    <n v="33650"/>
    <n v="27183"/>
    <n v="2139"/>
    <n v="334"/>
    <n v="113"/>
    <n v="131"/>
    <n v="660"/>
    <n v="9.9952175992348152E-2"/>
    <x v="1"/>
  </r>
  <r>
    <x v="2463"/>
    <x v="2463"/>
    <x v="2"/>
    <x v="2"/>
    <x v="4"/>
    <x v="5"/>
    <n v="31316"/>
    <n v="16977"/>
    <n v="12396"/>
    <n v="391"/>
    <n v="12"/>
    <n v="57"/>
    <n v="23"/>
    <n v="348"/>
    <n v="3.8964181994191674E-2"/>
    <x v="0"/>
  </r>
  <r>
    <x v="2464"/>
    <x v="2464"/>
    <x v="0"/>
    <x v="6"/>
    <x v="4"/>
    <x v="7"/>
    <n v="135646"/>
    <n v="54063"/>
    <n v="40744"/>
    <n v="2249"/>
    <n v="333"/>
    <n v="138"/>
    <n v="457"/>
    <n v="1803"/>
    <n v="7.7974671117219715E-2"/>
    <x v="1"/>
  </r>
  <r>
    <x v="2465"/>
    <x v="2465"/>
    <x v="0"/>
    <x v="0"/>
    <x v="3"/>
    <x v="7"/>
    <n v="657096"/>
    <n v="101028"/>
    <n v="80727"/>
    <n v="2983"/>
    <n v="491"/>
    <n v="342"/>
    <n v="519"/>
    <n v="1949"/>
    <n v="5.369950574157345E-2"/>
    <x v="1"/>
  </r>
  <r>
    <x v="2466"/>
    <x v="2466"/>
    <x v="0"/>
    <x v="23"/>
    <x v="2"/>
    <x v="10"/>
    <n v="106011"/>
    <n v="54013"/>
    <n v="49302"/>
    <n v="2423"/>
    <n v="385"/>
    <n v="343"/>
    <n v="483"/>
    <n v="720"/>
    <n v="7.3708977323435149E-2"/>
    <x v="0"/>
  </r>
  <r>
    <x v="2467"/>
    <x v="2467"/>
    <x v="3"/>
    <x v="11"/>
    <x v="4"/>
    <x v="4"/>
    <n v="278841"/>
    <n v="51782"/>
    <n v="39212"/>
    <n v="3914"/>
    <n v="490"/>
    <n v="538"/>
    <n v="23"/>
    <n v="1693"/>
    <n v="0.12661940222380905"/>
    <x v="1"/>
  </r>
  <r>
    <x v="2468"/>
    <x v="2468"/>
    <x v="4"/>
    <x v="21"/>
    <x v="0"/>
    <x v="12"/>
    <n v="125228"/>
    <n v="56128"/>
    <n v="43191"/>
    <n v="3602"/>
    <n v="475"/>
    <n v="88"/>
    <n v="886"/>
    <n v="401"/>
    <n v="0.11694565997545785"/>
    <x v="2"/>
  </r>
  <r>
    <x v="2469"/>
    <x v="2469"/>
    <x v="4"/>
    <x v="14"/>
    <x v="4"/>
    <x v="12"/>
    <n v="408926"/>
    <n v="37167"/>
    <n v="32909"/>
    <n v="2490"/>
    <n v="176"/>
    <n v="190"/>
    <n v="278"/>
    <n v="472"/>
    <n v="9.5232307271567049E-2"/>
    <x v="2"/>
  </r>
  <r>
    <x v="2470"/>
    <x v="2470"/>
    <x v="4"/>
    <x v="10"/>
    <x v="5"/>
    <x v="13"/>
    <n v="269750"/>
    <n v="60314"/>
    <n v="47328"/>
    <n v="4072"/>
    <n v="302"/>
    <n v="593"/>
    <n v="863"/>
    <n v="936"/>
    <n v="0.12318289384719405"/>
    <x v="0"/>
  </r>
  <r>
    <x v="2471"/>
    <x v="2471"/>
    <x v="3"/>
    <x v="18"/>
    <x v="0"/>
    <x v="4"/>
    <n v="418066"/>
    <n v="108808"/>
    <n v="77614"/>
    <n v="8483"/>
    <n v="929"/>
    <n v="937"/>
    <n v="38"/>
    <n v="1625"/>
    <n v="0.13382894838560053"/>
    <x v="0"/>
  </r>
  <r>
    <x v="2472"/>
    <x v="2472"/>
    <x v="4"/>
    <x v="20"/>
    <x v="5"/>
    <x v="17"/>
    <n v="716857"/>
    <n v="81815"/>
    <n v="59385"/>
    <n v="4415"/>
    <n v="530"/>
    <n v="265"/>
    <n v="316"/>
    <n v="2716"/>
    <n v="9.305380146501642E-2"/>
    <x v="0"/>
  </r>
  <r>
    <x v="2473"/>
    <x v="2473"/>
    <x v="0"/>
    <x v="22"/>
    <x v="4"/>
    <x v="7"/>
    <n v="719477"/>
    <n v="446911"/>
    <n v="397074"/>
    <n v="34965"/>
    <n v="4517"/>
    <n v="4690"/>
    <n v="7472"/>
    <n v="13404"/>
    <n v="0.1300613991346701"/>
    <x v="0"/>
  </r>
  <r>
    <x v="2474"/>
    <x v="2474"/>
    <x v="1"/>
    <x v="8"/>
    <x v="2"/>
    <x v="8"/>
    <n v="424028"/>
    <n v="73115"/>
    <n v="66677"/>
    <n v="1899"/>
    <n v="202"/>
    <n v="265"/>
    <n v="200"/>
    <n v="1667"/>
    <n v="3.8484034974578939E-2"/>
    <x v="0"/>
  </r>
  <r>
    <x v="2475"/>
    <x v="2475"/>
    <x v="1"/>
    <x v="24"/>
    <x v="4"/>
    <x v="1"/>
    <n v="90577"/>
    <n v="35241"/>
    <n v="28611"/>
    <n v="2338"/>
    <n v="374"/>
    <n v="306"/>
    <n v="488"/>
    <n v="1089"/>
    <n v="0.12254028170983189"/>
    <x v="1"/>
  </r>
  <r>
    <x v="2476"/>
    <x v="2476"/>
    <x v="0"/>
    <x v="6"/>
    <x v="4"/>
    <x v="10"/>
    <n v="747241"/>
    <n v="306083"/>
    <n v="262542"/>
    <n v="24103"/>
    <n v="1056"/>
    <n v="3174"/>
    <n v="5618"/>
    <n v="4279"/>
    <n v="0.12931645222478688"/>
    <x v="0"/>
  </r>
  <r>
    <x v="2477"/>
    <x v="2477"/>
    <x v="4"/>
    <x v="21"/>
    <x v="4"/>
    <x v="11"/>
    <n v="405665"/>
    <n v="208358"/>
    <n v="157542"/>
    <n v="9232"/>
    <n v="1498"/>
    <n v="1139"/>
    <n v="747"/>
    <n v="5722"/>
    <n v="8.00802325729012E-2"/>
    <x v="0"/>
  </r>
  <r>
    <x v="2478"/>
    <x v="2478"/>
    <x v="4"/>
    <x v="20"/>
    <x v="0"/>
    <x v="13"/>
    <n v="419096"/>
    <n v="194434"/>
    <n v="153986"/>
    <n v="6859"/>
    <n v="794"/>
    <n v="962"/>
    <n v="964"/>
    <n v="1236"/>
    <n v="6.2206953878924061E-2"/>
    <x v="0"/>
  </r>
  <r>
    <x v="2479"/>
    <x v="2479"/>
    <x v="3"/>
    <x v="11"/>
    <x v="1"/>
    <x v="4"/>
    <n v="131075"/>
    <n v="73743"/>
    <n v="58861"/>
    <n v="3428"/>
    <n v="517"/>
    <n v="261"/>
    <n v="44"/>
    <n v="2471"/>
    <n v="7.2204006048147334E-2"/>
    <x v="1"/>
  </r>
  <r>
    <x v="2480"/>
    <x v="2480"/>
    <x v="4"/>
    <x v="21"/>
    <x v="0"/>
    <x v="11"/>
    <n v="174132"/>
    <n v="39053"/>
    <n v="32293"/>
    <n v="2300"/>
    <n v="141"/>
    <n v="180"/>
    <n v="512"/>
    <n v="776"/>
    <n v="9.7017929582262408E-2"/>
    <x v="2"/>
  </r>
  <r>
    <x v="2481"/>
    <x v="2481"/>
    <x v="2"/>
    <x v="16"/>
    <x v="5"/>
    <x v="15"/>
    <n v="29928"/>
    <n v="16821"/>
    <n v="14489"/>
    <n v="550"/>
    <n v="90"/>
    <n v="53"/>
    <n v="42"/>
    <n v="500"/>
    <n v="5.0728138587894267E-2"/>
    <x v="0"/>
  </r>
  <r>
    <x v="2482"/>
    <x v="2482"/>
    <x v="0"/>
    <x v="6"/>
    <x v="3"/>
    <x v="7"/>
    <n v="118874"/>
    <n v="33593"/>
    <n v="29766"/>
    <n v="1615"/>
    <n v="272"/>
    <n v="60"/>
    <n v="198"/>
    <n v="1127"/>
    <n v="7.2062084257206213E-2"/>
    <x v="0"/>
  </r>
  <r>
    <x v="2483"/>
    <x v="2483"/>
    <x v="0"/>
    <x v="13"/>
    <x v="5"/>
    <x v="0"/>
    <n v="673483"/>
    <n v="292236"/>
    <n v="261017"/>
    <n v="11468"/>
    <n v="1741"/>
    <n v="426"/>
    <n v="1466"/>
    <n v="6983"/>
    <n v="5.7854469249129369E-2"/>
    <x v="0"/>
  </r>
  <r>
    <x v="2484"/>
    <x v="2484"/>
    <x v="0"/>
    <x v="23"/>
    <x v="4"/>
    <x v="7"/>
    <n v="746484"/>
    <n v="261148"/>
    <n v="221475"/>
    <n v="8521"/>
    <n v="1314"/>
    <n v="934"/>
    <n v="2081"/>
    <n v="1330"/>
    <n v="5.8020092561237163E-2"/>
    <x v="2"/>
  </r>
  <r>
    <x v="2485"/>
    <x v="2485"/>
    <x v="0"/>
    <x v="0"/>
    <x v="2"/>
    <x v="10"/>
    <n v="473643"/>
    <n v="288574"/>
    <n v="210302"/>
    <n v="16593"/>
    <n v="2228"/>
    <n v="640"/>
    <n v="2120"/>
    <n v="4273"/>
    <n v="0.10261909064107806"/>
    <x v="0"/>
  </r>
  <r>
    <x v="2486"/>
    <x v="2486"/>
    <x v="3"/>
    <x v="18"/>
    <x v="5"/>
    <x v="9"/>
    <n v="773602"/>
    <n v="495130"/>
    <n v="390498"/>
    <n v="16876"/>
    <n v="2848"/>
    <n v="2116"/>
    <n v="34"/>
    <n v="2937"/>
    <n v="5.6015651808716052E-2"/>
    <x v="1"/>
  </r>
  <r>
    <x v="2487"/>
    <x v="2487"/>
    <x v="0"/>
    <x v="23"/>
    <x v="1"/>
    <x v="0"/>
    <n v="675082"/>
    <n v="284910"/>
    <n v="249830"/>
    <n v="10578"/>
    <n v="1415"/>
    <n v="275"/>
    <n v="2560"/>
    <n v="6579"/>
    <n v="5.9352359604531078E-2"/>
    <x v="0"/>
  </r>
  <r>
    <x v="2488"/>
    <x v="2488"/>
    <x v="2"/>
    <x v="16"/>
    <x v="3"/>
    <x v="3"/>
    <n v="148846"/>
    <n v="20915"/>
    <n v="17236"/>
    <n v="499"/>
    <n v="23"/>
    <n v="22"/>
    <n v="43"/>
    <n v="373"/>
    <n v="3.4056625667208171E-2"/>
    <x v="0"/>
  </r>
  <r>
    <x v="2489"/>
    <x v="2489"/>
    <x v="1"/>
    <x v="24"/>
    <x v="1"/>
    <x v="16"/>
    <n v="363491"/>
    <n v="1180214"/>
    <n v="916684"/>
    <n v="67016"/>
    <n v="7339"/>
    <n v="5525"/>
    <n v="10181"/>
    <n v="13271"/>
    <n v="9.8246505884252364E-2"/>
    <x v="0"/>
  </r>
  <r>
    <x v="2490"/>
    <x v="2490"/>
    <x v="1"/>
    <x v="8"/>
    <x v="4"/>
    <x v="1"/>
    <n v="775258"/>
    <n v="124513"/>
    <n v="100316"/>
    <n v="4221"/>
    <n v="652"/>
    <n v="321"/>
    <n v="937"/>
    <n v="1278"/>
    <n v="6.1116870688623946E-2"/>
    <x v="1"/>
  </r>
  <r>
    <x v="2491"/>
    <x v="2491"/>
    <x v="4"/>
    <x v="10"/>
    <x v="4"/>
    <x v="13"/>
    <n v="707919"/>
    <n v="198855"/>
    <n v="166023"/>
    <n v="5384"/>
    <n v="722"/>
    <n v="508"/>
    <n v="592"/>
    <n v="6369"/>
    <n v="4.3403624798973639E-2"/>
    <x v="0"/>
  </r>
  <r>
    <x v="2492"/>
    <x v="2492"/>
    <x v="3"/>
    <x v="9"/>
    <x v="1"/>
    <x v="9"/>
    <n v="278451"/>
    <n v="78974"/>
    <n v="56947"/>
    <n v="1968"/>
    <n v="101"/>
    <n v="246"/>
    <n v="14"/>
    <n v="1728"/>
    <n v="4.0897676787188086E-2"/>
    <x v="2"/>
  </r>
  <r>
    <x v="2493"/>
    <x v="2493"/>
    <x v="2"/>
    <x v="16"/>
    <x v="4"/>
    <x v="3"/>
    <n v="164172"/>
    <n v="101793"/>
    <n v="89777"/>
    <n v="5441"/>
    <n v="332"/>
    <n v="449"/>
    <n v="43"/>
    <n v="2786"/>
    <n v="6.9784020406117378E-2"/>
    <x v="2"/>
  </r>
  <r>
    <x v="2494"/>
    <x v="2494"/>
    <x v="0"/>
    <x v="6"/>
    <x v="0"/>
    <x v="7"/>
    <n v="756956"/>
    <n v="192796"/>
    <n v="161675"/>
    <n v="7609"/>
    <n v="1067"/>
    <n v="161"/>
    <n v="1873"/>
    <n v="2001"/>
    <n v="6.6244008040822644E-2"/>
    <x v="0"/>
  </r>
  <r>
    <x v="2495"/>
    <x v="2495"/>
    <x v="4"/>
    <x v="20"/>
    <x v="1"/>
    <x v="17"/>
    <n v="80744"/>
    <n v="22924"/>
    <n v="17824"/>
    <n v="675"/>
    <n v="65"/>
    <n v="66"/>
    <n v="71"/>
    <n v="693"/>
    <n v="4.9203321364452421E-2"/>
    <x v="1"/>
  </r>
  <r>
    <x v="2496"/>
    <x v="2496"/>
    <x v="2"/>
    <x v="5"/>
    <x v="3"/>
    <x v="2"/>
    <n v="801825"/>
    <n v="333426"/>
    <n v="287225"/>
    <n v="24267"/>
    <n v="2644"/>
    <n v="3110"/>
    <n v="38"/>
    <n v="2459"/>
    <n v="0.10465314648794499"/>
    <x v="0"/>
  </r>
  <r>
    <x v="2497"/>
    <x v="2497"/>
    <x v="3"/>
    <x v="9"/>
    <x v="3"/>
    <x v="4"/>
    <n v="524547"/>
    <n v="156642"/>
    <n v="112525"/>
    <n v="5901"/>
    <n v="569"/>
    <n v="658"/>
    <n v="50"/>
    <n v="1560"/>
    <n v="6.379026882914908E-2"/>
    <x v="0"/>
  </r>
  <r>
    <x v="2498"/>
    <x v="2498"/>
    <x v="0"/>
    <x v="22"/>
    <x v="4"/>
    <x v="7"/>
    <n v="512188"/>
    <n v="235330"/>
    <n v="172016"/>
    <n v="8740"/>
    <n v="608"/>
    <n v="975"/>
    <n v="450"/>
    <n v="6864"/>
    <n v="6.2627895079527485E-2"/>
    <x v="0"/>
  </r>
  <r>
    <x v="2499"/>
    <x v="2499"/>
    <x v="0"/>
    <x v="0"/>
    <x v="4"/>
    <x v="0"/>
    <n v="481060"/>
    <n v="292369"/>
    <n v="228097"/>
    <n v="15129"/>
    <n v="680"/>
    <n v="1522"/>
    <n v="1428"/>
    <n v="4598"/>
    <n v="8.2241327154675428E-2"/>
    <x v="0"/>
  </r>
  <r>
    <x v="2500"/>
    <x v="2500"/>
    <x v="4"/>
    <x v="10"/>
    <x v="2"/>
    <x v="12"/>
    <n v="756715"/>
    <n v="190859"/>
    <n v="152199"/>
    <n v="6396"/>
    <n v="1031"/>
    <n v="803"/>
    <n v="930"/>
    <n v="4930"/>
    <n v="6.0184363892009804E-2"/>
    <x v="1"/>
  </r>
  <r>
    <x v="2501"/>
    <x v="2501"/>
    <x v="2"/>
    <x v="3"/>
    <x v="1"/>
    <x v="5"/>
    <n v="99257"/>
    <n v="33457"/>
    <n v="30424"/>
    <n v="2278"/>
    <n v="409"/>
    <n v="47"/>
    <n v="6"/>
    <n v="875"/>
    <n v="9.0060478569550351E-2"/>
    <x v="1"/>
  </r>
  <r>
    <x v="2502"/>
    <x v="2502"/>
    <x v="1"/>
    <x v="8"/>
    <x v="1"/>
    <x v="8"/>
    <n v="666896"/>
    <n v="85064"/>
    <n v="61373"/>
    <n v="6198"/>
    <n v="455"/>
    <n v="262"/>
    <n v="503"/>
    <n v="2535"/>
    <n v="0.12086748244341974"/>
    <x v="2"/>
  </r>
  <r>
    <x v="2503"/>
    <x v="2503"/>
    <x v="1"/>
    <x v="24"/>
    <x v="2"/>
    <x v="6"/>
    <n v="438632"/>
    <n v="166155"/>
    <n v="126175"/>
    <n v="10226"/>
    <n v="960"/>
    <n v="740"/>
    <n v="861"/>
    <n v="4072"/>
    <n v="0.10134337230037646"/>
    <x v="1"/>
  </r>
  <r>
    <x v="2504"/>
    <x v="2504"/>
    <x v="4"/>
    <x v="14"/>
    <x v="3"/>
    <x v="12"/>
    <n v="69760"/>
    <n v="33861"/>
    <n v="31106"/>
    <n v="743"/>
    <n v="56"/>
    <n v="19"/>
    <n v="170"/>
    <n v="927"/>
    <n v="3.1762360959300455E-2"/>
    <x v="2"/>
  </r>
  <r>
    <x v="2505"/>
    <x v="2505"/>
    <x v="3"/>
    <x v="9"/>
    <x v="2"/>
    <x v="9"/>
    <n v="507828"/>
    <n v="266539"/>
    <n v="238688"/>
    <n v="19122"/>
    <n v="2858"/>
    <n v="2821"/>
    <n v="31"/>
    <n v="9302"/>
    <n v="0.10403539348438129"/>
    <x v="1"/>
  </r>
  <r>
    <x v="2506"/>
    <x v="2506"/>
    <x v="0"/>
    <x v="13"/>
    <x v="5"/>
    <x v="7"/>
    <n v="159439"/>
    <n v="44557"/>
    <n v="32847"/>
    <n v="1718"/>
    <n v="274"/>
    <n v="203"/>
    <n v="218"/>
    <n v="1394"/>
    <n v="7.3461807775443727E-2"/>
    <x v="1"/>
  </r>
  <r>
    <x v="2507"/>
    <x v="2507"/>
    <x v="4"/>
    <x v="20"/>
    <x v="5"/>
    <x v="11"/>
    <n v="113537"/>
    <n v="19396"/>
    <n v="15706"/>
    <n v="1311"/>
    <n v="98"/>
    <n v="121"/>
    <n v="272"/>
    <n v="319"/>
    <n v="0.11473322297211257"/>
    <x v="0"/>
  </r>
  <r>
    <x v="2508"/>
    <x v="2508"/>
    <x v="2"/>
    <x v="3"/>
    <x v="5"/>
    <x v="2"/>
    <n v="46580"/>
    <n v="14386"/>
    <n v="11805"/>
    <n v="1021"/>
    <n v="80"/>
    <n v="26"/>
    <n v="17"/>
    <n v="388"/>
    <n v="9.6908089792460822E-2"/>
    <x v="0"/>
  </r>
  <r>
    <x v="2509"/>
    <x v="2509"/>
    <x v="3"/>
    <x v="15"/>
    <x v="0"/>
    <x v="14"/>
    <n v="426548"/>
    <n v="187092"/>
    <n v="153142"/>
    <n v="11599"/>
    <n v="1823"/>
    <n v="329"/>
    <n v="7"/>
    <n v="2211"/>
    <n v="8.9838189392851084E-2"/>
    <x v="1"/>
  </r>
  <r>
    <x v="2510"/>
    <x v="2510"/>
    <x v="1"/>
    <x v="1"/>
    <x v="1"/>
    <x v="1"/>
    <n v="649915"/>
    <n v="216564"/>
    <n v="158406"/>
    <n v="5146"/>
    <n v="714"/>
    <n v="547"/>
    <n v="377"/>
    <n v="2056"/>
    <n v="4.2826660606290166E-2"/>
    <x v="2"/>
  </r>
  <r>
    <x v="2511"/>
    <x v="2511"/>
    <x v="3"/>
    <x v="11"/>
    <x v="3"/>
    <x v="14"/>
    <n v="13625"/>
    <n v="5243"/>
    <n v="3923"/>
    <n v="218"/>
    <n v="21"/>
    <n v="23"/>
    <n v="14"/>
    <n v="119"/>
    <n v="7.0354320672954371E-2"/>
    <x v="1"/>
  </r>
  <r>
    <x v="2512"/>
    <x v="2512"/>
    <x v="4"/>
    <x v="10"/>
    <x v="5"/>
    <x v="11"/>
    <n v="129900"/>
    <n v="68399"/>
    <n v="48447"/>
    <n v="4636"/>
    <n v="439"/>
    <n v="141"/>
    <n v="1002"/>
    <n v="1280"/>
    <n v="0.12834644044006852"/>
    <x v="1"/>
  </r>
  <r>
    <x v="2513"/>
    <x v="2513"/>
    <x v="4"/>
    <x v="10"/>
    <x v="3"/>
    <x v="13"/>
    <n v="582988"/>
    <n v="215084"/>
    <n v="167715"/>
    <n v="9938"/>
    <n v="1087"/>
    <n v="751"/>
    <n v="1457"/>
    <n v="6231"/>
    <n v="7.8901708255075573E-2"/>
    <x v="0"/>
  </r>
  <r>
    <x v="2514"/>
    <x v="2514"/>
    <x v="3"/>
    <x v="4"/>
    <x v="0"/>
    <x v="14"/>
    <n v="799127"/>
    <n v="330943"/>
    <n v="250513"/>
    <n v="6830"/>
    <n v="855"/>
    <n v="842"/>
    <n v="7"/>
    <n v="5252"/>
    <n v="3.4066096370248253E-2"/>
    <x v="0"/>
  </r>
  <r>
    <x v="2515"/>
    <x v="2515"/>
    <x v="2"/>
    <x v="2"/>
    <x v="0"/>
    <x v="5"/>
    <n v="445863"/>
    <n v="153557"/>
    <n v="134014"/>
    <n v="3572"/>
    <n v="387"/>
    <n v="339"/>
    <n v="10"/>
    <n v="3932"/>
    <n v="3.2145895204978583E-2"/>
    <x v="0"/>
  </r>
  <r>
    <x v="2516"/>
    <x v="2516"/>
    <x v="0"/>
    <x v="6"/>
    <x v="4"/>
    <x v="7"/>
    <n v="622100"/>
    <n v="238911"/>
    <n v="168775"/>
    <n v="7306"/>
    <n v="1067"/>
    <n v="471"/>
    <n v="957"/>
    <n v="2119"/>
    <n v="5.8071396830099244E-2"/>
    <x v="0"/>
  </r>
  <r>
    <x v="2517"/>
    <x v="2517"/>
    <x v="3"/>
    <x v="18"/>
    <x v="2"/>
    <x v="9"/>
    <n v="377550"/>
    <n v="171846"/>
    <n v="122933"/>
    <n v="7596"/>
    <n v="967"/>
    <n v="860"/>
    <n v="47"/>
    <n v="4229"/>
    <n v="7.703383143663621E-2"/>
    <x v="1"/>
  </r>
  <r>
    <x v="2518"/>
    <x v="2518"/>
    <x v="0"/>
    <x v="23"/>
    <x v="1"/>
    <x v="7"/>
    <n v="655498"/>
    <n v="98490"/>
    <n v="88422"/>
    <n v="6421"/>
    <n v="612"/>
    <n v="473"/>
    <n v="1582"/>
    <n v="1691"/>
    <n v="0.1027798511682613"/>
    <x v="1"/>
  </r>
  <r>
    <x v="2519"/>
    <x v="2519"/>
    <x v="1"/>
    <x v="1"/>
    <x v="2"/>
    <x v="16"/>
    <n v="820964"/>
    <n v="524650"/>
    <n v="426516"/>
    <n v="16411"/>
    <n v="847"/>
    <n v="457"/>
    <n v="1306"/>
    <n v="7757"/>
    <n v="4.4596216789053636E-2"/>
    <x v="0"/>
  </r>
  <r>
    <x v="2520"/>
    <x v="2520"/>
    <x v="2"/>
    <x v="2"/>
    <x v="5"/>
    <x v="15"/>
    <n v="644786"/>
    <n v="345883"/>
    <n v="304468"/>
    <n v="23984"/>
    <n v="3978"/>
    <n v="3167"/>
    <n v="31"/>
    <n v="11186"/>
    <n v="0.10234244649684039"/>
    <x v="1"/>
  </r>
  <r>
    <x v="2521"/>
    <x v="2521"/>
    <x v="0"/>
    <x v="22"/>
    <x v="2"/>
    <x v="0"/>
    <n v="673297"/>
    <n v="2190096"/>
    <n v="1674179"/>
    <n v="81541"/>
    <n v="14189"/>
    <n v="11831"/>
    <n v="17965"/>
    <n v="60572"/>
    <n v="7.4977645759503608E-2"/>
    <x v="1"/>
  </r>
  <r>
    <x v="2522"/>
    <x v="2522"/>
    <x v="0"/>
    <x v="6"/>
    <x v="2"/>
    <x v="0"/>
    <n v="738141"/>
    <n v="411018"/>
    <n v="325156"/>
    <n v="25703"/>
    <n v="3119"/>
    <n v="3362"/>
    <n v="4517"/>
    <n v="12999"/>
    <n v="0.1128719752980108"/>
    <x v="0"/>
  </r>
  <r>
    <x v="2523"/>
    <x v="2523"/>
    <x v="0"/>
    <x v="13"/>
    <x v="2"/>
    <x v="7"/>
    <n v="298883"/>
    <n v="127934"/>
    <n v="107438"/>
    <n v="9829"/>
    <n v="1397"/>
    <n v="1246"/>
    <n v="604"/>
    <n v="2443"/>
    <n v="0.12170740333960052"/>
    <x v="0"/>
  </r>
  <r>
    <x v="2524"/>
    <x v="2524"/>
    <x v="1"/>
    <x v="1"/>
    <x v="3"/>
    <x v="1"/>
    <n v="388720"/>
    <n v="72768"/>
    <n v="66050"/>
    <n v="1663"/>
    <n v="279"/>
    <n v="205"/>
    <n v="381"/>
    <n v="622"/>
    <n v="3.8274034822104466E-2"/>
    <x v="1"/>
  </r>
  <r>
    <x v="2525"/>
    <x v="2525"/>
    <x v="2"/>
    <x v="5"/>
    <x v="1"/>
    <x v="15"/>
    <n v="570764"/>
    <n v="203356"/>
    <n v="159475"/>
    <n v="10296"/>
    <n v="1083"/>
    <n v="1255"/>
    <n v="28"/>
    <n v="2016"/>
    <n v="7.9398024768772529E-2"/>
    <x v="0"/>
  </r>
  <r>
    <x v="2526"/>
    <x v="2526"/>
    <x v="1"/>
    <x v="7"/>
    <x v="5"/>
    <x v="6"/>
    <n v="337627"/>
    <n v="199898"/>
    <n v="148219"/>
    <n v="5881"/>
    <n v="589"/>
    <n v="187"/>
    <n v="808"/>
    <n v="4058"/>
    <n v="5.0364663099872489E-2"/>
    <x v="1"/>
  </r>
  <r>
    <x v="2527"/>
    <x v="2527"/>
    <x v="0"/>
    <x v="22"/>
    <x v="0"/>
    <x v="10"/>
    <n v="784920"/>
    <n v="455274"/>
    <n v="345457"/>
    <n v="23115"/>
    <n v="1937"/>
    <n v="740"/>
    <n v="2494"/>
    <n v="4013"/>
    <n v="8.1879944537236182E-2"/>
    <x v="2"/>
  </r>
  <r>
    <x v="2528"/>
    <x v="2528"/>
    <x v="4"/>
    <x v="14"/>
    <x v="4"/>
    <x v="11"/>
    <n v="73536"/>
    <n v="30213"/>
    <n v="22586"/>
    <n v="2003"/>
    <n v="202"/>
    <n v="222"/>
    <n v="158"/>
    <n v="852"/>
    <n v="0.11445143008943594"/>
    <x v="0"/>
  </r>
  <r>
    <x v="2529"/>
    <x v="2529"/>
    <x v="1"/>
    <x v="7"/>
    <x v="3"/>
    <x v="16"/>
    <n v="46584"/>
    <n v="7732"/>
    <n v="5715"/>
    <n v="249"/>
    <n v="9"/>
    <n v="36"/>
    <n v="30"/>
    <n v="84"/>
    <n v="5.6692913385826771E-2"/>
    <x v="1"/>
  </r>
  <r>
    <x v="2530"/>
    <x v="2530"/>
    <x v="4"/>
    <x v="12"/>
    <x v="3"/>
    <x v="17"/>
    <n v="641862"/>
    <n v="276591"/>
    <n v="232872"/>
    <n v="14413"/>
    <n v="2192"/>
    <n v="1351"/>
    <n v="3296"/>
    <n v="4613"/>
    <n v="9.1260434917035962E-2"/>
    <x v="0"/>
  </r>
  <r>
    <x v="2531"/>
    <x v="2531"/>
    <x v="2"/>
    <x v="3"/>
    <x v="4"/>
    <x v="5"/>
    <n v="90620"/>
    <n v="53795"/>
    <n v="45857"/>
    <n v="3000"/>
    <n v="446"/>
    <n v="205"/>
    <n v="26"/>
    <n v="1159"/>
    <n v="8.0184050417602543E-2"/>
    <x v="0"/>
  </r>
  <r>
    <x v="2532"/>
    <x v="2532"/>
    <x v="4"/>
    <x v="14"/>
    <x v="3"/>
    <x v="17"/>
    <n v="830637"/>
    <n v="529870"/>
    <n v="423103"/>
    <n v="28101"/>
    <n v="2861"/>
    <n v="2062"/>
    <n v="2687"/>
    <n v="18159"/>
    <n v="8.4402615911492007E-2"/>
    <x v="1"/>
  </r>
  <r>
    <x v="2533"/>
    <x v="2533"/>
    <x v="1"/>
    <x v="8"/>
    <x v="0"/>
    <x v="16"/>
    <n v="727592"/>
    <n v="320047"/>
    <n v="231330"/>
    <n v="17346"/>
    <n v="530"/>
    <n v="674"/>
    <n v="961"/>
    <n v="8573"/>
    <n v="8.4342713871957811E-2"/>
    <x v="1"/>
  </r>
  <r>
    <x v="2534"/>
    <x v="2534"/>
    <x v="4"/>
    <x v="14"/>
    <x v="0"/>
    <x v="13"/>
    <n v="400470"/>
    <n v="101251"/>
    <n v="88958"/>
    <n v="5987"/>
    <n v="528"/>
    <n v="694"/>
    <n v="855"/>
    <n v="1954"/>
    <n v="9.0649519998201394E-2"/>
    <x v="0"/>
  </r>
  <r>
    <x v="2535"/>
    <x v="2535"/>
    <x v="3"/>
    <x v="11"/>
    <x v="5"/>
    <x v="9"/>
    <n v="511616"/>
    <n v="57809"/>
    <n v="50318"/>
    <n v="4541"/>
    <n v="236"/>
    <n v="202"/>
    <n v="2"/>
    <n v="1267"/>
    <n v="9.8990420922930158E-2"/>
    <x v="0"/>
  </r>
  <r>
    <x v="2536"/>
    <x v="2536"/>
    <x v="0"/>
    <x v="6"/>
    <x v="3"/>
    <x v="0"/>
    <n v="664051"/>
    <n v="190120"/>
    <n v="162044"/>
    <n v="8321"/>
    <n v="379"/>
    <n v="775"/>
    <n v="1514"/>
    <n v="5948"/>
    <n v="6.7814914467675444E-2"/>
    <x v="1"/>
  </r>
  <r>
    <x v="2537"/>
    <x v="2537"/>
    <x v="2"/>
    <x v="16"/>
    <x v="1"/>
    <x v="5"/>
    <n v="532540"/>
    <n v="63250"/>
    <n v="51850"/>
    <n v="3443"/>
    <n v="109"/>
    <n v="238"/>
    <n v="25"/>
    <n v="1935"/>
    <n v="7.357762777242044E-2"/>
    <x v="0"/>
  </r>
  <r>
    <x v="2538"/>
    <x v="2538"/>
    <x v="1"/>
    <x v="1"/>
    <x v="1"/>
    <x v="6"/>
    <n v="329213"/>
    <n v="57005"/>
    <n v="46729"/>
    <n v="2050"/>
    <n v="160"/>
    <n v="288"/>
    <n v="275"/>
    <n v="1612"/>
    <n v="5.9342164394701365E-2"/>
    <x v="1"/>
  </r>
  <r>
    <x v="2539"/>
    <x v="2539"/>
    <x v="0"/>
    <x v="22"/>
    <x v="4"/>
    <x v="10"/>
    <n v="641758"/>
    <n v="414729"/>
    <n v="291075"/>
    <n v="11363"/>
    <n v="1291"/>
    <n v="1011"/>
    <n v="1169"/>
    <n v="11092"/>
    <n v="5.0962810272266595E-2"/>
    <x v="1"/>
  </r>
  <r>
    <x v="2540"/>
    <x v="2540"/>
    <x v="0"/>
    <x v="23"/>
    <x v="1"/>
    <x v="7"/>
    <n v="580244"/>
    <n v="358677"/>
    <n v="325682"/>
    <n v="26485"/>
    <n v="2915"/>
    <n v="1192"/>
    <n v="3530"/>
    <n v="10357"/>
    <n v="0.1047709115026314"/>
    <x v="0"/>
  </r>
  <r>
    <x v="2541"/>
    <x v="2541"/>
    <x v="1"/>
    <x v="1"/>
    <x v="2"/>
    <x v="16"/>
    <n v="107314"/>
    <n v="49566"/>
    <n v="42195"/>
    <n v="2247"/>
    <n v="209"/>
    <n v="257"/>
    <n v="246"/>
    <n v="723"/>
    <n v="7.0126792273966107E-2"/>
    <x v="1"/>
  </r>
  <r>
    <x v="2542"/>
    <x v="2542"/>
    <x v="0"/>
    <x v="0"/>
    <x v="4"/>
    <x v="0"/>
    <n v="559508"/>
    <n v="222010"/>
    <n v="165744"/>
    <n v="11420"/>
    <n v="1922"/>
    <n v="1182"/>
    <n v="1334"/>
    <n v="7250"/>
    <n v="9.5677671589921812E-2"/>
    <x v="0"/>
  </r>
  <r>
    <x v="2543"/>
    <x v="2543"/>
    <x v="3"/>
    <x v="18"/>
    <x v="3"/>
    <x v="9"/>
    <n v="303788"/>
    <n v="38206"/>
    <n v="34768"/>
    <n v="1879"/>
    <n v="324"/>
    <n v="61"/>
    <n v="40"/>
    <n v="1032"/>
    <n v="6.6267832489645656E-2"/>
    <x v="0"/>
  </r>
  <r>
    <x v="2544"/>
    <x v="2544"/>
    <x v="4"/>
    <x v="20"/>
    <x v="4"/>
    <x v="11"/>
    <n v="409030"/>
    <n v="95695"/>
    <n v="79666"/>
    <n v="7457"/>
    <n v="505"/>
    <n v="339"/>
    <n v="538"/>
    <n v="3280"/>
    <n v="0.11095071925288078"/>
    <x v="0"/>
  </r>
  <r>
    <x v="2545"/>
    <x v="2545"/>
    <x v="0"/>
    <x v="13"/>
    <x v="3"/>
    <x v="7"/>
    <n v="458316"/>
    <n v="174567"/>
    <n v="122735"/>
    <n v="13027"/>
    <n v="1408"/>
    <n v="1471"/>
    <n v="1696"/>
    <n v="5569"/>
    <n v="0.14341467389090318"/>
    <x v="1"/>
  </r>
  <r>
    <x v="2546"/>
    <x v="2546"/>
    <x v="2"/>
    <x v="16"/>
    <x v="0"/>
    <x v="15"/>
    <n v="631539"/>
    <n v="225392"/>
    <n v="173473"/>
    <n v="10288"/>
    <n v="1282"/>
    <n v="628"/>
    <n v="21"/>
    <n v="5616"/>
    <n v="7.0437474419650314E-2"/>
    <x v="0"/>
  </r>
  <r>
    <x v="2547"/>
    <x v="2547"/>
    <x v="2"/>
    <x v="16"/>
    <x v="3"/>
    <x v="5"/>
    <n v="642270"/>
    <n v="273637"/>
    <n v="201299"/>
    <n v="21606"/>
    <n v="2009"/>
    <n v="2162"/>
    <n v="2"/>
    <n v="4926"/>
    <n v="0.12806322932553069"/>
    <x v="0"/>
  </r>
  <r>
    <x v="2548"/>
    <x v="2548"/>
    <x v="3"/>
    <x v="4"/>
    <x v="3"/>
    <x v="14"/>
    <n v="247220"/>
    <n v="114320"/>
    <n v="85522"/>
    <n v="3909"/>
    <n v="196"/>
    <n v="181"/>
    <n v="34"/>
    <n v="2857"/>
    <n v="5.051331821051893E-2"/>
    <x v="1"/>
  </r>
  <r>
    <x v="2549"/>
    <x v="2549"/>
    <x v="0"/>
    <x v="6"/>
    <x v="4"/>
    <x v="10"/>
    <n v="778069"/>
    <n v="311934"/>
    <n v="285809"/>
    <n v="7369"/>
    <n v="619"/>
    <n v="504"/>
    <n v="764"/>
    <n v="6750"/>
    <n v="3.238526428488956E-2"/>
    <x v="0"/>
  </r>
  <r>
    <x v="2550"/>
    <x v="2550"/>
    <x v="4"/>
    <x v="14"/>
    <x v="1"/>
    <x v="17"/>
    <n v="432855"/>
    <n v="91823"/>
    <n v="64358"/>
    <n v="4033"/>
    <n v="152"/>
    <n v="121"/>
    <n v="864"/>
    <n v="1595"/>
    <n v="8.033189347089717E-2"/>
    <x v="0"/>
  </r>
  <r>
    <x v="2551"/>
    <x v="2551"/>
    <x v="3"/>
    <x v="9"/>
    <x v="2"/>
    <x v="4"/>
    <n v="636750"/>
    <n v="256573"/>
    <n v="179959"/>
    <n v="14326"/>
    <n v="1353"/>
    <n v="948"/>
    <n v="42"/>
    <n v="5846"/>
    <n v="9.2626653848932261E-2"/>
    <x v="0"/>
  </r>
  <r>
    <x v="2552"/>
    <x v="2552"/>
    <x v="1"/>
    <x v="17"/>
    <x v="2"/>
    <x v="6"/>
    <n v="500123"/>
    <n v="287817"/>
    <n v="209722"/>
    <n v="18452"/>
    <n v="1912"/>
    <n v="1084"/>
    <n v="3725"/>
    <n v="7404"/>
    <n v="0.12003032585994793"/>
    <x v="1"/>
  </r>
  <r>
    <x v="2553"/>
    <x v="2553"/>
    <x v="1"/>
    <x v="24"/>
    <x v="4"/>
    <x v="8"/>
    <n v="722366"/>
    <n v="139111"/>
    <n v="121057"/>
    <n v="4437"/>
    <n v="205"/>
    <n v="660"/>
    <n v="553"/>
    <n v="3926"/>
    <n v="4.8365645935385809E-2"/>
    <x v="0"/>
  </r>
  <r>
    <x v="2554"/>
    <x v="2554"/>
    <x v="2"/>
    <x v="19"/>
    <x v="4"/>
    <x v="2"/>
    <n v="789988"/>
    <n v="452491"/>
    <n v="365988"/>
    <n v="14843"/>
    <n v="2477"/>
    <n v="298"/>
    <n v="9"/>
    <n v="7116"/>
    <n v="4.8162781293375742E-2"/>
    <x v="2"/>
  </r>
  <r>
    <x v="2555"/>
    <x v="2555"/>
    <x v="2"/>
    <x v="16"/>
    <x v="5"/>
    <x v="5"/>
    <n v="327675"/>
    <n v="146937"/>
    <n v="124561"/>
    <n v="5922"/>
    <n v="992"/>
    <n v="637"/>
    <n v="22"/>
    <n v="1003"/>
    <n v="6.0797520893377539E-2"/>
    <x v="0"/>
  </r>
  <r>
    <x v="2556"/>
    <x v="2556"/>
    <x v="2"/>
    <x v="3"/>
    <x v="2"/>
    <x v="15"/>
    <n v="433726"/>
    <n v="1642761"/>
    <n v="1357023"/>
    <n v="67585"/>
    <n v="9296"/>
    <n v="9982"/>
    <n v="35"/>
    <n v="34702"/>
    <n v="6.4035760631912644E-2"/>
    <x v="0"/>
  </r>
  <r>
    <x v="2557"/>
    <x v="2557"/>
    <x v="3"/>
    <x v="9"/>
    <x v="5"/>
    <x v="14"/>
    <n v="777162"/>
    <n v="177494"/>
    <n v="150529"/>
    <n v="12938"/>
    <n v="705"/>
    <n v="1586"/>
    <n v="33"/>
    <n v="4815"/>
    <n v="0.10138910110344186"/>
    <x v="1"/>
  </r>
  <r>
    <x v="2558"/>
    <x v="2558"/>
    <x v="4"/>
    <x v="20"/>
    <x v="5"/>
    <x v="17"/>
    <n v="23964"/>
    <n v="5278"/>
    <n v="4394"/>
    <n v="262"/>
    <n v="35"/>
    <n v="15"/>
    <n v="53"/>
    <n v="62"/>
    <n v="8.3067819754210293E-2"/>
    <x v="1"/>
  </r>
  <r>
    <x v="2559"/>
    <x v="2559"/>
    <x v="0"/>
    <x v="6"/>
    <x v="1"/>
    <x v="7"/>
    <n v="525620"/>
    <n v="261197"/>
    <n v="185928"/>
    <n v="20850"/>
    <n v="3434"/>
    <n v="2973"/>
    <n v="1582"/>
    <n v="6291"/>
    <n v="0.15510842906931716"/>
    <x v="1"/>
  </r>
  <r>
    <x v="2560"/>
    <x v="2560"/>
    <x v="2"/>
    <x v="5"/>
    <x v="4"/>
    <x v="5"/>
    <n v="696129"/>
    <n v="96470"/>
    <n v="67744"/>
    <n v="4538"/>
    <n v="747"/>
    <n v="479"/>
    <n v="4"/>
    <n v="545"/>
    <n v="8.5144071799716586E-2"/>
    <x v="0"/>
  </r>
  <r>
    <x v="2561"/>
    <x v="2561"/>
    <x v="1"/>
    <x v="7"/>
    <x v="1"/>
    <x v="16"/>
    <n v="609562"/>
    <n v="71706"/>
    <n v="54290"/>
    <n v="1955"/>
    <n v="206"/>
    <n v="146"/>
    <n v="295"/>
    <n v="2424"/>
    <n v="4.7927795174065202E-2"/>
    <x v="0"/>
  </r>
  <r>
    <x v="2562"/>
    <x v="2562"/>
    <x v="1"/>
    <x v="24"/>
    <x v="1"/>
    <x v="6"/>
    <n v="4350"/>
    <n v="1249"/>
    <n v="1031"/>
    <n v="31"/>
    <n v="4"/>
    <n v="3"/>
    <n v="6"/>
    <n v="14"/>
    <n v="4.2677012609117361E-2"/>
    <x v="1"/>
  </r>
  <r>
    <x v="2563"/>
    <x v="2563"/>
    <x v="1"/>
    <x v="8"/>
    <x v="5"/>
    <x v="16"/>
    <n v="280622"/>
    <n v="137092"/>
    <n v="116828"/>
    <n v="6970"/>
    <n v="230"/>
    <n v="912"/>
    <n v="650"/>
    <n v="4551"/>
    <n v="7.4999144040812135E-2"/>
    <x v="0"/>
  </r>
  <r>
    <x v="2564"/>
    <x v="2564"/>
    <x v="1"/>
    <x v="24"/>
    <x v="3"/>
    <x v="1"/>
    <n v="344489"/>
    <n v="173341"/>
    <n v="159352"/>
    <n v="11040"/>
    <n v="535"/>
    <n v="971"/>
    <n v="713"/>
    <n v="1390"/>
    <n v="8.3205733219539127E-2"/>
    <x v="0"/>
  </r>
  <r>
    <x v="2565"/>
    <x v="2565"/>
    <x v="4"/>
    <x v="21"/>
    <x v="2"/>
    <x v="11"/>
    <n v="270964"/>
    <n v="98251"/>
    <n v="79696"/>
    <n v="3246"/>
    <n v="323"/>
    <n v="474"/>
    <n v="195"/>
    <n v="662"/>
    <n v="5.3177072876932345E-2"/>
    <x v="1"/>
  </r>
  <r>
    <x v="2566"/>
    <x v="2566"/>
    <x v="4"/>
    <x v="20"/>
    <x v="0"/>
    <x v="13"/>
    <n v="703715"/>
    <n v="234307"/>
    <n v="212040"/>
    <n v="14720"/>
    <n v="2370"/>
    <n v="1973"/>
    <n v="1331"/>
    <n v="4175"/>
    <n v="9.6179966044142612E-2"/>
    <x v="0"/>
  </r>
  <r>
    <x v="2567"/>
    <x v="2567"/>
    <x v="4"/>
    <x v="14"/>
    <x v="4"/>
    <x v="13"/>
    <n v="44540"/>
    <n v="19342"/>
    <n v="16698"/>
    <n v="1130"/>
    <n v="108"/>
    <n v="158"/>
    <n v="169"/>
    <n v="481"/>
    <n v="9.3723799257396101E-2"/>
    <x v="0"/>
  </r>
  <r>
    <x v="2568"/>
    <x v="2568"/>
    <x v="3"/>
    <x v="9"/>
    <x v="0"/>
    <x v="4"/>
    <n v="595692"/>
    <n v="322944"/>
    <n v="251776"/>
    <n v="11646"/>
    <n v="1862"/>
    <n v="1453"/>
    <n v="34"/>
    <n v="8141"/>
    <n v="5.9556907727503813E-2"/>
    <x v="2"/>
  </r>
  <r>
    <x v="2569"/>
    <x v="2569"/>
    <x v="3"/>
    <x v="4"/>
    <x v="1"/>
    <x v="9"/>
    <n v="421689"/>
    <n v="212172"/>
    <n v="153216"/>
    <n v="14469"/>
    <n v="1197"/>
    <n v="883"/>
    <n v="46"/>
    <n v="4735"/>
    <n v="0.10831114243943191"/>
    <x v="0"/>
  </r>
  <r>
    <x v="2570"/>
    <x v="2570"/>
    <x v="3"/>
    <x v="9"/>
    <x v="2"/>
    <x v="4"/>
    <n v="676504"/>
    <n v="140450"/>
    <n v="100498"/>
    <n v="8266"/>
    <n v="959"/>
    <n v="997"/>
    <n v="4"/>
    <n v="4043"/>
    <n v="0.10175326872176561"/>
    <x v="0"/>
  </r>
  <r>
    <x v="2571"/>
    <x v="2571"/>
    <x v="2"/>
    <x v="19"/>
    <x v="1"/>
    <x v="2"/>
    <n v="788344"/>
    <n v="271924"/>
    <n v="228062"/>
    <n v="7763"/>
    <n v="1167"/>
    <n v="964"/>
    <n v="50"/>
    <n v="1713"/>
    <n v="4.3602178355008729E-2"/>
    <x v="0"/>
  </r>
  <r>
    <x v="2572"/>
    <x v="2572"/>
    <x v="3"/>
    <x v="15"/>
    <x v="1"/>
    <x v="14"/>
    <n v="794529"/>
    <n v="273728"/>
    <n v="191910"/>
    <n v="7455"/>
    <n v="363"/>
    <n v="464"/>
    <n v="32"/>
    <n v="8738"/>
    <n v="4.3322390703975824E-2"/>
    <x v="0"/>
  </r>
  <r>
    <x v="2573"/>
    <x v="2573"/>
    <x v="3"/>
    <x v="11"/>
    <x v="5"/>
    <x v="9"/>
    <n v="522532"/>
    <n v="155899"/>
    <n v="116269"/>
    <n v="9948"/>
    <n v="996"/>
    <n v="943"/>
    <n v="43"/>
    <n v="1564"/>
    <n v="0.1026068857563065"/>
    <x v="1"/>
  </r>
  <r>
    <x v="2574"/>
    <x v="2574"/>
    <x v="2"/>
    <x v="5"/>
    <x v="0"/>
    <x v="2"/>
    <n v="543163"/>
    <n v="190740"/>
    <n v="137246"/>
    <n v="12362"/>
    <n v="1015"/>
    <n v="1321"/>
    <n v="48"/>
    <n v="5492"/>
    <n v="0.10744211124550078"/>
    <x v="0"/>
  </r>
  <r>
    <x v="2575"/>
    <x v="2575"/>
    <x v="0"/>
    <x v="6"/>
    <x v="1"/>
    <x v="0"/>
    <n v="771004"/>
    <n v="440116"/>
    <n v="332393"/>
    <n v="24876"/>
    <n v="3765"/>
    <n v="3082"/>
    <n v="4197"/>
    <n v="9653"/>
    <n v="0.10806485094451447"/>
    <x v="1"/>
  </r>
  <r>
    <x v="2576"/>
    <x v="2576"/>
    <x v="2"/>
    <x v="5"/>
    <x v="4"/>
    <x v="3"/>
    <n v="704135"/>
    <n v="167889"/>
    <n v="152531"/>
    <n v="10576"/>
    <n v="541"/>
    <n v="889"/>
    <n v="42"/>
    <n v="1214"/>
    <n v="7.898722226957143E-2"/>
    <x v="0"/>
  </r>
  <r>
    <x v="2577"/>
    <x v="2577"/>
    <x v="2"/>
    <x v="2"/>
    <x v="5"/>
    <x v="15"/>
    <n v="680988"/>
    <n v="178882"/>
    <n v="160466"/>
    <n v="5252"/>
    <n v="227"/>
    <n v="724"/>
    <n v="50"/>
    <n v="1058"/>
    <n v="3.8967756409457453E-2"/>
    <x v="0"/>
  </r>
  <r>
    <x v="2578"/>
    <x v="2578"/>
    <x v="1"/>
    <x v="17"/>
    <x v="3"/>
    <x v="1"/>
    <n v="609680"/>
    <n v="145322"/>
    <n v="113659"/>
    <n v="6652"/>
    <n v="1109"/>
    <n v="668"/>
    <n v="1404"/>
    <n v="3901"/>
    <n v="8.6513166577217818E-2"/>
    <x v="1"/>
  </r>
  <r>
    <x v="2579"/>
    <x v="2579"/>
    <x v="0"/>
    <x v="22"/>
    <x v="4"/>
    <x v="7"/>
    <n v="248486"/>
    <n v="20087"/>
    <n v="14065"/>
    <n v="625"/>
    <n v="80"/>
    <n v="40"/>
    <n v="78"/>
    <n v="283"/>
    <n v="5.8514041948098117E-2"/>
    <x v="0"/>
  </r>
  <r>
    <x v="2580"/>
    <x v="2580"/>
    <x v="2"/>
    <x v="3"/>
    <x v="4"/>
    <x v="2"/>
    <n v="204435"/>
    <n v="84867"/>
    <n v="68363"/>
    <n v="3229"/>
    <n v="467"/>
    <n v="206"/>
    <n v="27"/>
    <n v="1747"/>
    <n v="5.7472609452481609E-2"/>
    <x v="1"/>
  </r>
  <r>
    <x v="2581"/>
    <x v="2581"/>
    <x v="1"/>
    <x v="17"/>
    <x v="1"/>
    <x v="1"/>
    <n v="449429"/>
    <n v="83556"/>
    <n v="71411"/>
    <n v="4861"/>
    <n v="775"/>
    <n v="626"/>
    <n v="1057"/>
    <n v="2801"/>
    <n v="0.10249121283835824"/>
    <x v="0"/>
  </r>
  <r>
    <x v="2582"/>
    <x v="2582"/>
    <x v="4"/>
    <x v="14"/>
    <x v="0"/>
    <x v="11"/>
    <n v="175426"/>
    <n v="14041"/>
    <n v="12019"/>
    <n v="340"/>
    <n v="55"/>
    <n v="25"/>
    <n v="56"/>
    <n v="96"/>
    <n v="3.9603960396039604E-2"/>
    <x v="0"/>
  </r>
  <r>
    <x v="2583"/>
    <x v="2583"/>
    <x v="4"/>
    <x v="20"/>
    <x v="2"/>
    <x v="12"/>
    <n v="455307"/>
    <n v="139535"/>
    <n v="104435"/>
    <n v="9884"/>
    <n v="977"/>
    <n v="623"/>
    <n v="610"/>
    <n v="1193"/>
    <n v="0.11580408866759229"/>
    <x v="0"/>
  </r>
  <r>
    <x v="2584"/>
    <x v="2584"/>
    <x v="2"/>
    <x v="16"/>
    <x v="1"/>
    <x v="2"/>
    <n v="710008"/>
    <n v="297366"/>
    <n v="235136"/>
    <n v="6523"/>
    <n v="1105"/>
    <n v="458"/>
    <n v="3"/>
    <n v="6388"/>
    <n v="3.4401367719107241E-2"/>
    <x v="0"/>
  </r>
  <r>
    <x v="2585"/>
    <x v="2585"/>
    <x v="1"/>
    <x v="7"/>
    <x v="1"/>
    <x v="16"/>
    <n v="21792"/>
    <n v="11071"/>
    <n v="9009"/>
    <n v="694"/>
    <n v="67"/>
    <n v="64"/>
    <n v="105"/>
    <n v="222"/>
    <n v="0.10323010323010323"/>
    <x v="0"/>
  </r>
  <r>
    <x v="2586"/>
    <x v="2586"/>
    <x v="2"/>
    <x v="2"/>
    <x v="4"/>
    <x v="2"/>
    <n v="566520"/>
    <n v="367021"/>
    <n v="336570"/>
    <n v="27613"/>
    <n v="1604"/>
    <n v="3050"/>
    <n v="0"/>
    <n v="11444"/>
    <n v="9.5870101316219508E-2"/>
    <x v="2"/>
  </r>
  <r>
    <x v="2587"/>
    <x v="2587"/>
    <x v="0"/>
    <x v="23"/>
    <x v="3"/>
    <x v="7"/>
    <n v="621589"/>
    <n v="55380"/>
    <n v="50879"/>
    <n v="3938"/>
    <n v="591"/>
    <n v="189"/>
    <n v="553"/>
    <n v="528"/>
    <n v="0.10359873425185244"/>
    <x v="1"/>
  </r>
  <r>
    <x v="2588"/>
    <x v="2588"/>
    <x v="3"/>
    <x v="11"/>
    <x v="5"/>
    <x v="9"/>
    <n v="564223"/>
    <n v="217104"/>
    <n v="187906"/>
    <n v="9627"/>
    <n v="1643"/>
    <n v="996"/>
    <n v="50"/>
    <n v="6368"/>
    <n v="6.5543410002873781E-2"/>
    <x v="0"/>
  </r>
  <r>
    <x v="2589"/>
    <x v="2589"/>
    <x v="0"/>
    <x v="22"/>
    <x v="1"/>
    <x v="7"/>
    <n v="705159"/>
    <n v="323265"/>
    <n v="241690"/>
    <n v="8518"/>
    <n v="1413"/>
    <n v="622"/>
    <n v="827"/>
    <n v="11153"/>
    <n v="4.7085109023956309E-2"/>
    <x v="0"/>
  </r>
  <r>
    <x v="2590"/>
    <x v="2590"/>
    <x v="3"/>
    <x v="11"/>
    <x v="5"/>
    <x v="9"/>
    <n v="540060"/>
    <n v="261509"/>
    <n v="229493"/>
    <n v="17834"/>
    <n v="605"/>
    <n v="2449"/>
    <n v="38"/>
    <n v="1685"/>
    <n v="9.1183609086115919E-2"/>
    <x v="0"/>
  </r>
  <r>
    <x v="2591"/>
    <x v="2591"/>
    <x v="4"/>
    <x v="14"/>
    <x v="4"/>
    <x v="12"/>
    <n v="347071"/>
    <n v="178232"/>
    <n v="134759"/>
    <n v="5229"/>
    <n v="595"/>
    <n v="707"/>
    <n v="1306"/>
    <n v="4651"/>
    <n v="5.8155670493250912E-2"/>
    <x v="2"/>
  </r>
  <r>
    <x v="2592"/>
    <x v="2592"/>
    <x v="3"/>
    <x v="18"/>
    <x v="2"/>
    <x v="9"/>
    <n v="656424"/>
    <n v="424230"/>
    <n v="301625"/>
    <n v="19245"/>
    <n v="3239"/>
    <n v="566"/>
    <n v="18"/>
    <n v="6044"/>
    <n v="7.6479071694985495E-2"/>
    <x v="0"/>
  </r>
  <r>
    <x v="2593"/>
    <x v="2593"/>
    <x v="2"/>
    <x v="19"/>
    <x v="2"/>
    <x v="2"/>
    <n v="798620"/>
    <n v="133133"/>
    <n v="101344"/>
    <n v="10413"/>
    <n v="951"/>
    <n v="1379"/>
    <n v="3"/>
    <n v="2890"/>
    <n v="0.12576965582570257"/>
    <x v="0"/>
  </r>
  <r>
    <x v="2594"/>
    <x v="2594"/>
    <x v="3"/>
    <x v="4"/>
    <x v="5"/>
    <x v="14"/>
    <n v="14715"/>
    <n v="6608"/>
    <n v="5660"/>
    <n v="365"/>
    <n v="49"/>
    <n v="40"/>
    <n v="11"/>
    <n v="89"/>
    <n v="8.2155477031802121E-2"/>
    <x v="0"/>
  </r>
  <r>
    <x v="2595"/>
    <x v="2595"/>
    <x v="0"/>
    <x v="22"/>
    <x v="4"/>
    <x v="10"/>
    <n v="436218"/>
    <n v="121313"/>
    <n v="101168"/>
    <n v="3722"/>
    <n v="196"/>
    <n v="224"/>
    <n v="412"/>
    <n v="3990"/>
    <n v="4.5014233749802311E-2"/>
    <x v="0"/>
  </r>
  <r>
    <x v="2596"/>
    <x v="2596"/>
    <x v="3"/>
    <x v="15"/>
    <x v="1"/>
    <x v="9"/>
    <n v="192449"/>
    <n v="23654"/>
    <n v="16755"/>
    <n v="487"/>
    <n v="77"/>
    <n v="61"/>
    <n v="14"/>
    <n v="268"/>
    <n v="3.8137869292748434E-2"/>
    <x v="2"/>
  </r>
  <r>
    <x v="2597"/>
    <x v="2597"/>
    <x v="2"/>
    <x v="16"/>
    <x v="2"/>
    <x v="3"/>
    <n v="607795"/>
    <n v="283856"/>
    <n v="230307"/>
    <n v="9675"/>
    <n v="1246"/>
    <n v="646"/>
    <n v="23"/>
    <n v="3666"/>
    <n v="5.0324132570872794E-2"/>
    <x v="1"/>
  </r>
  <r>
    <x v="2598"/>
    <x v="2598"/>
    <x v="4"/>
    <x v="12"/>
    <x v="1"/>
    <x v="12"/>
    <n v="125381"/>
    <n v="56337"/>
    <n v="45351"/>
    <n v="3161"/>
    <n v="464"/>
    <n v="339"/>
    <n v="392"/>
    <n v="1927"/>
    <n v="9.6050803730898984E-2"/>
    <x v="0"/>
  </r>
  <r>
    <x v="2599"/>
    <x v="2599"/>
    <x v="1"/>
    <x v="8"/>
    <x v="0"/>
    <x v="8"/>
    <n v="381681"/>
    <n v="1874597"/>
    <n v="1516349"/>
    <n v="50697"/>
    <n v="3951"/>
    <n v="2113"/>
    <n v="5777"/>
    <n v="47695"/>
    <n v="4.1242484414867553E-2"/>
    <x v="1"/>
  </r>
  <r>
    <x v="2600"/>
    <x v="2600"/>
    <x v="1"/>
    <x v="17"/>
    <x v="4"/>
    <x v="16"/>
    <n v="599074"/>
    <n v="301354"/>
    <n v="249142"/>
    <n v="13846"/>
    <n v="2374"/>
    <n v="575"/>
    <n v="710"/>
    <n v="3290"/>
    <n v="7.0261136219505346E-2"/>
    <x v="0"/>
  </r>
  <r>
    <x v="2601"/>
    <x v="2601"/>
    <x v="0"/>
    <x v="23"/>
    <x v="5"/>
    <x v="10"/>
    <n v="551116"/>
    <n v="324692"/>
    <n v="264323"/>
    <n v="18437"/>
    <n v="1362"/>
    <n v="1509"/>
    <n v="3424"/>
    <n v="3174"/>
    <n v="9.3567339959065229E-2"/>
    <x v="0"/>
  </r>
  <r>
    <x v="2602"/>
    <x v="2602"/>
    <x v="2"/>
    <x v="5"/>
    <x v="1"/>
    <x v="5"/>
    <n v="770625"/>
    <n v="71883"/>
    <n v="64181"/>
    <n v="2115"/>
    <n v="266"/>
    <n v="281"/>
    <n v="29"/>
    <n v="1920"/>
    <n v="4.1928296536358114E-2"/>
    <x v="0"/>
  </r>
  <r>
    <x v="2603"/>
    <x v="2603"/>
    <x v="3"/>
    <x v="4"/>
    <x v="4"/>
    <x v="9"/>
    <n v="440873"/>
    <n v="86248"/>
    <n v="72980"/>
    <n v="6754"/>
    <n v="1209"/>
    <n v="462"/>
    <n v="1"/>
    <n v="595"/>
    <n v="0.11545628939435462"/>
    <x v="0"/>
  </r>
  <r>
    <x v="2604"/>
    <x v="2604"/>
    <x v="4"/>
    <x v="12"/>
    <x v="5"/>
    <x v="12"/>
    <n v="301970"/>
    <n v="100550"/>
    <n v="87133"/>
    <n v="7146"/>
    <n v="798"/>
    <n v="790"/>
    <n v="959"/>
    <n v="2723"/>
    <n v="0.11124373084824349"/>
    <x v="0"/>
  </r>
  <r>
    <x v="2605"/>
    <x v="2605"/>
    <x v="2"/>
    <x v="19"/>
    <x v="1"/>
    <x v="15"/>
    <n v="726326"/>
    <n v="195875"/>
    <n v="145054"/>
    <n v="14906"/>
    <n v="1678"/>
    <n v="2228"/>
    <n v="11"/>
    <n v="5118"/>
    <n v="0.1297654666537979"/>
    <x v="1"/>
  </r>
  <r>
    <x v="2606"/>
    <x v="2606"/>
    <x v="3"/>
    <x v="9"/>
    <x v="5"/>
    <x v="4"/>
    <n v="723849"/>
    <n v="406565"/>
    <n v="342301"/>
    <n v="27453"/>
    <n v="2425"/>
    <n v="3427"/>
    <n v="21"/>
    <n v="3420"/>
    <n v="9.7358757350986411E-2"/>
    <x v="1"/>
  </r>
  <r>
    <x v="2607"/>
    <x v="2607"/>
    <x v="4"/>
    <x v="21"/>
    <x v="4"/>
    <x v="17"/>
    <n v="825554"/>
    <n v="257963"/>
    <n v="218972"/>
    <n v="17541"/>
    <n v="872"/>
    <n v="1640"/>
    <n v="3451"/>
    <n v="2234"/>
    <n v="0.10733792448349561"/>
    <x v="0"/>
  </r>
  <r>
    <x v="2608"/>
    <x v="2608"/>
    <x v="2"/>
    <x v="19"/>
    <x v="4"/>
    <x v="2"/>
    <n v="600504"/>
    <n v="271277"/>
    <n v="225632"/>
    <n v="10957"/>
    <n v="389"/>
    <n v="766"/>
    <n v="33"/>
    <n v="2981"/>
    <n v="5.3826584881577079E-2"/>
    <x v="1"/>
  </r>
  <r>
    <x v="2609"/>
    <x v="2609"/>
    <x v="1"/>
    <x v="7"/>
    <x v="1"/>
    <x v="8"/>
    <n v="17924"/>
    <n v="3329"/>
    <n v="2603"/>
    <n v="165"/>
    <n v="24"/>
    <n v="19"/>
    <n v="16"/>
    <n v="81"/>
    <n v="8.6054552439492893E-2"/>
    <x v="1"/>
  </r>
  <r>
    <x v="2610"/>
    <x v="2610"/>
    <x v="2"/>
    <x v="5"/>
    <x v="5"/>
    <x v="15"/>
    <n v="722431"/>
    <n v="310425"/>
    <n v="226870"/>
    <n v="12151"/>
    <n v="1361"/>
    <n v="1105"/>
    <n v="37"/>
    <n v="7839"/>
    <n v="6.4592057125225893E-2"/>
    <x v="1"/>
  </r>
  <r>
    <x v="2611"/>
    <x v="2611"/>
    <x v="3"/>
    <x v="9"/>
    <x v="2"/>
    <x v="14"/>
    <n v="74421"/>
    <n v="43956"/>
    <n v="31731"/>
    <n v="2450"/>
    <n v="137"/>
    <n v="354"/>
    <n v="45"/>
    <n v="747"/>
    <n v="9.4103558034729445E-2"/>
    <x v="0"/>
  </r>
  <r>
    <x v="2612"/>
    <x v="2612"/>
    <x v="0"/>
    <x v="13"/>
    <x v="4"/>
    <x v="10"/>
    <n v="302606"/>
    <n v="157000"/>
    <n v="137608"/>
    <n v="7736"/>
    <n v="1136"/>
    <n v="999"/>
    <n v="655"/>
    <n v="4830"/>
    <n v="7.6492645776408352E-2"/>
    <x v="1"/>
  </r>
  <r>
    <x v="2613"/>
    <x v="2613"/>
    <x v="1"/>
    <x v="7"/>
    <x v="0"/>
    <x v="6"/>
    <n v="752340"/>
    <n v="353487"/>
    <n v="251704"/>
    <n v="13526"/>
    <n v="1445"/>
    <n v="792"/>
    <n v="1327"/>
    <n v="9945"/>
    <n v="6.7897212598925727E-2"/>
    <x v="2"/>
  </r>
  <r>
    <x v="2614"/>
    <x v="2614"/>
    <x v="2"/>
    <x v="2"/>
    <x v="4"/>
    <x v="3"/>
    <n v="187653"/>
    <n v="28011"/>
    <n v="25528"/>
    <n v="670"/>
    <n v="72"/>
    <n v="78"/>
    <n v="17"/>
    <n v="528"/>
    <n v="3.2787527420871203E-2"/>
    <x v="0"/>
  </r>
  <r>
    <x v="2615"/>
    <x v="2615"/>
    <x v="4"/>
    <x v="10"/>
    <x v="0"/>
    <x v="13"/>
    <n v="376637"/>
    <n v="124755"/>
    <n v="87530"/>
    <n v="2923"/>
    <n v="388"/>
    <n v="99"/>
    <n v="188"/>
    <n v="2599"/>
    <n v="4.1105906546326974E-2"/>
    <x v="0"/>
  </r>
  <r>
    <x v="2616"/>
    <x v="2616"/>
    <x v="1"/>
    <x v="8"/>
    <x v="3"/>
    <x v="1"/>
    <n v="553928"/>
    <n v="73328"/>
    <n v="59929"/>
    <n v="4154"/>
    <n v="228"/>
    <n v="306"/>
    <n v="227"/>
    <n v="942"/>
    <n v="8.2013716230873196E-2"/>
    <x v="0"/>
  </r>
  <r>
    <x v="2617"/>
    <x v="2617"/>
    <x v="2"/>
    <x v="19"/>
    <x v="1"/>
    <x v="15"/>
    <n v="12654"/>
    <n v="2636"/>
    <n v="1855"/>
    <n v="194"/>
    <n v="7"/>
    <n v="19"/>
    <n v="11"/>
    <n v="73"/>
    <n v="0.12452830188679245"/>
    <x v="0"/>
  </r>
  <r>
    <x v="2618"/>
    <x v="2618"/>
    <x v="1"/>
    <x v="7"/>
    <x v="4"/>
    <x v="6"/>
    <n v="81312"/>
    <n v="27305"/>
    <n v="20174"/>
    <n v="1939"/>
    <n v="248"/>
    <n v="179"/>
    <n v="425"/>
    <n v="818"/>
    <n v="0.13834638643798949"/>
    <x v="0"/>
  </r>
  <r>
    <x v="2619"/>
    <x v="2619"/>
    <x v="2"/>
    <x v="19"/>
    <x v="4"/>
    <x v="5"/>
    <n v="425058"/>
    <n v="1527832"/>
    <n v="1370138"/>
    <n v="44923"/>
    <n v="5611"/>
    <n v="2547"/>
    <n v="3"/>
    <n v="39545"/>
    <n v="3.8743542621254207E-2"/>
    <x v="0"/>
  </r>
  <r>
    <x v="2620"/>
    <x v="2620"/>
    <x v="1"/>
    <x v="24"/>
    <x v="0"/>
    <x v="16"/>
    <n v="219355"/>
    <n v="31556"/>
    <n v="27020"/>
    <n v="1428"/>
    <n v="112"/>
    <n v="41"/>
    <n v="160"/>
    <n v="946"/>
    <n v="6.4433752775721692E-2"/>
    <x v="0"/>
  </r>
  <r>
    <x v="2621"/>
    <x v="2621"/>
    <x v="0"/>
    <x v="22"/>
    <x v="4"/>
    <x v="7"/>
    <n v="107876"/>
    <n v="49060"/>
    <n v="40728"/>
    <n v="2285"/>
    <n v="87"/>
    <n v="302"/>
    <n v="382"/>
    <n v="1624"/>
    <n v="7.5034374386171679E-2"/>
    <x v="1"/>
  </r>
  <r>
    <x v="2622"/>
    <x v="2622"/>
    <x v="4"/>
    <x v="12"/>
    <x v="5"/>
    <x v="13"/>
    <n v="437526"/>
    <n v="93983"/>
    <n v="70384"/>
    <n v="4044"/>
    <n v="522"/>
    <n v="352"/>
    <n v="972"/>
    <n v="1824"/>
    <n v="8.3683791770857011E-2"/>
    <x v="0"/>
  </r>
  <r>
    <x v="2623"/>
    <x v="2623"/>
    <x v="3"/>
    <x v="11"/>
    <x v="4"/>
    <x v="9"/>
    <n v="31508"/>
    <n v="7880"/>
    <n v="5761"/>
    <n v="335"/>
    <n v="28"/>
    <n v="10"/>
    <n v="19"/>
    <n v="141"/>
    <n v="6.8043742405832316E-2"/>
    <x v="0"/>
  </r>
  <r>
    <x v="2624"/>
    <x v="2624"/>
    <x v="4"/>
    <x v="10"/>
    <x v="0"/>
    <x v="11"/>
    <n v="808370"/>
    <n v="518709"/>
    <n v="421394"/>
    <n v="31398"/>
    <n v="4326"/>
    <n v="1813"/>
    <n v="6972"/>
    <n v="7068"/>
    <n v="0.1056232409573938"/>
    <x v="0"/>
  </r>
  <r>
    <x v="2625"/>
    <x v="2625"/>
    <x v="3"/>
    <x v="11"/>
    <x v="0"/>
    <x v="9"/>
    <n v="179900"/>
    <n v="573675"/>
    <n v="414844"/>
    <n v="29451"/>
    <n v="4997"/>
    <n v="615"/>
    <n v="47"/>
    <n v="3140"/>
    <n v="8.4634223949243567E-2"/>
    <x v="0"/>
  </r>
  <r>
    <x v="2626"/>
    <x v="2626"/>
    <x v="4"/>
    <x v="20"/>
    <x v="5"/>
    <x v="12"/>
    <n v="781568"/>
    <n v="134480"/>
    <n v="120869"/>
    <n v="6507"/>
    <n v="541"/>
    <n v="147"/>
    <n v="847"/>
    <n v="4244"/>
    <n v="6.6534843508261013E-2"/>
    <x v="1"/>
  </r>
  <r>
    <x v="2627"/>
    <x v="2627"/>
    <x v="3"/>
    <x v="15"/>
    <x v="0"/>
    <x v="14"/>
    <n v="635940"/>
    <n v="176214"/>
    <n v="157455"/>
    <n v="12726"/>
    <n v="1447"/>
    <n v="1509"/>
    <n v="31"/>
    <n v="5028"/>
    <n v="9.979359181988505E-2"/>
    <x v="0"/>
  </r>
  <r>
    <x v="2628"/>
    <x v="2628"/>
    <x v="3"/>
    <x v="9"/>
    <x v="2"/>
    <x v="9"/>
    <n v="240913"/>
    <n v="111775"/>
    <n v="85233"/>
    <n v="4761"/>
    <n v="353"/>
    <n v="251"/>
    <n v="50"/>
    <n v="1037"/>
    <n v="6.3531730667699127E-2"/>
    <x v="2"/>
  </r>
  <r>
    <x v="2629"/>
    <x v="2629"/>
    <x v="3"/>
    <x v="9"/>
    <x v="5"/>
    <x v="4"/>
    <n v="230966"/>
    <n v="57523"/>
    <n v="44925"/>
    <n v="1203"/>
    <n v="137"/>
    <n v="32"/>
    <n v="9"/>
    <n v="1371"/>
    <n v="3.0740122426266E-2"/>
    <x v="2"/>
  </r>
  <r>
    <x v="2630"/>
    <x v="2630"/>
    <x v="0"/>
    <x v="6"/>
    <x v="0"/>
    <x v="7"/>
    <n v="447856"/>
    <n v="100739"/>
    <n v="80470"/>
    <n v="2854"/>
    <n v="194"/>
    <n v="210"/>
    <n v="195"/>
    <n v="3386"/>
    <n v="4.291040139182304E-2"/>
    <x v="1"/>
  </r>
  <r>
    <x v="2631"/>
    <x v="2631"/>
    <x v="0"/>
    <x v="22"/>
    <x v="4"/>
    <x v="10"/>
    <n v="124583"/>
    <n v="40544"/>
    <n v="32322"/>
    <n v="1177"/>
    <n v="70"/>
    <n v="24"/>
    <n v="128"/>
    <n v="801"/>
    <n v="4.328321267248314E-2"/>
    <x v="1"/>
  </r>
  <r>
    <x v="2632"/>
    <x v="2632"/>
    <x v="1"/>
    <x v="24"/>
    <x v="5"/>
    <x v="16"/>
    <n v="695338"/>
    <n v="130221"/>
    <n v="93827"/>
    <n v="5895"/>
    <n v="1055"/>
    <n v="536"/>
    <n v="1364"/>
    <n v="2004"/>
    <n v="9.4322529762221968E-2"/>
    <x v="2"/>
  </r>
  <r>
    <x v="2633"/>
    <x v="2633"/>
    <x v="4"/>
    <x v="10"/>
    <x v="3"/>
    <x v="17"/>
    <n v="473448"/>
    <n v="132597"/>
    <n v="100640"/>
    <n v="3962"/>
    <n v="186"/>
    <n v="176"/>
    <n v="359"/>
    <n v="3666"/>
    <n v="4.653219395866455E-2"/>
    <x v="1"/>
  </r>
  <r>
    <x v="2634"/>
    <x v="2634"/>
    <x v="4"/>
    <x v="10"/>
    <x v="1"/>
    <x v="17"/>
    <n v="842779"/>
    <n v="380499"/>
    <n v="302684"/>
    <n v="10100"/>
    <n v="1533"/>
    <n v="1228"/>
    <n v="2408"/>
    <n v="5154"/>
    <n v="5.0445348944774086E-2"/>
    <x v="0"/>
  </r>
  <r>
    <x v="2635"/>
    <x v="2635"/>
    <x v="2"/>
    <x v="2"/>
    <x v="5"/>
    <x v="2"/>
    <n v="180310"/>
    <n v="19331"/>
    <n v="17451"/>
    <n v="453"/>
    <n v="59"/>
    <n v="47"/>
    <n v="19"/>
    <n v="240"/>
    <n v="3.3121311099650448E-2"/>
    <x v="2"/>
  </r>
  <r>
    <x v="2636"/>
    <x v="2636"/>
    <x v="0"/>
    <x v="6"/>
    <x v="2"/>
    <x v="10"/>
    <n v="609574"/>
    <n v="227581"/>
    <n v="159721"/>
    <n v="11665"/>
    <n v="1449"/>
    <n v="1392"/>
    <n v="833"/>
    <n v="2765"/>
    <n v="9.6036213146674515E-2"/>
    <x v="1"/>
  </r>
  <r>
    <x v="2637"/>
    <x v="2637"/>
    <x v="1"/>
    <x v="17"/>
    <x v="0"/>
    <x v="16"/>
    <n v="707749"/>
    <n v="275071"/>
    <n v="212964"/>
    <n v="14816"/>
    <n v="1637"/>
    <n v="2154"/>
    <n v="3292"/>
    <n v="6019"/>
    <n v="0.10282958622114535"/>
    <x v="1"/>
  </r>
  <r>
    <x v="2638"/>
    <x v="2638"/>
    <x v="1"/>
    <x v="7"/>
    <x v="2"/>
    <x v="1"/>
    <n v="206722"/>
    <n v="712940"/>
    <n v="638582"/>
    <n v="45654"/>
    <n v="5076"/>
    <n v="5731"/>
    <n v="4355"/>
    <n v="22840"/>
    <n v="9.5236007278626703E-2"/>
    <x v="0"/>
  </r>
  <r>
    <x v="2639"/>
    <x v="2639"/>
    <x v="2"/>
    <x v="16"/>
    <x v="3"/>
    <x v="5"/>
    <n v="732364"/>
    <n v="85792"/>
    <n v="62376"/>
    <n v="1805"/>
    <n v="57"/>
    <n v="150"/>
    <n v="6"/>
    <n v="1918"/>
    <n v="3.2352186738489164E-2"/>
    <x v="0"/>
  </r>
  <r>
    <x v="2640"/>
    <x v="2640"/>
    <x v="0"/>
    <x v="23"/>
    <x v="4"/>
    <x v="7"/>
    <n v="28188"/>
    <n v="11752"/>
    <n v="10526"/>
    <n v="409"/>
    <n v="40"/>
    <n v="31"/>
    <n v="37"/>
    <n v="285"/>
    <n v="4.9116473494204824E-2"/>
    <x v="0"/>
  </r>
  <r>
    <x v="2641"/>
    <x v="2641"/>
    <x v="0"/>
    <x v="23"/>
    <x v="3"/>
    <x v="7"/>
    <n v="447736"/>
    <n v="188807"/>
    <n v="158123"/>
    <n v="10156"/>
    <n v="578"/>
    <n v="743"/>
    <n v="841"/>
    <n v="3639"/>
    <n v="7.7901380570821452E-2"/>
    <x v="0"/>
  </r>
  <r>
    <x v="2642"/>
    <x v="2642"/>
    <x v="4"/>
    <x v="12"/>
    <x v="4"/>
    <x v="12"/>
    <n v="601210"/>
    <n v="61903"/>
    <n v="48854"/>
    <n v="2430"/>
    <n v="366"/>
    <n v="83"/>
    <n v="576"/>
    <n v="426"/>
    <n v="7.0720923568182742E-2"/>
    <x v="0"/>
  </r>
  <r>
    <x v="2643"/>
    <x v="2643"/>
    <x v="2"/>
    <x v="2"/>
    <x v="4"/>
    <x v="5"/>
    <n v="160114"/>
    <n v="84011"/>
    <n v="65916"/>
    <n v="5184"/>
    <n v="222"/>
    <n v="530"/>
    <n v="27"/>
    <n v="504"/>
    <n v="9.0463620365313427E-2"/>
    <x v="0"/>
  </r>
  <r>
    <x v="2644"/>
    <x v="2644"/>
    <x v="4"/>
    <x v="20"/>
    <x v="2"/>
    <x v="17"/>
    <n v="716274"/>
    <n v="410745"/>
    <n v="355235"/>
    <n v="19093"/>
    <n v="2660"/>
    <n v="915"/>
    <n v="1906"/>
    <n v="2611"/>
    <n v="6.9176742156600565E-2"/>
    <x v="0"/>
  </r>
  <r>
    <x v="2645"/>
    <x v="2645"/>
    <x v="0"/>
    <x v="22"/>
    <x v="0"/>
    <x v="7"/>
    <n v="709203"/>
    <n v="104970"/>
    <n v="90790"/>
    <n v="2999"/>
    <n v="145"/>
    <n v="102"/>
    <n v="749"/>
    <n v="1977"/>
    <n v="4.4002643462936447E-2"/>
    <x v="2"/>
  </r>
  <r>
    <x v="2646"/>
    <x v="2646"/>
    <x v="0"/>
    <x v="6"/>
    <x v="1"/>
    <x v="7"/>
    <n v="832074"/>
    <n v="414208"/>
    <n v="300975"/>
    <n v="28782"/>
    <n v="2260"/>
    <n v="1881"/>
    <n v="6817"/>
    <n v="12892"/>
    <n v="0.13203754464656534"/>
    <x v="0"/>
  </r>
  <r>
    <x v="2647"/>
    <x v="2647"/>
    <x v="2"/>
    <x v="2"/>
    <x v="1"/>
    <x v="3"/>
    <n v="623732"/>
    <n v="192971"/>
    <n v="162126"/>
    <n v="4077"/>
    <n v="455"/>
    <n v="424"/>
    <n v="38"/>
    <n v="2519"/>
    <n v="3.0803202447479121E-2"/>
    <x v="0"/>
  </r>
  <r>
    <x v="2648"/>
    <x v="2648"/>
    <x v="0"/>
    <x v="6"/>
    <x v="1"/>
    <x v="10"/>
    <n v="111603"/>
    <n v="66306"/>
    <n v="53986"/>
    <n v="5177"/>
    <n v="846"/>
    <n v="636"/>
    <n v="532"/>
    <n v="467"/>
    <n v="0.13320120031119179"/>
    <x v="1"/>
  </r>
  <r>
    <x v="2649"/>
    <x v="2649"/>
    <x v="0"/>
    <x v="6"/>
    <x v="4"/>
    <x v="0"/>
    <n v="585242"/>
    <n v="103687"/>
    <n v="83240"/>
    <n v="3705"/>
    <n v="320"/>
    <n v="520"/>
    <n v="786"/>
    <n v="1941"/>
    <n v="6.4043728976453634E-2"/>
    <x v="1"/>
  </r>
  <r>
    <x v="2650"/>
    <x v="2650"/>
    <x v="3"/>
    <x v="4"/>
    <x v="4"/>
    <x v="9"/>
    <n v="543858"/>
    <n v="183449"/>
    <n v="159212"/>
    <n v="10157"/>
    <n v="611"/>
    <n v="1186"/>
    <n v="0"/>
    <n v="2598"/>
    <n v="7.5082280230133414E-2"/>
    <x v="0"/>
  </r>
  <r>
    <x v="2651"/>
    <x v="2651"/>
    <x v="3"/>
    <x v="4"/>
    <x v="5"/>
    <x v="14"/>
    <n v="119882"/>
    <n v="37049"/>
    <n v="29295"/>
    <n v="2031"/>
    <n v="281"/>
    <n v="92"/>
    <n v="44"/>
    <n v="1267"/>
    <n v="8.3563748079877112E-2"/>
    <x v="0"/>
  </r>
  <r>
    <x v="2652"/>
    <x v="2652"/>
    <x v="2"/>
    <x v="5"/>
    <x v="4"/>
    <x v="5"/>
    <n v="669025"/>
    <n v="318781"/>
    <n v="230388"/>
    <n v="7813"/>
    <n v="639"/>
    <n v="367"/>
    <n v="37"/>
    <n v="3366"/>
    <n v="3.8439502057398822E-2"/>
    <x v="1"/>
  </r>
  <r>
    <x v="2653"/>
    <x v="2653"/>
    <x v="1"/>
    <x v="17"/>
    <x v="0"/>
    <x v="8"/>
    <n v="512823"/>
    <n v="56036"/>
    <n v="42237"/>
    <n v="2166"/>
    <n v="361"/>
    <n v="176"/>
    <n v="334"/>
    <n v="958"/>
    <n v="7.1903781045055279E-2"/>
    <x v="0"/>
  </r>
  <r>
    <x v="2654"/>
    <x v="2654"/>
    <x v="2"/>
    <x v="5"/>
    <x v="3"/>
    <x v="3"/>
    <n v="559035"/>
    <n v="45933"/>
    <n v="32459"/>
    <n v="2538"/>
    <n v="235"/>
    <n v="227"/>
    <n v="11"/>
    <n v="961"/>
    <n v="9.2763178163221299E-2"/>
    <x v="1"/>
  </r>
  <r>
    <x v="2655"/>
    <x v="2655"/>
    <x v="3"/>
    <x v="18"/>
    <x v="5"/>
    <x v="14"/>
    <n v="597382"/>
    <n v="305498"/>
    <n v="266076"/>
    <n v="22474"/>
    <n v="3929"/>
    <n v="2765"/>
    <n v="50"/>
    <n v="5633"/>
    <n v="0.10981073076865257"/>
    <x v="2"/>
  </r>
  <r>
    <x v="2656"/>
    <x v="2656"/>
    <x v="0"/>
    <x v="0"/>
    <x v="1"/>
    <x v="7"/>
    <n v="259491"/>
    <n v="83139"/>
    <n v="71533"/>
    <n v="2874"/>
    <n v="502"/>
    <n v="122"/>
    <n v="395"/>
    <n v="1992"/>
    <n v="5.4422434400905877E-2"/>
    <x v="1"/>
  </r>
  <r>
    <x v="2657"/>
    <x v="2657"/>
    <x v="4"/>
    <x v="14"/>
    <x v="3"/>
    <x v="17"/>
    <n v="244929"/>
    <n v="133738"/>
    <n v="108277"/>
    <n v="2910"/>
    <n v="383"/>
    <n v="163"/>
    <n v="431"/>
    <n v="4660"/>
    <n v="3.5898667306999643E-2"/>
    <x v="0"/>
  </r>
  <r>
    <x v="2658"/>
    <x v="2658"/>
    <x v="4"/>
    <x v="14"/>
    <x v="5"/>
    <x v="13"/>
    <n v="112803"/>
    <n v="66054"/>
    <n v="46777"/>
    <n v="3547"/>
    <n v="509"/>
    <n v="130"/>
    <n v="566"/>
    <n v="939"/>
    <n v="0.10158838745537337"/>
    <x v="0"/>
  </r>
  <r>
    <x v="2659"/>
    <x v="2659"/>
    <x v="3"/>
    <x v="18"/>
    <x v="3"/>
    <x v="14"/>
    <n v="76135"/>
    <n v="15697"/>
    <n v="11436"/>
    <n v="739"/>
    <n v="129"/>
    <n v="17"/>
    <n v="26"/>
    <n v="537"/>
    <n v="7.9660720531654419E-2"/>
    <x v="0"/>
  </r>
  <r>
    <x v="2660"/>
    <x v="2660"/>
    <x v="4"/>
    <x v="12"/>
    <x v="3"/>
    <x v="12"/>
    <n v="449868"/>
    <n v="157667"/>
    <n v="134579"/>
    <n v="8769"/>
    <n v="593"/>
    <n v="425"/>
    <n v="1995"/>
    <n v="2702"/>
    <n v="8.7547091299534099E-2"/>
    <x v="1"/>
  </r>
  <r>
    <x v="2661"/>
    <x v="2661"/>
    <x v="0"/>
    <x v="6"/>
    <x v="2"/>
    <x v="10"/>
    <n v="288088"/>
    <n v="79314"/>
    <n v="63924"/>
    <n v="3946"/>
    <n v="428"/>
    <n v="367"/>
    <n v="740"/>
    <n v="1054"/>
    <n v="8.5742444152431013E-2"/>
    <x v="0"/>
  </r>
  <r>
    <x v="2662"/>
    <x v="2662"/>
    <x v="3"/>
    <x v="4"/>
    <x v="3"/>
    <x v="4"/>
    <n v="329713"/>
    <n v="132668"/>
    <n v="98416"/>
    <n v="7584"/>
    <n v="1353"/>
    <n v="188"/>
    <n v="8"/>
    <n v="1732"/>
    <n v="9.2799951227442695E-2"/>
    <x v="0"/>
  </r>
  <r>
    <x v="2663"/>
    <x v="2663"/>
    <x v="2"/>
    <x v="16"/>
    <x v="4"/>
    <x v="15"/>
    <n v="165454"/>
    <n v="58446"/>
    <n v="43137"/>
    <n v="2336"/>
    <n v="406"/>
    <n v="215"/>
    <n v="4"/>
    <n v="1893"/>
    <n v="6.8641769246818279E-2"/>
    <x v="1"/>
  </r>
  <r>
    <x v="2664"/>
    <x v="2664"/>
    <x v="2"/>
    <x v="5"/>
    <x v="0"/>
    <x v="3"/>
    <n v="5178"/>
    <n v="2752"/>
    <n v="2366"/>
    <n v="60"/>
    <n v="3"/>
    <n v="3"/>
    <n v="40"/>
    <n v="26"/>
    <n v="4.4801352493660185E-2"/>
    <x v="1"/>
  </r>
  <r>
    <x v="2665"/>
    <x v="2665"/>
    <x v="2"/>
    <x v="3"/>
    <x v="5"/>
    <x v="15"/>
    <n v="18417"/>
    <n v="9626"/>
    <n v="8040"/>
    <n v="535"/>
    <n v="89"/>
    <n v="10"/>
    <n v="31"/>
    <n v="293"/>
    <n v="8.271144278606965E-2"/>
    <x v="1"/>
  </r>
  <r>
    <x v="2666"/>
    <x v="2666"/>
    <x v="4"/>
    <x v="12"/>
    <x v="0"/>
    <x v="11"/>
    <n v="36346"/>
    <n v="12664"/>
    <n v="10503"/>
    <n v="391"/>
    <n v="64"/>
    <n v="11"/>
    <n v="93"/>
    <n v="205"/>
    <n v="5.3222888698467107E-2"/>
    <x v="0"/>
  </r>
  <r>
    <x v="2667"/>
    <x v="2667"/>
    <x v="2"/>
    <x v="5"/>
    <x v="4"/>
    <x v="5"/>
    <n v="584715"/>
    <n v="50361"/>
    <n v="40741"/>
    <n v="3268"/>
    <n v="99"/>
    <n v="210"/>
    <n v="3"/>
    <n v="1568"/>
    <n v="8.7872168086203087E-2"/>
    <x v="0"/>
  </r>
  <r>
    <x v="2668"/>
    <x v="2668"/>
    <x v="0"/>
    <x v="22"/>
    <x v="2"/>
    <x v="10"/>
    <n v="426886"/>
    <n v="695426"/>
    <n v="628792"/>
    <n v="48459"/>
    <n v="4419"/>
    <n v="7103"/>
    <n v="8955"/>
    <n v="4871"/>
    <n v="0.10963243807173119"/>
    <x v="0"/>
  </r>
  <r>
    <x v="2669"/>
    <x v="2669"/>
    <x v="4"/>
    <x v="12"/>
    <x v="5"/>
    <x v="11"/>
    <n v="729812"/>
    <n v="308324"/>
    <n v="255838"/>
    <n v="15606"/>
    <n v="1154"/>
    <n v="779"/>
    <n v="2935"/>
    <n v="9670"/>
    <n v="8.0027204715484024E-2"/>
    <x v="0"/>
  </r>
  <r>
    <x v="2670"/>
    <x v="2670"/>
    <x v="0"/>
    <x v="23"/>
    <x v="5"/>
    <x v="7"/>
    <n v="825957"/>
    <n v="3307689"/>
    <n v="2879213"/>
    <n v="102007"/>
    <n v="3387"/>
    <n v="4617"/>
    <n v="22871"/>
    <n v="70773"/>
    <n v="4.6152195061636633E-2"/>
    <x v="1"/>
  </r>
  <r>
    <x v="2671"/>
    <x v="2671"/>
    <x v="2"/>
    <x v="2"/>
    <x v="3"/>
    <x v="2"/>
    <n v="763697"/>
    <n v="367640"/>
    <n v="323092"/>
    <n v="9896"/>
    <n v="988"/>
    <n v="609"/>
    <n v="35"/>
    <n v="2237"/>
    <n v="3.5680239684052838E-2"/>
    <x v="0"/>
  </r>
  <r>
    <x v="2672"/>
    <x v="2672"/>
    <x v="1"/>
    <x v="24"/>
    <x v="1"/>
    <x v="8"/>
    <n v="275235"/>
    <n v="43686"/>
    <n v="34331"/>
    <n v="3253"/>
    <n v="526"/>
    <n v="431"/>
    <n v="561"/>
    <n v="1353"/>
    <n v="0.13897060965308322"/>
    <x v="0"/>
  </r>
  <r>
    <x v="2673"/>
    <x v="2673"/>
    <x v="4"/>
    <x v="21"/>
    <x v="4"/>
    <x v="11"/>
    <n v="311102"/>
    <n v="191488"/>
    <n v="140922"/>
    <n v="12918"/>
    <n v="919"/>
    <n v="1685"/>
    <n v="1481"/>
    <n v="5733"/>
    <n v="0.12065539802160061"/>
    <x v="1"/>
  </r>
  <r>
    <x v="2674"/>
    <x v="2674"/>
    <x v="2"/>
    <x v="5"/>
    <x v="5"/>
    <x v="2"/>
    <n v="408678"/>
    <n v="231304"/>
    <n v="186598"/>
    <n v="17651"/>
    <n v="681"/>
    <n v="1823"/>
    <n v="26"/>
    <n v="3574"/>
    <n v="0.10815228459040289"/>
    <x v="1"/>
  </r>
  <r>
    <x v="2675"/>
    <x v="2675"/>
    <x v="0"/>
    <x v="22"/>
    <x v="2"/>
    <x v="7"/>
    <n v="106354"/>
    <n v="37951"/>
    <n v="34534"/>
    <n v="3028"/>
    <n v="366"/>
    <n v="377"/>
    <n v="548"/>
    <n v="922"/>
    <n v="0.12506515318237099"/>
    <x v="1"/>
  </r>
  <r>
    <x v="2676"/>
    <x v="2676"/>
    <x v="3"/>
    <x v="9"/>
    <x v="3"/>
    <x v="9"/>
    <n v="493143"/>
    <n v="157981"/>
    <n v="122001"/>
    <n v="7439"/>
    <n v="1318"/>
    <n v="931"/>
    <n v="1"/>
    <n v="4759"/>
    <n v="7.9417381824739147E-2"/>
    <x v="0"/>
  </r>
  <r>
    <x v="2677"/>
    <x v="2677"/>
    <x v="1"/>
    <x v="7"/>
    <x v="4"/>
    <x v="1"/>
    <n v="315121"/>
    <n v="191494"/>
    <n v="139869"/>
    <n v="13486"/>
    <n v="1308"/>
    <n v="1271"/>
    <n v="3252"/>
    <n v="2310"/>
    <n v="0.13810780087081484"/>
    <x v="0"/>
  </r>
  <r>
    <x v="2678"/>
    <x v="2678"/>
    <x v="3"/>
    <x v="9"/>
    <x v="1"/>
    <x v="14"/>
    <n v="613949"/>
    <n v="354137"/>
    <n v="307575"/>
    <n v="18093"/>
    <n v="1172"/>
    <n v="2509"/>
    <n v="19"/>
    <n v="3068"/>
    <n v="7.0854263187840369E-2"/>
    <x v="1"/>
  </r>
  <r>
    <x v="2679"/>
    <x v="2679"/>
    <x v="3"/>
    <x v="15"/>
    <x v="1"/>
    <x v="9"/>
    <n v="722870"/>
    <n v="177744"/>
    <n v="135324"/>
    <n v="8439"/>
    <n v="826"/>
    <n v="566"/>
    <n v="17"/>
    <n v="2720"/>
    <n v="7.277349176790518E-2"/>
    <x v="0"/>
  </r>
  <r>
    <x v="2680"/>
    <x v="2680"/>
    <x v="3"/>
    <x v="15"/>
    <x v="5"/>
    <x v="4"/>
    <n v="683266"/>
    <n v="239754"/>
    <n v="191899"/>
    <n v="18894"/>
    <n v="3038"/>
    <n v="981"/>
    <n v="7"/>
    <n v="7899"/>
    <n v="0.11943782927477475"/>
    <x v="0"/>
  </r>
  <r>
    <x v="2681"/>
    <x v="2681"/>
    <x v="1"/>
    <x v="7"/>
    <x v="2"/>
    <x v="16"/>
    <n v="331906"/>
    <n v="206211"/>
    <n v="175615"/>
    <n v="12487"/>
    <n v="409"/>
    <n v="1308"/>
    <n v="1553"/>
    <n v="4092"/>
    <n v="8.972468183241751E-2"/>
    <x v="0"/>
  </r>
  <r>
    <x v="2682"/>
    <x v="2682"/>
    <x v="4"/>
    <x v="10"/>
    <x v="0"/>
    <x v="17"/>
    <n v="844153"/>
    <n v="150939"/>
    <n v="118730"/>
    <n v="11609"/>
    <n v="1806"/>
    <n v="1636"/>
    <n v="2901"/>
    <n v="2919"/>
    <n v="0.15120020213930768"/>
    <x v="1"/>
  </r>
  <r>
    <x v="2683"/>
    <x v="2683"/>
    <x v="1"/>
    <x v="17"/>
    <x v="3"/>
    <x v="8"/>
    <n v="72805"/>
    <n v="13347"/>
    <n v="11489"/>
    <n v="855"/>
    <n v="134"/>
    <n v="62"/>
    <n v="111"/>
    <n v="159"/>
    <n v="0.10114022108103403"/>
    <x v="0"/>
  </r>
  <r>
    <x v="2684"/>
    <x v="2684"/>
    <x v="3"/>
    <x v="11"/>
    <x v="0"/>
    <x v="9"/>
    <n v="209995"/>
    <n v="112482"/>
    <n v="86236"/>
    <n v="7778"/>
    <n v="835"/>
    <n v="462"/>
    <n v="39"/>
    <n v="1415"/>
    <n v="0.10568672016327288"/>
    <x v="0"/>
  </r>
  <r>
    <x v="2685"/>
    <x v="2685"/>
    <x v="2"/>
    <x v="19"/>
    <x v="5"/>
    <x v="5"/>
    <n v="415793"/>
    <n v="261681"/>
    <n v="197479"/>
    <n v="9264"/>
    <n v="1060"/>
    <n v="590"/>
    <n v="6"/>
    <n v="2344"/>
    <n v="5.5297018923531109E-2"/>
    <x v="1"/>
  </r>
  <r>
    <x v="2686"/>
    <x v="2686"/>
    <x v="3"/>
    <x v="11"/>
    <x v="2"/>
    <x v="14"/>
    <n v="187713"/>
    <n v="80899"/>
    <n v="72965"/>
    <n v="2411"/>
    <n v="75"/>
    <n v="55"/>
    <n v="43"/>
    <n v="1834"/>
    <n v="3.5414239703967655E-2"/>
    <x v="1"/>
  </r>
  <r>
    <x v="2687"/>
    <x v="2687"/>
    <x v="0"/>
    <x v="22"/>
    <x v="5"/>
    <x v="10"/>
    <n v="374634"/>
    <n v="121006"/>
    <n v="100641"/>
    <n v="2698"/>
    <n v="113"/>
    <n v="113"/>
    <n v="252"/>
    <n v="929"/>
    <n v="3.1557715046551603E-2"/>
    <x v="2"/>
  </r>
  <r>
    <x v="2688"/>
    <x v="2688"/>
    <x v="4"/>
    <x v="14"/>
    <x v="4"/>
    <x v="13"/>
    <n v="345441"/>
    <n v="80186"/>
    <n v="58695"/>
    <n v="3639"/>
    <n v="336"/>
    <n v="472"/>
    <n v="656"/>
    <n v="820"/>
    <n v="8.694096601073345E-2"/>
    <x v="0"/>
  </r>
  <r>
    <x v="2689"/>
    <x v="2689"/>
    <x v="1"/>
    <x v="8"/>
    <x v="0"/>
    <x v="16"/>
    <n v="347193"/>
    <n v="194294"/>
    <n v="174668"/>
    <n v="4118"/>
    <n v="464"/>
    <n v="219"/>
    <n v="469"/>
    <n v="3266"/>
    <n v="3.017152540820299E-2"/>
    <x v="0"/>
  </r>
  <r>
    <x v="2690"/>
    <x v="2690"/>
    <x v="3"/>
    <x v="15"/>
    <x v="2"/>
    <x v="14"/>
    <n v="437048"/>
    <n v="38424"/>
    <n v="31416"/>
    <n v="913"/>
    <n v="116"/>
    <n v="122"/>
    <n v="31"/>
    <n v="1215"/>
    <n v="3.7624140565317037E-2"/>
    <x v="1"/>
  </r>
  <r>
    <x v="2691"/>
    <x v="2691"/>
    <x v="1"/>
    <x v="8"/>
    <x v="5"/>
    <x v="8"/>
    <n v="389901"/>
    <n v="230653"/>
    <n v="183250"/>
    <n v="5492"/>
    <n v="838"/>
    <n v="681"/>
    <n v="516"/>
    <n v="6407"/>
    <n v="4.1075034106412008E-2"/>
    <x v="0"/>
  </r>
  <r>
    <x v="2692"/>
    <x v="2692"/>
    <x v="2"/>
    <x v="3"/>
    <x v="5"/>
    <x v="15"/>
    <n v="82324"/>
    <n v="50856"/>
    <n v="41338"/>
    <n v="1544"/>
    <n v="274"/>
    <n v="211"/>
    <n v="7"/>
    <n v="1616"/>
    <n v="4.9252503749576661E-2"/>
    <x v="1"/>
  </r>
  <r>
    <x v="2693"/>
    <x v="2693"/>
    <x v="0"/>
    <x v="0"/>
    <x v="5"/>
    <x v="10"/>
    <n v="752317"/>
    <n v="244482"/>
    <n v="224140"/>
    <n v="14693"/>
    <n v="1372"/>
    <n v="1722"/>
    <n v="741"/>
    <n v="6309"/>
    <n v="8.2662621575800843E-2"/>
    <x v="0"/>
  </r>
  <r>
    <x v="2694"/>
    <x v="2694"/>
    <x v="0"/>
    <x v="6"/>
    <x v="5"/>
    <x v="0"/>
    <n v="259258"/>
    <n v="58765"/>
    <n v="47123"/>
    <n v="2138"/>
    <n v="92"/>
    <n v="284"/>
    <n v="242"/>
    <n v="953"/>
    <n v="5.8485240752923204E-2"/>
    <x v="1"/>
  </r>
  <r>
    <x v="2695"/>
    <x v="2695"/>
    <x v="4"/>
    <x v="14"/>
    <x v="4"/>
    <x v="11"/>
    <n v="808689"/>
    <n v="393085"/>
    <n v="286500"/>
    <n v="17331"/>
    <n v="579"/>
    <n v="1760"/>
    <n v="2359"/>
    <n v="3094"/>
    <n v="7.6890052356020949E-2"/>
    <x v="2"/>
  </r>
  <r>
    <x v="2696"/>
    <x v="2696"/>
    <x v="2"/>
    <x v="5"/>
    <x v="4"/>
    <x v="2"/>
    <n v="165589"/>
    <n v="87875"/>
    <n v="63809"/>
    <n v="4579"/>
    <n v="397"/>
    <n v="227"/>
    <n v="48"/>
    <n v="2010"/>
    <n v="8.2292466579949541E-2"/>
    <x v="0"/>
  </r>
  <r>
    <x v="2697"/>
    <x v="2697"/>
    <x v="0"/>
    <x v="23"/>
    <x v="4"/>
    <x v="0"/>
    <n v="66653"/>
    <n v="11597"/>
    <n v="10042"/>
    <n v="306"/>
    <n v="25"/>
    <n v="42"/>
    <n v="73"/>
    <n v="252"/>
    <n v="4.4413463453495318E-2"/>
    <x v="0"/>
  </r>
  <r>
    <x v="2698"/>
    <x v="2698"/>
    <x v="3"/>
    <x v="11"/>
    <x v="2"/>
    <x v="9"/>
    <n v="798375"/>
    <n v="396590"/>
    <n v="295862"/>
    <n v="12362"/>
    <n v="1525"/>
    <n v="1661"/>
    <n v="9"/>
    <n v="2281"/>
    <n v="5.2581946988798832E-2"/>
    <x v="0"/>
  </r>
  <r>
    <x v="2699"/>
    <x v="2699"/>
    <x v="0"/>
    <x v="6"/>
    <x v="0"/>
    <x v="10"/>
    <n v="318680"/>
    <n v="92970"/>
    <n v="72137"/>
    <n v="7014"/>
    <n v="785"/>
    <n v="340"/>
    <n v="1731"/>
    <n v="1104"/>
    <n v="0.13682298958925379"/>
    <x v="0"/>
  </r>
  <r>
    <x v="2700"/>
    <x v="2700"/>
    <x v="4"/>
    <x v="21"/>
    <x v="4"/>
    <x v="11"/>
    <n v="85806"/>
    <n v="31543"/>
    <n v="27366"/>
    <n v="1665"/>
    <n v="182"/>
    <n v="73"/>
    <n v="376"/>
    <n v="1047"/>
    <n v="8.3899729591463856E-2"/>
    <x v="0"/>
  </r>
  <r>
    <x v="2701"/>
    <x v="2701"/>
    <x v="1"/>
    <x v="7"/>
    <x v="0"/>
    <x v="8"/>
    <n v="546115"/>
    <n v="256022"/>
    <n v="210805"/>
    <n v="13760"/>
    <n v="2092"/>
    <n v="1404"/>
    <n v="2307"/>
    <n v="7170"/>
    <n v="9.2801404141268001E-2"/>
    <x v="0"/>
  </r>
  <r>
    <x v="2702"/>
    <x v="2702"/>
    <x v="4"/>
    <x v="20"/>
    <x v="5"/>
    <x v="11"/>
    <n v="442435"/>
    <n v="115939"/>
    <n v="90778"/>
    <n v="5572"/>
    <n v="916"/>
    <n v="772"/>
    <n v="777"/>
    <n v="3846"/>
    <n v="8.8534666989799296E-2"/>
    <x v="1"/>
  </r>
  <r>
    <x v="2703"/>
    <x v="2703"/>
    <x v="2"/>
    <x v="3"/>
    <x v="2"/>
    <x v="15"/>
    <n v="699311"/>
    <n v="249523"/>
    <n v="224415"/>
    <n v="5673"/>
    <n v="510"/>
    <n v="772"/>
    <n v="3"/>
    <n v="7884"/>
    <n v="3.1005057594189336E-2"/>
    <x v="2"/>
  </r>
  <r>
    <x v="2704"/>
    <x v="2704"/>
    <x v="2"/>
    <x v="3"/>
    <x v="1"/>
    <x v="3"/>
    <n v="505827"/>
    <n v="95288"/>
    <n v="67570"/>
    <n v="3608"/>
    <n v="538"/>
    <n v="458"/>
    <n v="49"/>
    <n v="1245"/>
    <n v="6.886192097084505E-2"/>
    <x v="1"/>
  </r>
  <r>
    <x v="2705"/>
    <x v="2705"/>
    <x v="2"/>
    <x v="19"/>
    <x v="1"/>
    <x v="15"/>
    <n v="129160"/>
    <n v="14597"/>
    <n v="12649"/>
    <n v="719"/>
    <n v="40"/>
    <n v="78"/>
    <n v="41"/>
    <n v="104"/>
    <n v="6.9412601786702513E-2"/>
    <x v="0"/>
  </r>
  <r>
    <x v="2706"/>
    <x v="2706"/>
    <x v="1"/>
    <x v="1"/>
    <x v="2"/>
    <x v="8"/>
    <n v="437773"/>
    <n v="103539"/>
    <n v="95051"/>
    <n v="5106"/>
    <n v="592"/>
    <n v="332"/>
    <n v="707"/>
    <n v="1823"/>
    <n v="7.0877739318891964E-2"/>
    <x v="0"/>
  </r>
  <r>
    <x v="2707"/>
    <x v="2707"/>
    <x v="1"/>
    <x v="17"/>
    <x v="4"/>
    <x v="16"/>
    <n v="14491"/>
    <n v="1780"/>
    <n v="1277"/>
    <n v="128"/>
    <n v="8"/>
    <n v="4"/>
    <n v="10"/>
    <n v="39"/>
    <n v="0.11746280344557557"/>
    <x v="0"/>
  </r>
  <r>
    <x v="2708"/>
    <x v="2708"/>
    <x v="2"/>
    <x v="16"/>
    <x v="4"/>
    <x v="3"/>
    <n v="223534"/>
    <n v="87940"/>
    <n v="77090"/>
    <n v="2541"/>
    <n v="403"/>
    <n v="128"/>
    <n v="25"/>
    <n v="1734"/>
    <n v="4.0173822804514203E-2"/>
    <x v="0"/>
  </r>
  <r>
    <x v="2709"/>
    <x v="2709"/>
    <x v="0"/>
    <x v="23"/>
    <x v="3"/>
    <x v="0"/>
    <n v="42489"/>
    <n v="22549"/>
    <n v="17917"/>
    <n v="1748"/>
    <n v="114"/>
    <n v="241"/>
    <n v="272"/>
    <n v="711"/>
    <n v="0.13255567338282079"/>
    <x v="0"/>
  </r>
  <r>
    <x v="2710"/>
    <x v="2710"/>
    <x v="4"/>
    <x v="10"/>
    <x v="3"/>
    <x v="17"/>
    <n v="847986"/>
    <n v="311343"/>
    <n v="250196"/>
    <n v="21357"/>
    <n v="3305"/>
    <n v="2426"/>
    <n v="4170"/>
    <n v="7677"/>
    <n v="0.12493405170346449"/>
    <x v="0"/>
  </r>
  <r>
    <x v="2711"/>
    <x v="2711"/>
    <x v="0"/>
    <x v="6"/>
    <x v="4"/>
    <x v="10"/>
    <n v="451879"/>
    <n v="175071"/>
    <n v="140056"/>
    <n v="7331"/>
    <n v="871"/>
    <n v="991"/>
    <n v="1547"/>
    <n v="2056"/>
    <n v="7.6683612269377963E-2"/>
    <x v="1"/>
  </r>
  <r>
    <x v="2712"/>
    <x v="2712"/>
    <x v="3"/>
    <x v="15"/>
    <x v="3"/>
    <x v="14"/>
    <n v="89654"/>
    <n v="8231"/>
    <n v="7139"/>
    <n v="518"/>
    <n v="60"/>
    <n v="52"/>
    <n v="47"/>
    <n v="244"/>
    <n v="9.4831208852780499E-2"/>
    <x v="0"/>
  </r>
  <r>
    <x v="2713"/>
    <x v="2713"/>
    <x v="2"/>
    <x v="3"/>
    <x v="0"/>
    <x v="5"/>
    <n v="810860"/>
    <n v="66929"/>
    <n v="59210"/>
    <n v="2116"/>
    <n v="341"/>
    <n v="49"/>
    <n v="39"/>
    <n v="1976"/>
    <n v="4.2982604289815908E-2"/>
    <x v="0"/>
  </r>
  <r>
    <x v="2714"/>
    <x v="2714"/>
    <x v="4"/>
    <x v="10"/>
    <x v="0"/>
    <x v="13"/>
    <n v="809121"/>
    <n v="220408"/>
    <n v="171122"/>
    <n v="15152"/>
    <n v="2217"/>
    <n v="1158"/>
    <n v="1638"/>
    <n v="5806"/>
    <n v="0.11783990369444022"/>
    <x v="2"/>
  </r>
  <r>
    <x v="2715"/>
    <x v="2715"/>
    <x v="4"/>
    <x v="10"/>
    <x v="3"/>
    <x v="17"/>
    <n v="667984"/>
    <n v="126717"/>
    <n v="98430"/>
    <n v="3780"/>
    <n v="382"/>
    <n v="546"/>
    <n v="931"/>
    <n v="4270"/>
    <n v="5.7289444275119374E-2"/>
    <x v="1"/>
  </r>
  <r>
    <x v="2716"/>
    <x v="2716"/>
    <x v="4"/>
    <x v="14"/>
    <x v="1"/>
    <x v="12"/>
    <n v="563767"/>
    <n v="210763"/>
    <n v="188362"/>
    <n v="5215"/>
    <n v="286"/>
    <n v="353"/>
    <n v="282"/>
    <n v="2979"/>
    <n v="3.2575572567715358E-2"/>
    <x v="1"/>
  </r>
  <r>
    <x v="2717"/>
    <x v="2717"/>
    <x v="2"/>
    <x v="16"/>
    <x v="0"/>
    <x v="15"/>
    <n v="107277"/>
    <n v="15126"/>
    <n v="12307"/>
    <n v="303"/>
    <n v="33"/>
    <n v="9"/>
    <n v="42"/>
    <n v="471"/>
    <n v="3.1445518810433087E-2"/>
    <x v="2"/>
  </r>
  <r>
    <x v="2718"/>
    <x v="2718"/>
    <x v="0"/>
    <x v="0"/>
    <x v="2"/>
    <x v="7"/>
    <n v="162136"/>
    <n v="57700"/>
    <n v="48684"/>
    <n v="1550"/>
    <n v="49"/>
    <n v="185"/>
    <n v="367"/>
    <n v="1213"/>
    <n v="4.4182893763864924E-2"/>
    <x v="0"/>
  </r>
  <r>
    <x v="2719"/>
    <x v="2719"/>
    <x v="0"/>
    <x v="22"/>
    <x v="5"/>
    <x v="7"/>
    <n v="249155"/>
    <n v="106120"/>
    <n v="84269"/>
    <n v="5747"/>
    <n v="337"/>
    <n v="463"/>
    <n v="1410"/>
    <n v="1621"/>
    <n v="9.442380946730114E-2"/>
    <x v="0"/>
  </r>
  <r>
    <x v="2720"/>
    <x v="2720"/>
    <x v="3"/>
    <x v="9"/>
    <x v="4"/>
    <x v="4"/>
    <n v="792492"/>
    <n v="438159"/>
    <n v="315236"/>
    <n v="25233"/>
    <n v="2217"/>
    <n v="1241"/>
    <n v="10"/>
    <n v="14995"/>
    <n v="9.1046073418010631E-2"/>
    <x v="1"/>
  </r>
  <r>
    <x v="2721"/>
    <x v="2721"/>
    <x v="4"/>
    <x v="10"/>
    <x v="5"/>
    <x v="12"/>
    <n v="647410"/>
    <n v="290359"/>
    <n v="246617"/>
    <n v="19675"/>
    <n v="2982"/>
    <n v="1291"/>
    <n v="4901"/>
    <n v="2301"/>
    <n v="0.1169789592769355"/>
    <x v="1"/>
  </r>
  <r>
    <x v="2722"/>
    <x v="2722"/>
    <x v="1"/>
    <x v="8"/>
    <x v="0"/>
    <x v="6"/>
    <n v="684598"/>
    <n v="410214"/>
    <n v="317544"/>
    <n v="22750"/>
    <n v="939"/>
    <n v="725"/>
    <n v="4043"/>
    <n v="9957"/>
    <n v="8.9615927241579116E-2"/>
    <x v="2"/>
  </r>
  <r>
    <x v="2723"/>
    <x v="2723"/>
    <x v="1"/>
    <x v="8"/>
    <x v="1"/>
    <x v="1"/>
    <n v="98576"/>
    <n v="59807"/>
    <n v="52605"/>
    <n v="3648"/>
    <n v="606"/>
    <n v="440"/>
    <n v="499"/>
    <n v="1281"/>
    <n v="9.8716852010265185E-2"/>
    <x v="1"/>
  </r>
  <r>
    <x v="2724"/>
    <x v="2724"/>
    <x v="2"/>
    <x v="16"/>
    <x v="2"/>
    <x v="5"/>
    <n v="30509"/>
    <n v="12452"/>
    <n v="9678"/>
    <n v="311"/>
    <n v="33"/>
    <n v="16"/>
    <n v="12"/>
    <n v="164"/>
    <n v="3.8437693738375696E-2"/>
    <x v="0"/>
  </r>
  <r>
    <x v="2725"/>
    <x v="2725"/>
    <x v="3"/>
    <x v="11"/>
    <x v="4"/>
    <x v="14"/>
    <n v="525502"/>
    <n v="230447"/>
    <n v="210285"/>
    <n v="8049"/>
    <n v="829"/>
    <n v="469"/>
    <n v="44"/>
    <n v="2953"/>
    <n v="4.4658439736548018E-2"/>
    <x v="1"/>
  </r>
  <r>
    <x v="2726"/>
    <x v="2726"/>
    <x v="3"/>
    <x v="9"/>
    <x v="4"/>
    <x v="4"/>
    <n v="255640"/>
    <n v="851752"/>
    <n v="652708"/>
    <n v="47836"/>
    <n v="2877"/>
    <n v="3387"/>
    <n v="15"/>
    <n v="22895"/>
    <n v="8.2908436850781669E-2"/>
    <x v="0"/>
  </r>
  <r>
    <x v="2727"/>
    <x v="2727"/>
    <x v="1"/>
    <x v="7"/>
    <x v="5"/>
    <x v="6"/>
    <n v="443557"/>
    <n v="177106"/>
    <n v="125552"/>
    <n v="6859"/>
    <n v="478"/>
    <n v="841"/>
    <n v="860"/>
    <n v="3213"/>
    <n v="7.198610934114949E-2"/>
    <x v="2"/>
  </r>
  <r>
    <x v="2728"/>
    <x v="2728"/>
    <x v="1"/>
    <x v="24"/>
    <x v="1"/>
    <x v="6"/>
    <n v="139480"/>
    <n v="86765"/>
    <n v="78135"/>
    <n v="3783"/>
    <n v="341"/>
    <n v="206"/>
    <n v="382"/>
    <n v="705"/>
    <n v="6.0305880847251553E-2"/>
    <x v="0"/>
  </r>
  <r>
    <x v="2729"/>
    <x v="2729"/>
    <x v="2"/>
    <x v="16"/>
    <x v="5"/>
    <x v="5"/>
    <n v="809019"/>
    <n v="249609"/>
    <n v="196753"/>
    <n v="16947"/>
    <n v="2898"/>
    <n v="591"/>
    <n v="37"/>
    <n v="2580"/>
    <n v="0.10405432191631131"/>
    <x v="0"/>
  </r>
  <r>
    <x v="2730"/>
    <x v="2730"/>
    <x v="0"/>
    <x v="0"/>
    <x v="4"/>
    <x v="10"/>
    <n v="314002"/>
    <n v="140097"/>
    <n v="120003"/>
    <n v="9812"/>
    <n v="304"/>
    <n v="225"/>
    <n v="2071"/>
    <n v="2548"/>
    <n v="0.10343074756464422"/>
    <x v="1"/>
  </r>
  <r>
    <x v="2731"/>
    <x v="2731"/>
    <x v="2"/>
    <x v="16"/>
    <x v="5"/>
    <x v="2"/>
    <n v="545302"/>
    <n v="113821"/>
    <n v="85927"/>
    <n v="3497"/>
    <n v="333"/>
    <n v="295"/>
    <n v="49"/>
    <n v="1371"/>
    <n v="4.8576116936469328E-2"/>
    <x v="0"/>
  </r>
  <r>
    <x v="2732"/>
    <x v="2732"/>
    <x v="1"/>
    <x v="24"/>
    <x v="5"/>
    <x v="16"/>
    <n v="303375"/>
    <n v="163209"/>
    <n v="133518"/>
    <n v="7052"/>
    <n v="227"/>
    <n v="314"/>
    <n v="866"/>
    <n v="2031"/>
    <n v="6.3354753666172353E-2"/>
    <x v="0"/>
  </r>
  <r>
    <x v="2733"/>
    <x v="2733"/>
    <x v="0"/>
    <x v="6"/>
    <x v="2"/>
    <x v="7"/>
    <n v="106001"/>
    <n v="54740"/>
    <n v="39633"/>
    <n v="3243"/>
    <n v="239"/>
    <n v="391"/>
    <n v="722"/>
    <n v="1206"/>
    <n v="0.11593873792041985"/>
    <x v="1"/>
  </r>
  <r>
    <x v="2734"/>
    <x v="2734"/>
    <x v="3"/>
    <x v="18"/>
    <x v="4"/>
    <x v="9"/>
    <n v="846609"/>
    <n v="188563"/>
    <n v="172782"/>
    <n v="11804"/>
    <n v="1547"/>
    <n v="442"/>
    <n v="30"/>
    <n v="1358"/>
    <n v="8.0002546561563123E-2"/>
    <x v="2"/>
  </r>
  <r>
    <x v="2735"/>
    <x v="2735"/>
    <x v="0"/>
    <x v="6"/>
    <x v="4"/>
    <x v="10"/>
    <n v="357022"/>
    <n v="198242"/>
    <n v="175102"/>
    <n v="5108"/>
    <n v="498"/>
    <n v="282"/>
    <n v="837"/>
    <n v="6604"/>
    <n v="3.840618610866809E-2"/>
    <x v="0"/>
  </r>
  <r>
    <x v="2736"/>
    <x v="2736"/>
    <x v="4"/>
    <x v="21"/>
    <x v="1"/>
    <x v="17"/>
    <n v="177165"/>
    <n v="18689"/>
    <n v="14157"/>
    <n v="482"/>
    <n v="59"/>
    <n v="34"/>
    <n v="77"/>
    <n v="259"/>
    <n v="4.6054955145864239E-2"/>
    <x v="0"/>
  </r>
  <r>
    <x v="2737"/>
    <x v="2737"/>
    <x v="0"/>
    <x v="23"/>
    <x v="0"/>
    <x v="7"/>
    <n v="673541"/>
    <n v="227669"/>
    <n v="185647"/>
    <n v="17240"/>
    <n v="1132"/>
    <n v="2313"/>
    <n v="1966"/>
    <n v="2356"/>
    <n v="0.12201112864737916"/>
    <x v="0"/>
  </r>
  <r>
    <x v="2738"/>
    <x v="2738"/>
    <x v="3"/>
    <x v="18"/>
    <x v="2"/>
    <x v="14"/>
    <n v="128459"/>
    <n v="66540"/>
    <n v="46775"/>
    <n v="4121"/>
    <n v="123"/>
    <n v="260"/>
    <n v="12"/>
    <n v="1243"/>
    <n v="9.6547300908605027E-2"/>
    <x v="0"/>
  </r>
  <r>
    <x v="2739"/>
    <x v="2739"/>
    <x v="1"/>
    <x v="8"/>
    <x v="2"/>
    <x v="16"/>
    <n v="13070"/>
    <n v="1503"/>
    <n v="1072"/>
    <n v="98"/>
    <n v="11"/>
    <n v="4"/>
    <n v="8"/>
    <n v="46"/>
    <n v="0.11287313432835822"/>
    <x v="0"/>
  </r>
  <r>
    <x v="2740"/>
    <x v="2740"/>
    <x v="4"/>
    <x v="14"/>
    <x v="5"/>
    <x v="12"/>
    <n v="367820"/>
    <n v="175519"/>
    <n v="161173"/>
    <n v="4137"/>
    <n v="125"/>
    <n v="501"/>
    <n v="947"/>
    <n v="3269"/>
    <n v="3.5427770160014395E-2"/>
    <x v="0"/>
  </r>
  <r>
    <x v="2741"/>
    <x v="2741"/>
    <x v="3"/>
    <x v="15"/>
    <x v="0"/>
    <x v="14"/>
    <n v="588240"/>
    <n v="158422"/>
    <n v="140589"/>
    <n v="6080"/>
    <n v="335"/>
    <n v="818"/>
    <n v="12"/>
    <n v="3450"/>
    <n v="5.1533192497279307E-2"/>
    <x v="1"/>
  </r>
  <r>
    <x v="2742"/>
    <x v="2742"/>
    <x v="0"/>
    <x v="13"/>
    <x v="5"/>
    <x v="7"/>
    <n v="641090"/>
    <n v="273965"/>
    <n v="238418"/>
    <n v="9255"/>
    <n v="610"/>
    <n v="622"/>
    <n v="1433"/>
    <n v="4233"/>
    <n v="4.9996225117231084E-2"/>
    <x v="1"/>
  </r>
  <r>
    <x v="2743"/>
    <x v="2743"/>
    <x v="0"/>
    <x v="6"/>
    <x v="4"/>
    <x v="0"/>
    <n v="681599"/>
    <n v="291123"/>
    <n v="209015"/>
    <n v="16300"/>
    <n v="1345"/>
    <n v="2360"/>
    <n v="2624"/>
    <n v="4649"/>
    <n v="0.10826495706049805"/>
    <x v="0"/>
  </r>
  <r>
    <x v="2744"/>
    <x v="2744"/>
    <x v="4"/>
    <x v="14"/>
    <x v="4"/>
    <x v="12"/>
    <n v="830343"/>
    <n v="472648"/>
    <n v="361804"/>
    <n v="21607"/>
    <n v="2483"/>
    <n v="2193"/>
    <n v="1758"/>
    <n v="2960"/>
    <n v="7.7503289073642082E-2"/>
    <x v="0"/>
  </r>
  <r>
    <x v="2745"/>
    <x v="2745"/>
    <x v="4"/>
    <x v="14"/>
    <x v="5"/>
    <x v="11"/>
    <n v="570209"/>
    <n v="68703"/>
    <n v="62577"/>
    <n v="3324"/>
    <n v="180"/>
    <n v="187"/>
    <n v="686"/>
    <n v="963"/>
    <n v="6.9945826741454525E-2"/>
    <x v="1"/>
  </r>
  <r>
    <x v="2746"/>
    <x v="2746"/>
    <x v="4"/>
    <x v="21"/>
    <x v="0"/>
    <x v="13"/>
    <n v="195279"/>
    <n v="102427"/>
    <n v="79509"/>
    <n v="5367"/>
    <n v="178"/>
    <n v="725"/>
    <n v="973"/>
    <n v="3545"/>
    <n v="9.1096605415739093E-2"/>
    <x v="1"/>
  </r>
  <r>
    <x v="2747"/>
    <x v="2747"/>
    <x v="0"/>
    <x v="6"/>
    <x v="2"/>
    <x v="0"/>
    <n v="600025"/>
    <n v="145552"/>
    <n v="132768"/>
    <n v="8653"/>
    <n v="1550"/>
    <n v="675"/>
    <n v="1619"/>
    <n v="3599"/>
    <n v="9.4126596770306104E-2"/>
    <x v="1"/>
  </r>
  <r>
    <x v="2748"/>
    <x v="2748"/>
    <x v="0"/>
    <x v="6"/>
    <x v="1"/>
    <x v="0"/>
    <n v="738812"/>
    <n v="172191"/>
    <n v="143255"/>
    <n v="3580"/>
    <n v="163"/>
    <n v="394"/>
    <n v="581"/>
    <n v="1520"/>
    <n v="3.2934278035670658E-2"/>
    <x v="0"/>
  </r>
  <r>
    <x v="2749"/>
    <x v="2749"/>
    <x v="1"/>
    <x v="24"/>
    <x v="1"/>
    <x v="1"/>
    <n v="825340"/>
    <n v="83513"/>
    <n v="76337"/>
    <n v="3398"/>
    <n v="393"/>
    <n v="85"/>
    <n v="779"/>
    <n v="1541"/>
    <n v="6.0979603599827084E-2"/>
    <x v="0"/>
  </r>
  <r>
    <x v="2750"/>
    <x v="2750"/>
    <x v="4"/>
    <x v="21"/>
    <x v="5"/>
    <x v="13"/>
    <n v="725069"/>
    <n v="123857"/>
    <n v="101214"/>
    <n v="6076"/>
    <n v="599"/>
    <n v="313"/>
    <n v="1394"/>
    <n v="821"/>
    <n v="8.2814630387100602E-2"/>
    <x v="1"/>
  </r>
  <r>
    <x v="2751"/>
    <x v="2751"/>
    <x v="3"/>
    <x v="18"/>
    <x v="2"/>
    <x v="14"/>
    <n v="101580"/>
    <n v="47170"/>
    <n v="40450"/>
    <n v="3291"/>
    <n v="222"/>
    <n v="340"/>
    <n v="19"/>
    <n v="1123"/>
    <n v="9.5723114956736716E-2"/>
    <x v="1"/>
  </r>
  <r>
    <x v="2752"/>
    <x v="2752"/>
    <x v="1"/>
    <x v="17"/>
    <x v="4"/>
    <x v="16"/>
    <n v="167009"/>
    <n v="43445"/>
    <n v="34968"/>
    <n v="1766"/>
    <n v="118"/>
    <n v="261"/>
    <n v="380"/>
    <n v="1511"/>
    <n v="7.2208876687256923E-2"/>
    <x v="1"/>
  </r>
  <r>
    <x v="2753"/>
    <x v="2753"/>
    <x v="2"/>
    <x v="16"/>
    <x v="5"/>
    <x v="2"/>
    <n v="379903"/>
    <n v="105543"/>
    <n v="85697"/>
    <n v="5640"/>
    <n v="965"/>
    <n v="755"/>
    <n v="23"/>
    <n v="605"/>
    <n v="8.6152374062102521E-2"/>
    <x v="2"/>
  </r>
  <r>
    <x v="2754"/>
    <x v="2754"/>
    <x v="2"/>
    <x v="2"/>
    <x v="0"/>
    <x v="2"/>
    <n v="327432"/>
    <n v="121407"/>
    <n v="90972"/>
    <n v="2801"/>
    <n v="157"/>
    <n v="184"/>
    <n v="25"/>
    <n v="2941"/>
    <n v="3.4812909466649077E-2"/>
    <x v="0"/>
  </r>
  <r>
    <x v="2755"/>
    <x v="2755"/>
    <x v="3"/>
    <x v="18"/>
    <x v="5"/>
    <x v="9"/>
    <n v="615880"/>
    <n v="269266"/>
    <n v="205437"/>
    <n v="12738"/>
    <n v="929"/>
    <n v="450"/>
    <n v="44"/>
    <n v="3861"/>
    <n v="6.8931107833545072E-2"/>
    <x v="0"/>
  </r>
  <r>
    <x v="2756"/>
    <x v="2756"/>
    <x v="1"/>
    <x v="1"/>
    <x v="2"/>
    <x v="8"/>
    <n v="635166"/>
    <n v="285693"/>
    <n v="232830"/>
    <n v="15836"/>
    <n v="2015"/>
    <n v="723"/>
    <n v="2834"/>
    <n v="8760"/>
    <n v="9.1946914057466828E-2"/>
    <x v="0"/>
  </r>
  <r>
    <x v="2757"/>
    <x v="2757"/>
    <x v="0"/>
    <x v="0"/>
    <x v="0"/>
    <x v="10"/>
    <n v="552468"/>
    <n v="253664"/>
    <n v="226925"/>
    <n v="14930"/>
    <n v="1094"/>
    <n v="1494"/>
    <n v="2581"/>
    <n v="7715"/>
    <n v="8.8571113804120305E-2"/>
    <x v="2"/>
  </r>
  <r>
    <x v="2758"/>
    <x v="2758"/>
    <x v="4"/>
    <x v="10"/>
    <x v="4"/>
    <x v="13"/>
    <n v="465432"/>
    <n v="159478"/>
    <n v="118429"/>
    <n v="3683"/>
    <n v="256"/>
    <n v="372"/>
    <n v="186"/>
    <n v="3635"/>
    <n v="3.7972118315615262E-2"/>
    <x v="0"/>
  </r>
  <r>
    <x v="2759"/>
    <x v="2759"/>
    <x v="1"/>
    <x v="1"/>
    <x v="1"/>
    <x v="1"/>
    <n v="495675"/>
    <n v="210434"/>
    <n v="161459"/>
    <n v="10268"/>
    <n v="1381"/>
    <n v="895"/>
    <n v="1709"/>
    <n v="5568"/>
    <n v="8.8276280665679829E-2"/>
    <x v="0"/>
  </r>
  <r>
    <x v="2760"/>
    <x v="2760"/>
    <x v="3"/>
    <x v="9"/>
    <x v="3"/>
    <x v="4"/>
    <n v="324546"/>
    <n v="84493"/>
    <n v="60181"/>
    <n v="3174"/>
    <n v="133"/>
    <n v="318"/>
    <n v="40"/>
    <n v="1228"/>
    <n v="6.0899619481231619E-2"/>
    <x v="1"/>
  </r>
  <r>
    <x v="2761"/>
    <x v="2761"/>
    <x v="4"/>
    <x v="10"/>
    <x v="5"/>
    <x v="17"/>
    <n v="697969"/>
    <n v="450826"/>
    <n v="352325"/>
    <n v="27867"/>
    <n v="2884"/>
    <n v="782"/>
    <n v="6446"/>
    <n v="15711"/>
    <n v="0.10779535939828283"/>
    <x v="0"/>
  </r>
  <r>
    <x v="2762"/>
    <x v="2762"/>
    <x v="3"/>
    <x v="9"/>
    <x v="3"/>
    <x v="14"/>
    <n v="339089"/>
    <n v="195468"/>
    <n v="164365"/>
    <n v="8785"/>
    <n v="382"/>
    <n v="215"/>
    <n v="33"/>
    <n v="2395"/>
    <n v="5.7281051318711404E-2"/>
    <x v="1"/>
  </r>
  <r>
    <x v="2763"/>
    <x v="2763"/>
    <x v="1"/>
    <x v="24"/>
    <x v="1"/>
    <x v="1"/>
    <n v="116913"/>
    <n v="25076"/>
    <n v="23009"/>
    <n v="994"/>
    <n v="136"/>
    <n v="45"/>
    <n v="210"/>
    <n v="646"/>
    <n v="6.0193837194141425E-2"/>
    <x v="0"/>
  </r>
  <r>
    <x v="2764"/>
    <x v="2764"/>
    <x v="0"/>
    <x v="6"/>
    <x v="2"/>
    <x v="0"/>
    <n v="805558"/>
    <n v="146699"/>
    <n v="117704"/>
    <n v="9724"/>
    <n v="777"/>
    <n v="1345"/>
    <n v="1036"/>
    <n v="1286"/>
    <n v="0.10944402908992047"/>
    <x v="1"/>
  </r>
  <r>
    <x v="2765"/>
    <x v="2765"/>
    <x v="4"/>
    <x v="12"/>
    <x v="0"/>
    <x v="12"/>
    <n v="489743"/>
    <n v="291192"/>
    <n v="212143"/>
    <n v="18815"/>
    <n v="689"/>
    <n v="1306"/>
    <n v="3880"/>
    <n v="8908"/>
    <n v="0.11638376001093602"/>
    <x v="0"/>
  </r>
  <r>
    <x v="2766"/>
    <x v="2766"/>
    <x v="1"/>
    <x v="24"/>
    <x v="4"/>
    <x v="8"/>
    <n v="4659"/>
    <n v="3027"/>
    <n v="2368"/>
    <n v="234"/>
    <n v="15"/>
    <n v="15"/>
    <n v="24"/>
    <n v="79"/>
    <n v="0.12162162162162163"/>
    <x v="1"/>
  </r>
  <r>
    <x v="2767"/>
    <x v="2767"/>
    <x v="4"/>
    <x v="12"/>
    <x v="5"/>
    <x v="17"/>
    <n v="101735"/>
    <n v="50010"/>
    <n v="37966"/>
    <n v="2920"/>
    <n v="406"/>
    <n v="417"/>
    <n v="645"/>
    <n v="393"/>
    <n v="0.11557709529579097"/>
    <x v="0"/>
  </r>
  <r>
    <x v="2768"/>
    <x v="2768"/>
    <x v="3"/>
    <x v="15"/>
    <x v="2"/>
    <x v="4"/>
    <n v="768192"/>
    <n v="350058"/>
    <n v="273047"/>
    <n v="15160"/>
    <n v="1895"/>
    <n v="1783"/>
    <n v="46"/>
    <n v="12164"/>
    <n v="6.9160254461686083E-2"/>
    <x v="0"/>
  </r>
  <r>
    <x v="2769"/>
    <x v="2769"/>
    <x v="1"/>
    <x v="24"/>
    <x v="2"/>
    <x v="1"/>
    <n v="761958"/>
    <n v="409610"/>
    <n v="290823"/>
    <n v="18160"/>
    <n v="754"/>
    <n v="636"/>
    <n v="1727"/>
    <n v="2257"/>
    <n v="7.3161338683666699E-2"/>
    <x v="0"/>
  </r>
  <r>
    <x v="2770"/>
    <x v="2770"/>
    <x v="1"/>
    <x v="1"/>
    <x v="5"/>
    <x v="16"/>
    <n v="208357"/>
    <n v="76831"/>
    <n v="66492"/>
    <n v="3467"/>
    <n v="517"/>
    <n v="511"/>
    <n v="634"/>
    <n v="888"/>
    <n v="7.7137099199903747E-2"/>
    <x v="0"/>
  </r>
  <r>
    <x v="2771"/>
    <x v="2771"/>
    <x v="0"/>
    <x v="13"/>
    <x v="1"/>
    <x v="0"/>
    <n v="553857"/>
    <n v="220008"/>
    <n v="183652"/>
    <n v="14668"/>
    <n v="1093"/>
    <n v="1800"/>
    <n v="2434"/>
    <n v="1379"/>
    <n v="0.1088743928734781"/>
    <x v="1"/>
  </r>
  <r>
    <x v="2772"/>
    <x v="2772"/>
    <x v="1"/>
    <x v="8"/>
    <x v="1"/>
    <x v="6"/>
    <n v="485735"/>
    <n v="242188"/>
    <n v="191166"/>
    <n v="10486"/>
    <n v="1223"/>
    <n v="603"/>
    <n v="1161"/>
    <n v="4523"/>
    <n v="7.0478013872759801E-2"/>
    <x v="2"/>
  </r>
  <r>
    <x v="2773"/>
    <x v="2773"/>
    <x v="0"/>
    <x v="22"/>
    <x v="5"/>
    <x v="7"/>
    <n v="714910"/>
    <n v="198598"/>
    <n v="161555"/>
    <n v="13091"/>
    <n v="1637"/>
    <n v="1534"/>
    <n v="2344"/>
    <n v="2917"/>
    <n v="0.11516820896908174"/>
    <x v="2"/>
  </r>
  <r>
    <x v="2774"/>
    <x v="2774"/>
    <x v="1"/>
    <x v="8"/>
    <x v="0"/>
    <x v="16"/>
    <n v="306034"/>
    <n v="68451"/>
    <n v="48838"/>
    <n v="2350"/>
    <n v="93"/>
    <n v="79"/>
    <n v="134"/>
    <n v="1224"/>
    <n v="5.4383881403824892E-2"/>
    <x v="0"/>
  </r>
  <r>
    <x v="2775"/>
    <x v="2775"/>
    <x v="1"/>
    <x v="1"/>
    <x v="0"/>
    <x v="1"/>
    <n v="622979"/>
    <n v="288341"/>
    <n v="207605"/>
    <n v="10978"/>
    <n v="1512"/>
    <n v="1408"/>
    <n v="2691"/>
    <n v="2773"/>
    <n v="7.9906553310373066E-2"/>
    <x v="0"/>
  </r>
  <r>
    <x v="2776"/>
    <x v="2776"/>
    <x v="3"/>
    <x v="9"/>
    <x v="4"/>
    <x v="9"/>
    <n v="285163"/>
    <n v="1417713"/>
    <n v="1082089"/>
    <n v="56415"/>
    <n v="2846"/>
    <n v="3044"/>
    <n v="38"/>
    <n v="13731"/>
    <n v="5.7613560437265329E-2"/>
    <x v="0"/>
  </r>
  <r>
    <x v="2777"/>
    <x v="2777"/>
    <x v="1"/>
    <x v="17"/>
    <x v="2"/>
    <x v="6"/>
    <n v="103697"/>
    <n v="34751"/>
    <n v="25635"/>
    <n v="2069"/>
    <n v="112"/>
    <n v="219"/>
    <n v="241"/>
    <n v="841"/>
    <n v="0.1030232104544568"/>
    <x v="1"/>
  </r>
  <r>
    <x v="2778"/>
    <x v="2778"/>
    <x v="1"/>
    <x v="24"/>
    <x v="0"/>
    <x v="16"/>
    <n v="636014"/>
    <n v="188871"/>
    <n v="171308"/>
    <n v="15080"/>
    <n v="868"/>
    <n v="851"/>
    <n v="2975"/>
    <n v="3887"/>
    <n v="0.11542951876152895"/>
    <x v="0"/>
  </r>
  <r>
    <x v="2779"/>
    <x v="2779"/>
    <x v="3"/>
    <x v="18"/>
    <x v="3"/>
    <x v="4"/>
    <n v="610696"/>
    <n v="123881"/>
    <n v="111384"/>
    <n v="2503"/>
    <n v="146"/>
    <n v="258"/>
    <n v="2"/>
    <n v="2839"/>
    <n v="2.6116856999209941E-2"/>
    <x v="0"/>
  </r>
  <r>
    <x v="2780"/>
    <x v="2780"/>
    <x v="1"/>
    <x v="1"/>
    <x v="0"/>
    <x v="6"/>
    <n v="758859"/>
    <n v="243708"/>
    <n v="179381"/>
    <n v="5881"/>
    <n v="834"/>
    <n v="816"/>
    <n v="526"/>
    <n v="2585"/>
    <n v="4.4915570768364541E-2"/>
    <x v="0"/>
  </r>
  <r>
    <x v="2781"/>
    <x v="2781"/>
    <x v="3"/>
    <x v="9"/>
    <x v="4"/>
    <x v="4"/>
    <n v="479479"/>
    <n v="236853"/>
    <n v="201814"/>
    <n v="7497"/>
    <n v="789"/>
    <n v="212"/>
    <n v="27"/>
    <n v="2365"/>
    <n v="4.2241866272904757E-2"/>
    <x v="0"/>
  </r>
  <r>
    <x v="2782"/>
    <x v="2782"/>
    <x v="1"/>
    <x v="8"/>
    <x v="1"/>
    <x v="6"/>
    <n v="208910"/>
    <n v="127194"/>
    <n v="109235"/>
    <n v="4203"/>
    <n v="505"/>
    <n v="99"/>
    <n v="331"/>
    <n v="3236"/>
    <n v="4.7036206344120472E-2"/>
    <x v="1"/>
  </r>
  <r>
    <x v="2783"/>
    <x v="2783"/>
    <x v="4"/>
    <x v="10"/>
    <x v="5"/>
    <x v="11"/>
    <n v="80524"/>
    <n v="21973"/>
    <n v="16277"/>
    <n v="1741"/>
    <n v="117"/>
    <n v="118"/>
    <n v="241"/>
    <n v="127"/>
    <n v="0.13620446028137864"/>
    <x v="1"/>
  </r>
  <r>
    <x v="2784"/>
    <x v="2784"/>
    <x v="1"/>
    <x v="24"/>
    <x v="2"/>
    <x v="1"/>
    <n v="437641"/>
    <n v="208167"/>
    <n v="177388"/>
    <n v="6619"/>
    <n v="1146"/>
    <n v="371"/>
    <n v="797"/>
    <n v="2269"/>
    <n v="5.0358536090378152E-2"/>
    <x v="0"/>
  </r>
  <r>
    <x v="2785"/>
    <x v="2785"/>
    <x v="1"/>
    <x v="8"/>
    <x v="4"/>
    <x v="8"/>
    <n v="535663"/>
    <n v="220709"/>
    <n v="184801"/>
    <n v="14099"/>
    <n v="2128"/>
    <n v="1398"/>
    <n v="1664"/>
    <n v="6151"/>
    <n v="0.10437714081633757"/>
    <x v="0"/>
  </r>
  <r>
    <x v="2786"/>
    <x v="2786"/>
    <x v="2"/>
    <x v="3"/>
    <x v="1"/>
    <x v="3"/>
    <n v="64571"/>
    <n v="41650"/>
    <n v="36564"/>
    <n v="2025"/>
    <n v="129"/>
    <n v="235"/>
    <n v="43"/>
    <n v="447"/>
    <n v="6.6513510556831856E-2"/>
    <x v="0"/>
  </r>
  <r>
    <x v="2787"/>
    <x v="2787"/>
    <x v="4"/>
    <x v="21"/>
    <x v="3"/>
    <x v="11"/>
    <n v="529886"/>
    <n v="161336"/>
    <n v="123055"/>
    <n v="10187"/>
    <n v="1456"/>
    <n v="426"/>
    <n v="1772"/>
    <n v="2108"/>
    <n v="0.11247816017228068"/>
    <x v="0"/>
  </r>
  <r>
    <x v="2788"/>
    <x v="2788"/>
    <x v="0"/>
    <x v="22"/>
    <x v="1"/>
    <x v="10"/>
    <n v="811064"/>
    <n v="127933"/>
    <n v="102445"/>
    <n v="9764"/>
    <n v="1662"/>
    <n v="196"/>
    <n v="825"/>
    <n v="3782"/>
    <n v="0.12149934110986382"/>
    <x v="1"/>
  </r>
  <r>
    <x v="2789"/>
    <x v="2789"/>
    <x v="0"/>
    <x v="22"/>
    <x v="2"/>
    <x v="10"/>
    <n v="702891"/>
    <n v="356891"/>
    <n v="277703"/>
    <n v="15927"/>
    <n v="2038"/>
    <n v="2344"/>
    <n v="1251"/>
    <n v="8847"/>
    <n v="7.763689985344055E-2"/>
    <x v="0"/>
  </r>
  <r>
    <x v="2790"/>
    <x v="2790"/>
    <x v="3"/>
    <x v="15"/>
    <x v="2"/>
    <x v="14"/>
    <n v="330783"/>
    <n v="83444"/>
    <n v="62970"/>
    <n v="3793"/>
    <n v="265"/>
    <n v="490"/>
    <n v="49"/>
    <n v="1230"/>
    <n v="7.3003017309830082E-2"/>
    <x v="0"/>
  </r>
  <r>
    <x v="2791"/>
    <x v="2791"/>
    <x v="0"/>
    <x v="23"/>
    <x v="4"/>
    <x v="10"/>
    <n v="238346"/>
    <n v="74494"/>
    <n v="56979"/>
    <n v="2476"/>
    <n v="396"/>
    <n v="273"/>
    <n v="572"/>
    <n v="2252"/>
    <n v="6.523456010108987E-2"/>
    <x v="2"/>
  </r>
  <r>
    <x v="2792"/>
    <x v="2792"/>
    <x v="1"/>
    <x v="24"/>
    <x v="0"/>
    <x v="6"/>
    <n v="47599"/>
    <n v="12900"/>
    <n v="10544"/>
    <n v="761"/>
    <n v="26"/>
    <n v="105"/>
    <n v="150"/>
    <n v="157"/>
    <n v="9.8823975720789076E-2"/>
    <x v="2"/>
  </r>
  <r>
    <x v="2793"/>
    <x v="2793"/>
    <x v="0"/>
    <x v="0"/>
    <x v="4"/>
    <x v="7"/>
    <n v="291524"/>
    <n v="70135"/>
    <n v="56246"/>
    <n v="3232"/>
    <n v="412"/>
    <n v="345"/>
    <n v="349"/>
    <n v="694"/>
    <n v="7.7125484478896278E-2"/>
    <x v="0"/>
  </r>
  <r>
    <x v="2794"/>
    <x v="2794"/>
    <x v="4"/>
    <x v="20"/>
    <x v="1"/>
    <x v="12"/>
    <n v="772722"/>
    <n v="1399658"/>
    <n v="1013366"/>
    <n v="52710"/>
    <n v="8217"/>
    <n v="3041"/>
    <n v="10767"/>
    <n v="22615"/>
    <n v="7.3749267293356985E-2"/>
    <x v="1"/>
  </r>
  <r>
    <x v="2795"/>
    <x v="2795"/>
    <x v="3"/>
    <x v="9"/>
    <x v="5"/>
    <x v="14"/>
    <n v="617397"/>
    <n v="58372"/>
    <n v="48362"/>
    <n v="4062"/>
    <n v="522"/>
    <n v="492"/>
    <n v="3"/>
    <n v="1061"/>
    <n v="0.10502047061742691"/>
    <x v="1"/>
  </r>
  <r>
    <x v="2796"/>
    <x v="2796"/>
    <x v="0"/>
    <x v="13"/>
    <x v="0"/>
    <x v="0"/>
    <n v="299487"/>
    <n v="59466"/>
    <n v="54154"/>
    <n v="2221"/>
    <n v="362"/>
    <n v="69"/>
    <n v="143"/>
    <n v="1115"/>
    <n v="5.1612069283894078E-2"/>
    <x v="1"/>
  </r>
  <r>
    <x v="2797"/>
    <x v="2797"/>
    <x v="4"/>
    <x v="14"/>
    <x v="5"/>
    <x v="12"/>
    <n v="230069"/>
    <n v="113867"/>
    <n v="91122"/>
    <n v="4439"/>
    <n v="390"/>
    <n v="97"/>
    <n v="604"/>
    <n v="3871"/>
    <n v="6.068786901077676E-2"/>
    <x v="0"/>
  </r>
  <r>
    <x v="2798"/>
    <x v="2798"/>
    <x v="3"/>
    <x v="4"/>
    <x v="5"/>
    <x v="9"/>
    <n v="350764"/>
    <n v="141386"/>
    <n v="107238"/>
    <n v="3944"/>
    <n v="389"/>
    <n v="105"/>
    <n v="9"/>
    <n v="982"/>
    <n v="4.146850929707753E-2"/>
    <x v="1"/>
  </r>
  <r>
    <x v="2799"/>
    <x v="2799"/>
    <x v="0"/>
    <x v="22"/>
    <x v="2"/>
    <x v="0"/>
    <n v="746310"/>
    <n v="427681"/>
    <n v="378983"/>
    <n v="15124"/>
    <n v="2158"/>
    <n v="1514"/>
    <n v="1552"/>
    <n v="2597"/>
    <n v="5.3691062659802682E-2"/>
    <x v="0"/>
  </r>
  <r>
    <x v="2800"/>
    <x v="2800"/>
    <x v="0"/>
    <x v="6"/>
    <x v="0"/>
    <x v="7"/>
    <n v="367155"/>
    <n v="207124"/>
    <n v="167623"/>
    <n v="10347"/>
    <n v="425"/>
    <n v="402"/>
    <n v="1425"/>
    <n v="3035"/>
    <n v="7.5162716333677354E-2"/>
    <x v="0"/>
  </r>
  <r>
    <x v="2801"/>
    <x v="2801"/>
    <x v="1"/>
    <x v="24"/>
    <x v="2"/>
    <x v="8"/>
    <n v="756646"/>
    <n v="379551"/>
    <n v="321986"/>
    <n v="10513"/>
    <n v="1522"/>
    <n v="524"/>
    <n v="1019"/>
    <n v="2341"/>
    <n v="4.2169535321411489E-2"/>
    <x v="1"/>
  </r>
  <r>
    <x v="2802"/>
    <x v="2802"/>
    <x v="3"/>
    <x v="4"/>
    <x v="2"/>
    <x v="14"/>
    <n v="105666"/>
    <n v="50926"/>
    <n v="44304"/>
    <n v="1097"/>
    <n v="130"/>
    <n v="119"/>
    <n v="7"/>
    <n v="506"/>
    <n v="3.0539003250270855E-2"/>
    <x v="1"/>
  </r>
  <r>
    <x v="2803"/>
    <x v="2803"/>
    <x v="3"/>
    <x v="4"/>
    <x v="4"/>
    <x v="14"/>
    <n v="833448"/>
    <n v="311974"/>
    <n v="277243"/>
    <n v="11965"/>
    <n v="496"/>
    <n v="1343"/>
    <n v="16"/>
    <n v="7387"/>
    <n v="4.9847967306658782E-2"/>
    <x v="1"/>
  </r>
  <r>
    <x v="2804"/>
    <x v="2804"/>
    <x v="0"/>
    <x v="22"/>
    <x v="0"/>
    <x v="7"/>
    <n v="449584"/>
    <n v="80482"/>
    <n v="65766"/>
    <n v="5037"/>
    <n v="623"/>
    <n v="660"/>
    <n v="1097"/>
    <n v="2561"/>
    <n v="0.11277863941854453"/>
    <x v="0"/>
  </r>
  <r>
    <x v="2805"/>
    <x v="2805"/>
    <x v="4"/>
    <x v="12"/>
    <x v="1"/>
    <x v="17"/>
    <n v="735285"/>
    <n v="121024"/>
    <n v="89749"/>
    <n v="7764"/>
    <n v="806"/>
    <n v="657"/>
    <n v="1190"/>
    <n v="3013"/>
    <n v="0.11606814560607917"/>
    <x v="0"/>
  </r>
  <r>
    <x v="2806"/>
    <x v="2806"/>
    <x v="4"/>
    <x v="21"/>
    <x v="4"/>
    <x v="17"/>
    <n v="266158"/>
    <n v="97650"/>
    <n v="73147"/>
    <n v="4053"/>
    <n v="556"/>
    <n v="534"/>
    <n v="380"/>
    <n v="2663"/>
    <n v="7.5505488946915111E-2"/>
    <x v="0"/>
  </r>
  <r>
    <x v="2807"/>
    <x v="2807"/>
    <x v="4"/>
    <x v="21"/>
    <x v="0"/>
    <x v="17"/>
    <n v="832398"/>
    <n v="106398"/>
    <n v="83546"/>
    <n v="3174"/>
    <n v="134"/>
    <n v="404"/>
    <n v="740"/>
    <n v="2414"/>
    <n v="5.3288009001029375E-2"/>
    <x v="2"/>
  </r>
  <r>
    <x v="2808"/>
    <x v="2808"/>
    <x v="2"/>
    <x v="16"/>
    <x v="2"/>
    <x v="2"/>
    <n v="617414"/>
    <n v="88229"/>
    <n v="78275"/>
    <n v="1869"/>
    <n v="132"/>
    <n v="200"/>
    <n v="39"/>
    <n v="512"/>
    <n v="2.8617055253912487E-2"/>
    <x v="0"/>
  </r>
  <r>
    <x v="2809"/>
    <x v="2809"/>
    <x v="2"/>
    <x v="16"/>
    <x v="0"/>
    <x v="2"/>
    <n v="24140"/>
    <n v="7674"/>
    <n v="5720"/>
    <n v="529"/>
    <n v="63"/>
    <n v="77"/>
    <n v="2"/>
    <n v="128"/>
    <n v="0.11730769230769231"/>
    <x v="1"/>
  </r>
  <r>
    <x v="2810"/>
    <x v="2810"/>
    <x v="0"/>
    <x v="23"/>
    <x v="2"/>
    <x v="10"/>
    <n v="679451"/>
    <n v="1132054"/>
    <n v="961488"/>
    <n v="26264"/>
    <n v="1647"/>
    <n v="1945"/>
    <n v="4579"/>
    <n v="17910"/>
    <n v="3.5814279533389913E-2"/>
    <x v="1"/>
  </r>
  <r>
    <x v="2811"/>
    <x v="2811"/>
    <x v="0"/>
    <x v="23"/>
    <x v="3"/>
    <x v="7"/>
    <n v="329267"/>
    <n v="136142"/>
    <n v="103923"/>
    <n v="3274"/>
    <n v="160"/>
    <n v="155"/>
    <n v="206"/>
    <n v="877"/>
    <n v="3.6517421552495599E-2"/>
    <x v="0"/>
  </r>
  <r>
    <x v="2812"/>
    <x v="2812"/>
    <x v="3"/>
    <x v="18"/>
    <x v="2"/>
    <x v="4"/>
    <n v="420806"/>
    <n v="61884"/>
    <n v="50190"/>
    <n v="3992"/>
    <n v="658"/>
    <n v="397"/>
    <n v="34"/>
    <n v="700"/>
    <n v="0.1012353058378163"/>
    <x v="0"/>
  </r>
  <r>
    <x v="2813"/>
    <x v="2813"/>
    <x v="1"/>
    <x v="17"/>
    <x v="3"/>
    <x v="8"/>
    <n v="295139"/>
    <n v="184381"/>
    <n v="168579"/>
    <n v="12170"/>
    <n v="1160"/>
    <n v="769"/>
    <n v="665"/>
    <n v="4755"/>
    <n v="8.7579117209142299E-2"/>
    <x v="1"/>
  </r>
  <r>
    <x v="2814"/>
    <x v="2814"/>
    <x v="2"/>
    <x v="3"/>
    <x v="4"/>
    <x v="5"/>
    <n v="776150"/>
    <n v="209149"/>
    <n v="162711"/>
    <n v="15974"/>
    <n v="2539"/>
    <n v="2174"/>
    <n v="39"/>
    <n v="3067"/>
    <n v="0.12737921836876426"/>
    <x v="1"/>
  </r>
  <r>
    <x v="2815"/>
    <x v="2815"/>
    <x v="1"/>
    <x v="7"/>
    <x v="2"/>
    <x v="16"/>
    <n v="447621"/>
    <n v="177469"/>
    <n v="157427"/>
    <n v="12946"/>
    <n v="1304"/>
    <n v="876"/>
    <n v="1173"/>
    <n v="5118"/>
    <n v="0.10353370133458682"/>
    <x v="2"/>
  </r>
  <r>
    <x v="2816"/>
    <x v="2816"/>
    <x v="2"/>
    <x v="3"/>
    <x v="0"/>
    <x v="5"/>
    <n v="523085"/>
    <n v="1030969"/>
    <n v="825602"/>
    <n v="23388"/>
    <n v="3601"/>
    <n v="546"/>
    <n v="31"/>
    <n v="21849"/>
    <n v="3.338896950346535E-2"/>
    <x v="1"/>
  </r>
  <r>
    <x v="2817"/>
    <x v="2817"/>
    <x v="1"/>
    <x v="17"/>
    <x v="1"/>
    <x v="16"/>
    <n v="253459"/>
    <n v="34266"/>
    <n v="27039"/>
    <n v="1913"/>
    <n v="233"/>
    <n v="181"/>
    <n v="228"/>
    <n v="895"/>
    <n v="9.4493139539184146E-2"/>
    <x v="0"/>
  </r>
  <r>
    <x v="2818"/>
    <x v="2818"/>
    <x v="2"/>
    <x v="16"/>
    <x v="2"/>
    <x v="15"/>
    <n v="525406"/>
    <n v="120116"/>
    <n v="107753"/>
    <n v="2748"/>
    <n v="174"/>
    <n v="265"/>
    <n v="47"/>
    <n v="3019"/>
    <n v="3.0013085482538768E-2"/>
    <x v="2"/>
  </r>
  <r>
    <x v="2819"/>
    <x v="2819"/>
    <x v="1"/>
    <x v="8"/>
    <x v="4"/>
    <x v="16"/>
    <n v="491386"/>
    <n v="286223"/>
    <n v="227528"/>
    <n v="6044"/>
    <n v="424"/>
    <n v="630"/>
    <n v="1338"/>
    <n v="1754"/>
    <n v="3.7076755388347808E-2"/>
    <x v="1"/>
  </r>
  <r>
    <x v="2820"/>
    <x v="2820"/>
    <x v="3"/>
    <x v="15"/>
    <x v="3"/>
    <x v="4"/>
    <n v="758555"/>
    <n v="122131"/>
    <n v="104495"/>
    <n v="6749"/>
    <n v="590"/>
    <n v="579"/>
    <n v="25"/>
    <n v="3920"/>
    <n v="7.6013206373510694E-2"/>
    <x v="1"/>
  </r>
  <r>
    <x v="2821"/>
    <x v="2821"/>
    <x v="1"/>
    <x v="7"/>
    <x v="3"/>
    <x v="1"/>
    <n v="371889"/>
    <n v="158312"/>
    <n v="129355"/>
    <n v="4840"/>
    <n v="538"/>
    <n v="446"/>
    <n v="639"/>
    <n v="4519"/>
    <n v="4.9963279347531989E-2"/>
    <x v="0"/>
  </r>
  <r>
    <x v="2822"/>
    <x v="2822"/>
    <x v="1"/>
    <x v="1"/>
    <x v="0"/>
    <x v="8"/>
    <n v="811095"/>
    <n v="81991"/>
    <n v="66630"/>
    <n v="3796"/>
    <n v="240"/>
    <n v="440"/>
    <n v="647"/>
    <n v="1499"/>
    <n v="7.6887288008404622E-2"/>
    <x v="1"/>
  </r>
  <r>
    <x v="2823"/>
    <x v="2823"/>
    <x v="0"/>
    <x v="0"/>
    <x v="4"/>
    <x v="10"/>
    <n v="19316"/>
    <n v="53791"/>
    <n v="39617"/>
    <n v="2648"/>
    <n v="451"/>
    <n v="170"/>
    <n v="580"/>
    <n v="745"/>
    <n v="9.7155261630108292E-2"/>
    <x v="1"/>
  </r>
  <r>
    <x v="2824"/>
    <x v="2824"/>
    <x v="1"/>
    <x v="17"/>
    <x v="3"/>
    <x v="8"/>
    <n v="425329"/>
    <n v="232972"/>
    <n v="184038"/>
    <n v="5898"/>
    <n v="511"/>
    <n v="802"/>
    <n v="1325"/>
    <n v="4699"/>
    <n v="4.6381725513209231E-2"/>
    <x v="1"/>
  </r>
  <r>
    <x v="2825"/>
    <x v="2825"/>
    <x v="0"/>
    <x v="0"/>
    <x v="4"/>
    <x v="7"/>
    <n v="444521"/>
    <n v="68702"/>
    <n v="51394"/>
    <n v="4745"/>
    <n v="320"/>
    <n v="488"/>
    <n v="276"/>
    <n v="1701"/>
    <n v="0.11341790870529633"/>
    <x v="1"/>
  </r>
  <r>
    <x v="2826"/>
    <x v="2826"/>
    <x v="1"/>
    <x v="7"/>
    <x v="1"/>
    <x v="8"/>
    <n v="205544"/>
    <n v="122492"/>
    <n v="92582"/>
    <n v="9653"/>
    <n v="1723"/>
    <n v="949"/>
    <n v="526"/>
    <n v="1052"/>
    <n v="0.13880667948413297"/>
    <x v="0"/>
  </r>
  <r>
    <x v="2827"/>
    <x v="2827"/>
    <x v="1"/>
    <x v="7"/>
    <x v="4"/>
    <x v="8"/>
    <n v="834708"/>
    <n v="173889"/>
    <n v="142988"/>
    <n v="12786"/>
    <n v="2044"/>
    <n v="828"/>
    <n v="3031"/>
    <n v="985"/>
    <n v="0.13070327579936777"/>
    <x v="0"/>
  </r>
  <r>
    <x v="2828"/>
    <x v="2828"/>
    <x v="3"/>
    <x v="11"/>
    <x v="5"/>
    <x v="14"/>
    <n v="554950"/>
    <n v="207739"/>
    <n v="148877"/>
    <n v="4929"/>
    <n v="673"/>
    <n v="506"/>
    <n v="14"/>
    <n v="6722"/>
    <n v="4.1121194005790014E-2"/>
    <x v="0"/>
  </r>
  <r>
    <x v="2829"/>
    <x v="2829"/>
    <x v="3"/>
    <x v="18"/>
    <x v="0"/>
    <x v="14"/>
    <n v="679454"/>
    <n v="188769"/>
    <n v="135749"/>
    <n v="6139"/>
    <n v="901"/>
    <n v="569"/>
    <n v="6"/>
    <n v="2667"/>
    <n v="5.6096177504070012E-2"/>
    <x v="0"/>
  </r>
  <r>
    <x v="2830"/>
    <x v="2830"/>
    <x v="0"/>
    <x v="22"/>
    <x v="3"/>
    <x v="7"/>
    <n v="235675"/>
    <n v="36704"/>
    <n v="27307"/>
    <n v="1517"/>
    <n v="198"/>
    <n v="158"/>
    <n v="319"/>
    <n v="671"/>
    <n v="8.0272457611601428E-2"/>
    <x v="0"/>
  </r>
  <r>
    <x v="2831"/>
    <x v="2831"/>
    <x v="4"/>
    <x v="14"/>
    <x v="0"/>
    <x v="11"/>
    <n v="510180"/>
    <n v="288082"/>
    <n v="258236"/>
    <n v="12395"/>
    <n v="482"/>
    <n v="602"/>
    <n v="2748"/>
    <n v="3246"/>
    <n v="6.2837869235892754E-2"/>
    <x v="2"/>
  </r>
  <r>
    <x v="2832"/>
    <x v="2832"/>
    <x v="2"/>
    <x v="3"/>
    <x v="2"/>
    <x v="3"/>
    <n v="804116"/>
    <n v="445203"/>
    <n v="333571"/>
    <n v="25353"/>
    <n v="2421"/>
    <n v="2843"/>
    <n v="41"/>
    <n v="5902"/>
    <n v="9.1908469261416603E-2"/>
    <x v="2"/>
  </r>
  <r>
    <x v="2833"/>
    <x v="2833"/>
    <x v="0"/>
    <x v="0"/>
    <x v="3"/>
    <x v="7"/>
    <n v="574683"/>
    <n v="191289"/>
    <n v="163166"/>
    <n v="11644"/>
    <n v="1649"/>
    <n v="950"/>
    <n v="722"/>
    <n v="3176"/>
    <n v="9.1716411507299311E-2"/>
    <x v="0"/>
  </r>
  <r>
    <x v="2834"/>
    <x v="2834"/>
    <x v="0"/>
    <x v="22"/>
    <x v="1"/>
    <x v="7"/>
    <n v="323966"/>
    <n v="1543905"/>
    <n v="1361022"/>
    <n v="85362"/>
    <n v="6753"/>
    <n v="9215"/>
    <n v="17756"/>
    <n v="49633"/>
    <n v="8.7497483508716251E-2"/>
    <x v="1"/>
  </r>
  <r>
    <x v="2835"/>
    <x v="2835"/>
    <x v="1"/>
    <x v="1"/>
    <x v="1"/>
    <x v="16"/>
    <n v="658773"/>
    <n v="261803"/>
    <n v="210824"/>
    <n v="10395"/>
    <n v="312"/>
    <n v="511"/>
    <n v="2471"/>
    <n v="5009"/>
    <n v="6.4930937654157028E-2"/>
    <x v="0"/>
  </r>
  <r>
    <x v="2836"/>
    <x v="2836"/>
    <x v="2"/>
    <x v="3"/>
    <x v="4"/>
    <x v="15"/>
    <n v="819923"/>
    <n v="368203"/>
    <n v="291614"/>
    <n v="15230"/>
    <n v="2314"/>
    <n v="1832"/>
    <n v="21"/>
    <n v="3838"/>
    <n v="6.6516010891109478E-2"/>
    <x v="0"/>
  </r>
  <r>
    <x v="2837"/>
    <x v="2837"/>
    <x v="2"/>
    <x v="5"/>
    <x v="3"/>
    <x v="3"/>
    <n v="801140"/>
    <n v="371968"/>
    <n v="261513"/>
    <n v="24826"/>
    <n v="2920"/>
    <n v="3622"/>
    <n v="48"/>
    <n v="12876"/>
    <n v="0.12013169517385369"/>
    <x v="0"/>
  </r>
  <r>
    <x v="2838"/>
    <x v="2838"/>
    <x v="0"/>
    <x v="23"/>
    <x v="0"/>
    <x v="7"/>
    <n v="691102"/>
    <n v="425226"/>
    <n v="361818"/>
    <n v="30345"/>
    <n v="2102"/>
    <n v="739"/>
    <n v="3077"/>
    <n v="5442"/>
    <n v="0.10022442222332775"/>
    <x v="1"/>
  </r>
  <r>
    <x v="2839"/>
    <x v="2839"/>
    <x v="1"/>
    <x v="7"/>
    <x v="4"/>
    <x v="6"/>
    <n v="73868"/>
    <n v="36585"/>
    <n v="28708"/>
    <n v="2249"/>
    <n v="272"/>
    <n v="289"/>
    <n v="140"/>
    <n v="1124"/>
    <n v="0.10275881287446008"/>
    <x v="0"/>
  </r>
  <r>
    <x v="2840"/>
    <x v="2840"/>
    <x v="3"/>
    <x v="9"/>
    <x v="2"/>
    <x v="4"/>
    <n v="809180"/>
    <n v="172360"/>
    <n v="157524"/>
    <n v="11495"/>
    <n v="732"/>
    <n v="426"/>
    <n v="37"/>
    <n v="4067"/>
    <n v="8.0559152890988042E-2"/>
    <x v="1"/>
  </r>
  <r>
    <x v="2841"/>
    <x v="2841"/>
    <x v="0"/>
    <x v="23"/>
    <x v="5"/>
    <x v="0"/>
    <n v="844637"/>
    <n v="142597"/>
    <n v="107959"/>
    <n v="10446"/>
    <n v="1511"/>
    <n v="618"/>
    <n v="1408"/>
    <n v="2959"/>
    <n v="0.12952139238044072"/>
    <x v="1"/>
  </r>
  <r>
    <x v="2842"/>
    <x v="2842"/>
    <x v="3"/>
    <x v="18"/>
    <x v="2"/>
    <x v="14"/>
    <n v="749269"/>
    <n v="145086"/>
    <n v="131503"/>
    <n v="4417"/>
    <n v="242"/>
    <n v="340"/>
    <n v="29"/>
    <n v="1176"/>
    <n v="3.8234869166482895E-2"/>
    <x v="0"/>
  </r>
  <r>
    <x v="2843"/>
    <x v="2843"/>
    <x v="3"/>
    <x v="11"/>
    <x v="5"/>
    <x v="4"/>
    <n v="131049"/>
    <n v="40636"/>
    <n v="35065"/>
    <n v="1328"/>
    <n v="225"/>
    <n v="172"/>
    <n v="15"/>
    <n v="1107"/>
    <n v="4.9622130329388281E-2"/>
    <x v="1"/>
  </r>
  <r>
    <x v="2844"/>
    <x v="2844"/>
    <x v="1"/>
    <x v="17"/>
    <x v="1"/>
    <x v="6"/>
    <n v="419625"/>
    <n v="240976"/>
    <n v="175060"/>
    <n v="7271"/>
    <n v="1032"/>
    <n v="770"/>
    <n v="1261"/>
    <n v="5148"/>
    <n v="5.9031189306523478E-2"/>
    <x v="1"/>
  </r>
  <r>
    <x v="2845"/>
    <x v="2845"/>
    <x v="2"/>
    <x v="5"/>
    <x v="4"/>
    <x v="15"/>
    <n v="529103"/>
    <n v="136430"/>
    <n v="124724"/>
    <n v="7885"/>
    <n v="385"/>
    <n v="664"/>
    <n v="41"/>
    <n v="4673"/>
    <n v="7.1958885218562585E-2"/>
    <x v="2"/>
  </r>
  <r>
    <x v="2846"/>
    <x v="2846"/>
    <x v="2"/>
    <x v="19"/>
    <x v="3"/>
    <x v="2"/>
    <n v="98971"/>
    <n v="37185"/>
    <n v="28968"/>
    <n v="2103"/>
    <n v="168"/>
    <n v="188"/>
    <n v="44"/>
    <n v="378"/>
    <n v="8.6405689036177846E-2"/>
    <x v="2"/>
  </r>
  <r>
    <x v="2847"/>
    <x v="2847"/>
    <x v="4"/>
    <x v="21"/>
    <x v="0"/>
    <x v="11"/>
    <n v="797808"/>
    <n v="417308"/>
    <n v="315171"/>
    <n v="15091"/>
    <n v="2706"/>
    <n v="1240"/>
    <n v="3386"/>
    <n v="11552"/>
    <n v="7.1145505138480378E-2"/>
    <x v="2"/>
  </r>
  <r>
    <x v="2848"/>
    <x v="2848"/>
    <x v="1"/>
    <x v="17"/>
    <x v="1"/>
    <x v="6"/>
    <n v="595773"/>
    <n v="198649"/>
    <n v="165435"/>
    <n v="3995"/>
    <n v="612"/>
    <n v="305"/>
    <n v="577"/>
    <n v="3540"/>
    <n v="3.3179194245474053E-2"/>
    <x v="1"/>
  </r>
  <r>
    <x v="2849"/>
    <x v="2849"/>
    <x v="2"/>
    <x v="3"/>
    <x v="5"/>
    <x v="5"/>
    <n v="582925"/>
    <n v="179623"/>
    <n v="132112"/>
    <n v="7067"/>
    <n v="220"/>
    <n v="346"/>
    <n v="23"/>
    <n v="2217"/>
    <n v="5.7950829599128013E-2"/>
    <x v="1"/>
  </r>
  <r>
    <x v="2850"/>
    <x v="2850"/>
    <x v="4"/>
    <x v="10"/>
    <x v="2"/>
    <x v="17"/>
    <n v="356183"/>
    <n v="170227"/>
    <n v="131423"/>
    <n v="12145"/>
    <n v="490"/>
    <n v="1157"/>
    <n v="2231"/>
    <n v="2680"/>
    <n v="0.12191929875288192"/>
    <x v="0"/>
  </r>
  <r>
    <x v="2851"/>
    <x v="2851"/>
    <x v="1"/>
    <x v="17"/>
    <x v="4"/>
    <x v="8"/>
    <n v="4453"/>
    <n v="1708"/>
    <n v="1242"/>
    <n v="90"/>
    <n v="5"/>
    <n v="2"/>
    <n v="9"/>
    <n v="55"/>
    <n v="8.5346215780998394E-2"/>
    <x v="0"/>
  </r>
  <r>
    <x v="2852"/>
    <x v="2852"/>
    <x v="1"/>
    <x v="1"/>
    <x v="3"/>
    <x v="16"/>
    <n v="460672"/>
    <n v="98632"/>
    <n v="87523"/>
    <n v="3749"/>
    <n v="488"/>
    <n v="425"/>
    <n v="860"/>
    <n v="1995"/>
    <n v="6.3091987249065964E-2"/>
    <x v="0"/>
  </r>
  <r>
    <x v="2853"/>
    <x v="2853"/>
    <x v="1"/>
    <x v="1"/>
    <x v="3"/>
    <x v="16"/>
    <n v="594460"/>
    <n v="56746"/>
    <n v="48582"/>
    <n v="1213"/>
    <n v="61"/>
    <n v="180"/>
    <n v="132"/>
    <n v="1332"/>
    <n v="3.2645835906302746E-2"/>
    <x v="1"/>
  </r>
  <r>
    <x v="2854"/>
    <x v="2854"/>
    <x v="1"/>
    <x v="24"/>
    <x v="3"/>
    <x v="1"/>
    <n v="225299"/>
    <n v="119684"/>
    <n v="85098"/>
    <n v="6717"/>
    <n v="688"/>
    <n v="919"/>
    <n v="416"/>
    <n v="2677"/>
    <n v="0.10270511645397072"/>
    <x v="0"/>
  </r>
  <r>
    <x v="2855"/>
    <x v="2855"/>
    <x v="4"/>
    <x v="12"/>
    <x v="2"/>
    <x v="17"/>
    <n v="538953"/>
    <n v="224994"/>
    <n v="166998"/>
    <n v="14715"/>
    <n v="2586"/>
    <n v="1978"/>
    <n v="3433"/>
    <n v="1832"/>
    <n v="0.1360016287620211"/>
    <x v="2"/>
  </r>
  <r>
    <x v="2856"/>
    <x v="2856"/>
    <x v="0"/>
    <x v="13"/>
    <x v="5"/>
    <x v="7"/>
    <n v="516376"/>
    <n v="64452"/>
    <n v="59120"/>
    <n v="1524"/>
    <n v="189"/>
    <n v="107"/>
    <n v="86"/>
    <n v="781"/>
    <n v="3.2239512855209741E-2"/>
    <x v="0"/>
  </r>
  <r>
    <x v="2857"/>
    <x v="2857"/>
    <x v="0"/>
    <x v="23"/>
    <x v="3"/>
    <x v="10"/>
    <n v="20268"/>
    <n v="9716"/>
    <n v="7054"/>
    <n v="701"/>
    <n v="49"/>
    <n v="97"/>
    <n v="93"/>
    <n v="315"/>
    <n v="0.13325772611284378"/>
    <x v="0"/>
  </r>
  <r>
    <x v="2858"/>
    <x v="2858"/>
    <x v="4"/>
    <x v="10"/>
    <x v="5"/>
    <x v="11"/>
    <n v="604714"/>
    <n v="265998"/>
    <n v="224038"/>
    <n v="7395"/>
    <n v="312"/>
    <n v="804"/>
    <n v="1250"/>
    <n v="9060"/>
    <n v="4.3568501772020818E-2"/>
    <x v="0"/>
  </r>
  <r>
    <x v="2859"/>
    <x v="2859"/>
    <x v="4"/>
    <x v="21"/>
    <x v="2"/>
    <x v="17"/>
    <n v="400199"/>
    <n v="143815"/>
    <n v="110699"/>
    <n v="8911"/>
    <n v="439"/>
    <n v="1230"/>
    <n v="1918"/>
    <n v="4939"/>
    <n v="0.11290074887758697"/>
    <x v="0"/>
  </r>
  <r>
    <x v="2860"/>
    <x v="2860"/>
    <x v="4"/>
    <x v="21"/>
    <x v="2"/>
    <x v="12"/>
    <n v="443473"/>
    <n v="38913"/>
    <n v="27942"/>
    <n v="2865"/>
    <n v="440"/>
    <n v="138"/>
    <n v="568"/>
    <n v="215"/>
    <n v="0.14354734807816191"/>
    <x v="0"/>
  </r>
  <r>
    <x v="2861"/>
    <x v="2861"/>
    <x v="1"/>
    <x v="24"/>
    <x v="1"/>
    <x v="8"/>
    <n v="220157"/>
    <n v="17986"/>
    <n v="14228"/>
    <n v="1380"/>
    <n v="118"/>
    <n v="87"/>
    <n v="290"/>
    <n v="621"/>
    <n v="0.13178240089963453"/>
    <x v="1"/>
  </r>
  <r>
    <x v="2862"/>
    <x v="2862"/>
    <x v="0"/>
    <x v="6"/>
    <x v="4"/>
    <x v="0"/>
    <n v="325738"/>
    <n v="211275"/>
    <n v="182385"/>
    <n v="11344"/>
    <n v="1984"/>
    <n v="1436"/>
    <n v="1791"/>
    <n v="6533"/>
    <n v="9.0769526002686618E-2"/>
    <x v="0"/>
  </r>
  <r>
    <x v="2863"/>
    <x v="2863"/>
    <x v="2"/>
    <x v="3"/>
    <x v="1"/>
    <x v="3"/>
    <n v="340879"/>
    <n v="219774"/>
    <n v="173400"/>
    <n v="14050"/>
    <n v="764"/>
    <n v="797"/>
    <n v="21"/>
    <n v="6981"/>
    <n v="9.0149942329873126E-2"/>
    <x v="1"/>
  </r>
  <r>
    <x v="2864"/>
    <x v="2864"/>
    <x v="4"/>
    <x v="10"/>
    <x v="4"/>
    <x v="17"/>
    <n v="390059"/>
    <n v="53025"/>
    <n v="39852"/>
    <n v="3109"/>
    <n v="363"/>
    <n v="342"/>
    <n v="661"/>
    <n v="902"/>
    <n v="0.11229047475659942"/>
    <x v="0"/>
  </r>
  <r>
    <x v="2865"/>
    <x v="2865"/>
    <x v="0"/>
    <x v="0"/>
    <x v="2"/>
    <x v="10"/>
    <n v="350909"/>
    <n v="198187"/>
    <n v="161867"/>
    <n v="12479"/>
    <n v="863"/>
    <n v="1864"/>
    <n v="2136"/>
    <n v="1849"/>
    <n v="0.10713734115045068"/>
    <x v="0"/>
  </r>
  <r>
    <x v="2866"/>
    <x v="2866"/>
    <x v="3"/>
    <x v="18"/>
    <x v="0"/>
    <x v="4"/>
    <n v="813744"/>
    <n v="315490"/>
    <n v="243362"/>
    <n v="16038"/>
    <n v="962"/>
    <n v="1811"/>
    <n v="34"/>
    <n v="2004"/>
    <n v="7.743608287242873E-2"/>
    <x v="0"/>
  </r>
  <r>
    <x v="2867"/>
    <x v="2867"/>
    <x v="4"/>
    <x v="12"/>
    <x v="2"/>
    <x v="11"/>
    <n v="581080"/>
    <n v="182123"/>
    <n v="155043"/>
    <n v="9317"/>
    <n v="566"/>
    <n v="260"/>
    <n v="935"/>
    <n v="3417"/>
    <n v="7.1451145811162062E-2"/>
    <x v="0"/>
  </r>
  <r>
    <x v="2868"/>
    <x v="2868"/>
    <x v="3"/>
    <x v="15"/>
    <x v="4"/>
    <x v="14"/>
    <n v="125804"/>
    <n v="11086"/>
    <n v="9573"/>
    <n v="589"/>
    <n v="39"/>
    <n v="76"/>
    <n v="24"/>
    <n v="80"/>
    <n v="7.6047216128695291E-2"/>
    <x v="1"/>
  </r>
  <r>
    <x v="2869"/>
    <x v="2869"/>
    <x v="0"/>
    <x v="23"/>
    <x v="4"/>
    <x v="10"/>
    <n v="116958"/>
    <n v="60753"/>
    <n v="44333"/>
    <n v="1916"/>
    <n v="129"/>
    <n v="268"/>
    <n v="99"/>
    <n v="1625"/>
    <n v="5.4406424108451944E-2"/>
    <x v="0"/>
  </r>
  <r>
    <x v="2870"/>
    <x v="2870"/>
    <x v="1"/>
    <x v="7"/>
    <x v="3"/>
    <x v="16"/>
    <n v="341390"/>
    <n v="111251"/>
    <n v="84457"/>
    <n v="8478"/>
    <n v="1097"/>
    <n v="959"/>
    <n v="1597"/>
    <n v="3004"/>
    <n v="0.1436352226576838"/>
    <x v="0"/>
  </r>
  <r>
    <x v="2871"/>
    <x v="2871"/>
    <x v="4"/>
    <x v="21"/>
    <x v="0"/>
    <x v="17"/>
    <n v="129542"/>
    <n v="53840"/>
    <n v="43566"/>
    <n v="2470"/>
    <n v="115"/>
    <n v="333"/>
    <n v="275"/>
    <n v="1835"/>
    <n v="7.3291098563099663E-2"/>
    <x v="0"/>
  </r>
  <r>
    <x v="2872"/>
    <x v="2872"/>
    <x v="2"/>
    <x v="3"/>
    <x v="0"/>
    <x v="2"/>
    <n v="82606"/>
    <n v="24878"/>
    <n v="19674"/>
    <n v="1563"/>
    <n v="116"/>
    <n v="49"/>
    <n v="44"/>
    <n v="755"/>
    <n v="9.0068110196198023E-2"/>
    <x v="0"/>
  </r>
  <r>
    <x v="2873"/>
    <x v="2873"/>
    <x v="1"/>
    <x v="8"/>
    <x v="4"/>
    <x v="6"/>
    <n v="131016"/>
    <n v="53773"/>
    <n v="41630"/>
    <n v="2264"/>
    <n v="403"/>
    <n v="236"/>
    <n v="523"/>
    <n v="570"/>
    <n v="8.2296420850348301E-2"/>
    <x v="0"/>
  </r>
  <r>
    <x v="2874"/>
    <x v="2874"/>
    <x v="0"/>
    <x v="22"/>
    <x v="5"/>
    <x v="0"/>
    <n v="324708"/>
    <n v="190872"/>
    <n v="167285"/>
    <n v="4076"/>
    <n v="419"/>
    <n v="432"/>
    <n v="728"/>
    <n v="2751"/>
    <n v="3.3804584989688254E-2"/>
    <x v="0"/>
  </r>
  <r>
    <x v="2875"/>
    <x v="2875"/>
    <x v="4"/>
    <x v="14"/>
    <x v="4"/>
    <x v="11"/>
    <n v="10268"/>
    <n v="6109"/>
    <n v="5580"/>
    <n v="181"/>
    <n v="22"/>
    <n v="13"/>
    <n v="17"/>
    <n v="58"/>
    <n v="4.1756272401433689E-2"/>
    <x v="2"/>
  </r>
  <r>
    <x v="2876"/>
    <x v="2876"/>
    <x v="3"/>
    <x v="9"/>
    <x v="0"/>
    <x v="4"/>
    <n v="303112"/>
    <n v="45381"/>
    <n v="40080"/>
    <n v="1922"/>
    <n v="80"/>
    <n v="277"/>
    <n v="22"/>
    <n v="1235"/>
    <n v="5.741017964071856E-2"/>
    <x v="2"/>
  </r>
  <r>
    <x v="2877"/>
    <x v="2877"/>
    <x v="4"/>
    <x v="14"/>
    <x v="5"/>
    <x v="11"/>
    <n v="97999"/>
    <n v="40962"/>
    <n v="37456"/>
    <n v="1723"/>
    <n v="212"/>
    <n v="91"/>
    <n v="302"/>
    <n v="377"/>
    <n v="6.2152926099957283E-2"/>
    <x v="0"/>
  </r>
  <r>
    <x v="2878"/>
    <x v="2878"/>
    <x v="1"/>
    <x v="24"/>
    <x v="1"/>
    <x v="8"/>
    <n v="676849"/>
    <n v="272715"/>
    <n v="230687"/>
    <n v="5822"/>
    <n v="309"/>
    <n v="174"/>
    <n v="1373"/>
    <n v="9454"/>
    <n v="3.3283193244526131E-2"/>
    <x v="0"/>
  </r>
  <r>
    <x v="2879"/>
    <x v="2879"/>
    <x v="1"/>
    <x v="24"/>
    <x v="0"/>
    <x v="6"/>
    <n v="330041"/>
    <n v="184616"/>
    <n v="159835"/>
    <n v="14631"/>
    <n v="974"/>
    <n v="846"/>
    <n v="3537"/>
    <n v="5704"/>
    <n v="0.12505396189820753"/>
    <x v="0"/>
  </r>
  <r>
    <x v="2880"/>
    <x v="2880"/>
    <x v="4"/>
    <x v="12"/>
    <x v="5"/>
    <x v="12"/>
    <n v="232773"/>
    <n v="470214"/>
    <n v="335968"/>
    <n v="21374"/>
    <n v="3311"/>
    <n v="941"/>
    <n v="2274"/>
    <n v="8910"/>
    <n v="8.3043623202209732E-2"/>
    <x v="0"/>
  </r>
  <r>
    <x v="2881"/>
    <x v="2881"/>
    <x v="0"/>
    <x v="23"/>
    <x v="4"/>
    <x v="10"/>
    <n v="147301"/>
    <n v="86641"/>
    <n v="61097"/>
    <n v="5166"/>
    <n v="486"/>
    <n v="600"/>
    <n v="840"/>
    <n v="1471"/>
    <n v="0.11607771248997496"/>
    <x v="2"/>
  </r>
  <r>
    <x v="2882"/>
    <x v="2882"/>
    <x v="3"/>
    <x v="9"/>
    <x v="4"/>
    <x v="9"/>
    <n v="371113"/>
    <n v="154843"/>
    <n v="134953"/>
    <n v="3820"/>
    <n v="235"/>
    <n v="84"/>
    <n v="28"/>
    <n v="3984"/>
    <n v="3.0877416582069314E-2"/>
    <x v="1"/>
  </r>
  <r>
    <x v="2883"/>
    <x v="2883"/>
    <x v="1"/>
    <x v="1"/>
    <x v="4"/>
    <x v="8"/>
    <n v="201729"/>
    <n v="63383"/>
    <n v="57553"/>
    <n v="2951"/>
    <n v="491"/>
    <n v="295"/>
    <n v="314"/>
    <n v="914"/>
    <n v="7.038729518878252E-2"/>
    <x v="1"/>
  </r>
  <r>
    <x v="2884"/>
    <x v="2884"/>
    <x v="1"/>
    <x v="17"/>
    <x v="2"/>
    <x v="6"/>
    <n v="153530"/>
    <n v="81264"/>
    <n v="71447"/>
    <n v="6369"/>
    <n v="890"/>
    <n v="245"/>
    <n v="1536"/>
    <n v="1306"/>
    <n v="0.12652735594216691"/>
    <x v="0"/>
  </r>
  <r>
    <x v="2885"/>
    <x v="2885"/>
    <x v="1"/>
    <x v="8"/>
    <x v="1"/>
    <x v="6"/>
    <n v="849955"/>
    <n v="170799"/>
    <n v="153189"/>
    <n v="13151"/>
    <n v="1245"/>
    <n v="957"/>
    <n v="2926"/>
    <n v="5361"/>
    <n v="0.11932318900182128"/>
    <x v="0"/>
  </r>
  <r>
    <x v="2886"/>
    <x v="2886"/>
    <x v="2"/>
    <x v="2"/>
    <x v="3"/>
    <x v="15"/>
    <n v="513930"/>
    <n v="217941"/>
    <n v="191256"/>
    <n v="11943"/>
    <n v="1966"/>
    <n v="1468"/>
    <n v="7"/>
    <n v="3509"/>
    <n v="8.0436692182206046E-2"/>
    <x v="0"/>
  </r>
  <r>
    <x v="2887"/>
    <x v="2887"/>
    <x v="4"/>
    <x v="12"/>
    <x v="3"/>
    <x v="12"/>
    <n v="340106"/>
    <n v="208619"/>
    <n v="164421"/>
    <n v="6447"/>
    <n v="484"/>
    <n v="305"/>
    <n v="1444"/>
    <n v="5573"/>
    <n v="5.279131011245522E-2"/>
    <x v="0"/>
  </r>
  <r>
    <x v="2888"/>
    <x v="2888"/>
    <x v="0"/>
    <x v="6"/>
    <x v="4"/>
    <x v="10"/>
    <n v="219027"/>
    <n v="118952"/>
    <n v="100196"/>
    <n v="5925"/>
    <n v="945"/>
    <n v="518"/>
    <n v="323"/>
    <n v="2900"/>
    <n v="7.6959160046309233E-2"/>
    <x v="0"/>
  </r>
  <r>
    <x v="2889"/>
    <x v="2889"/>
    <x v="2"/>
    <x v="2"/>
    <x v="5"/>
    <x v="3"/>
    <n v="295150"/>
    <n v="49881"/>
    <n v="43973"/>
    <n v="3313"/>
    <n v="398"/>
    <n v="139"/>
    <n v="19"/>
    <n v="1651"/>
    <n v="8.7985809473995411E-2"/>
    <x v="0"/>
  </r>
  <r>
    <x v="2890"/>
    <x v="2890"/>
    <x v="2"/>
    <x v="19"/>
    <x v="5"/>
    <x v="3"/>
    <n v="567402"/>
    <n v="299540"/>
    <n v="239895"/>
    <n v="8139"/>
    <n v="883"/>
    <n v="593"/>
    <n v="33"/>
    <n v="3014"/>
    <n v="4.0217595197899081E-2"/>
    <x v="0"/>
  </r>
  <r>
    <x v="2891"/>
    <x v="2891"/>
    <x v="2"/>
    <x v="16"/>
    <x v="5"/>
    <x v="2"/>
    <n v="461938"/>
    <n v="232025"/>
    <n v="198162"/>
    <n v="11083"/>
    <n v="723"/>
    <n v="1644"/>
    <n v="41"/>
    <n v="5573"/>
    <n v="6.8080661277136884E-2"/>
    <x v="0"/>
  </r>
  <r>
    <x v="2892"/>
    <x v="2892"/>
    <x v="2"/>
    <x v="16"/>
    <x v="5"/>
    <x v="3"/>
    <n v="129281"/>
    <n v="68641"/>
    <n v="57530"/>
    <n v="4974"/>
    <n v="411"/>
    <n v="527"/>
    <n v="38"/>
    <n v="1283"/>
    <n v="0.10342430036502694"/>
    <x v="1"/>
  </r>
  <r>
    <x v="2893"/>
    <x v="2893"/>
    <x v="4"/>
    <x v="20"/>
    <x v="3"/>
    <x v="12"/>
    <n v="326242"/>
    <n v="95513"/>
    <n v="67422"/>
    <n v="2023"/>
    <n v="207"/>
    <n v="67"/>
    <n v="476"/>
    <n v="776"/>
    <n v="4.1129008335558125E-2"/>
    <x v="0"/>
  </r>
  <r>
    <x v="2894"/>
    <x v="2894"/>
    <x v="1"/>
    <x v="7"/>
    <x v="4"/>
    <x v="1"/>
    <n v="402948"/>
    <n v="61446"/>
    <n v="47969"/>
    <n v="2489"/>
    <n v="315"/>
    <n v="252"/>
    <n v="286"/>
    <n v="1852"/>
    <n v="6.9669995205236715E-2"/>
    <x v="0"/>
  </r>
  <r>
    <x v="2895"/>
    <x v="2895"/>
    <x v="2"/>
    <x v="3"/>
    <x v="0"/>
    <x v="2"/>
    <n v="325497"/>
    <n v="166915"/>
    <n v="126742"/>
    <n v="7722"/>
    <n v="410"/>
    <n v="901"/>
    <n v="50"/>
    <n v="1605"/>
    <n v="7.1665272758832901E-2"/>
    <x v="0"/>
  </r>
  <r>
    <x v="2896"/>
    <x v="2896"/>
    <x v="2"/>
    <x v="3"/>
    <x v="1"/>
    <x v="2"/>
    <n v="46501"/>
    <n v="13685"/>
    <n v="11729"/>
    <n v="1057"/>
    <n v="170"/>
    <n v="35"/>
    <n v="17"/>
    <n v="279"/>
    <n v="0.10904595447182198"/>
    <x v="0"/>
  </r>
  <r>
    <x v="2897"/>
    <x v="2897"/>
    <x v="2"/>
    <x v="5"/>
    <x v="5"/>
    <x v="15"/>
    <n v="60114"/>
    <n v="38776"/>
    <n v="33411"/>
    <n v="1572"/>
    <n v="217"/>
    <n v="233"/>
    <n v="12"/>
    <n v="1111"/>
    <n v="6.0878153901409715E-2"/>
    <x v="0"/>
  </r>
  <r>
    <x v="2898"/>
    <x v="2898"/>
    <x v="0"/>
    <x v="22"/>
    <x v="3"/>
    <x v="10"/>
    <n v="409628"/>
    <n v="59274"/>
    <n v="51507"/>
    <n v="2379"/>
    <n v="264"/>
    <n v="125"/>
    <n v="437"/>
    <n v="521"/>
    <n v="6.2224552002640418E-2"/>
    <x v="0"/>
  </r>
  <r>
    <x v="2899"/>
    <x v="2899"/>
    <x v="4"/>
    <x v="10"/>
    <x v="4"/>
    <x v="17"/>
    <n v="37299"/>
    <n v="10962"/>
    <n v="9474"/>
    <n v="414"/>
    <n v="71"/>
    <n v="30"/>
    <n v="40"/>
    <n v="116"/>
    <n v="5.8581380620645981E-2"/>
    <x v="1"/>
  </r>
  <r>
    <x v="2900"/>
    <x v="2900"/>
    <x v="0"/>
    <x v="22"/>
    <x v="1"/>
    <x v="7"/>
    <n v="498242"/>
    <n v="90647"/>
    <n v="71584"/>
    <n v="3647"/>
    <n v="344"/>
    <n v="184"/>
    <n v="874"/>
    <n v="2299"/>
    <n v="7.0532521233795262E-2"/>
    <x v="0"/>
  </r>
  <r>
    <x v="2901"/>
    <x v="2901"/>
    <x v="2"/>
    <x v="19"/>
    <x v="5"/>
    <x v="5"/>
    <n v="84991"/>
    <n v="8991"/>
    <n v="7198"/>
    <n v="269"/>
    <n v="30"/>
    <n v="14"/>
    <n v="38"/>
    <n v="279"/>
    <n v="4.8763545429285911E-2"/>
    <x v="2"/>
  </r>
  <r>
    <x v="2902"/>
    <x v="2902"/>
    <x v="2"/>
    <x v="3"/>
    <x v="0"/>
    <x v="2"/>
    <n v="37080"/>
    <n v="19320"/>
    <n v="16249"/>
    <n v="1160"/>
    <n v="126"/>
    <n v="167"/>
    <n v="32"/>
    <n v="538"/>
    <n v="9.139023939934765E-2"/>
    <x v="0"/>
  </r>
  <r>
    <x v="2903"/>
    <x v="2903"/>
    <x v="1"/>
    <x v="17"/>
    <x v="4"/>
    <x v="1"/>
    <n v="182985"/>
    <n v="75189"/>
    <n v="61393"/>
    <n v="3146"/>
    <n v="549"/>
    <n v="123"/>
    <n v="450"/>
    <n v="1132"/>
    <n v="6.9519326307559498E-2"/>
    <x v="0"/>
  </r>
  <r>
    <x v="2904"/>
    <x v="2904"/>
    <x v="2"/>
    <x v="5"/>
    <x v="4"/>
    <x v="5"/>
    <n v="279267"/>
    <n v="130786"/>
    <n v="107343"/>
    <n v="5831"/>
    <n v="418"/>
    <n v="199"/>
    <n v="45"/>
    <n v="1318"/>
    <n v="6.0488341112135864E-2"/>
    <x v="0"/>
  </r>
  <r>
    <x v="2905"/>
    <x v="2905"/>
    <x v="0"/>
    <x v="0"/>
    <x v="3"/>
    <x v="10"/>
    <n v="262160"/>
    <n v="108834"/>
    <n v="77517"/>
    <n v="2965"/>
    <n v="482"/>
    <n v="317"/>
    <n v="194"/>
    <n v="1802"/>
    <n v="5.1059767534863319E-2"/>
    <x v="1"/>
  </r>
  <r>
    <x v="2906"/>
    <x v="2906"/>
    <x v="2"/>
    <x v="19"/>
    <x v="2"/>
    <x v="5"/>
    <n v="642883"/>
    <n v="294014"/>
    <n v="247801"/>
    <n v="12349"/>
    <n v="914"/>
    <n v="1189"/>
    <n v="2"/>
    <n v="8152"/>
    <n v="5.832906243316209E-2"/>
    <x v="0"/>
  </r>
  <r>
    <x v="2907"/>
    <x v="2907"/>
    <x v="1"/>
    <x v="7"/>
    <x v="4"/>
    <x v="8"/>
    <n v="483169"/>
    <n v="47709"/>
    <n v="35554"/>
    <n v="2137"/>
    <n v="329"/>
    <n v="89"/>
    <n v="512"/>
    <n v="1408"/>
    <n v="8.6263149012769311E-2"/>
    <x v="2"/>
  </r>
  <r>
    <x v="2908"/>
    <x v="2908"/>
    <x v="0"/>
    <x v="6"/>
    <x v="2"/>
    <x v="7"/>
    <n v="565892"/>
    <n v="332374"/>
    <n v="238879"/>
    <n v="18476"/>
    <n v="3080"/>
    <n v="1138"/>
    <n v="2375"/>
    <n v="4008"/>
    <n v="0.10494434420773698"/>
    <x v="1"/>
  </r>
  <r>
    <x v="2909"/>
    <x v="2909"/>
    <x v="4"/>
    <x v="10"/>
    <x v="2"/>
    <x v="13"/>
    <n v="535889"/>
    <n v="97763"/>
    <n v="83735"/>
    <n v="5953"/>
    <n v="338"/>
    <n v="867"/>
    <n v="389"/>
    <n v="2239"/>
    <n v="9.01295754463486E-2"/>
    <x v="2"/>
  </r>
  <r>
    <x v="2910"/>
    <x v="2910"/>
    <x v="3"/>
    <x v="4"/>
    <x v="5"/>
    <x v="9"/>
    <n v="575317"/>
    <n v="227029"/>
    <n v="198410"/>
    <n v="11057"/>
    <n v="1872"/>
    <n v="345"/>
    <n v="25"/>
    <n v="3684"/>
    <n v="6.7027871579053475E-2"/>
    <x v="0"/>
  </r>
  <r>
    <x v="2911"/>
    <x v="2911"/>
    <x v="0"/>
    <x v="13"/>
    <x v="1"/>
    <x v="0"/>
    <n v="459676"/>
    <n v="167690"/>
    <n v="125362"/>
    <n v="13385"/>
    <n v="969"/>
    <n v="1161"/>
    <n v="2631"/>
    <n v="4876"/>
    <n v="0.14474880745361432"/>
    <x v="0"/>
  </r>
  <r>
    <x v="2912"/>
    <x v="2912"/>
    <x v="4"/>
    <x v="14"/>
    <x v="4"/>
    <x v="17"/>
    <n v="410460"/>
    <n v="127781"/>
    <n v="103999"/>
    <n v="6711"/>
    <n v="223"/>
    <n v="647"/>
    <n v="895"/>
    <n v="1553"/>
    <n v="8.150078366138136E-2"/>
    <x v="0"/>
  </r>
  <r>
    <x v="2913"/>
    <x v="2913"/>
    <x v="4"/>
    <x v="21"/>
    <x v="0"/>
    <x v="13"/>
    <n v="693525"/>
    <n v="166529"/>
    <n v="139240"/>
    <n v="8929"/>
    <n v="582"/>
    <n v="436"/>
    <n v="1878"/>
    <n v="2155"/>
    <n v="8.4925308819304796E-2"/>
    <x v="1"/>
  </r>
  <r>
    <x v="2914"/>
    <x v="2914"/>
    <x v="1"/>
    <x v="1"/>
    <x v="1"/>
    <x v="16"/>
    <n v="609399"/>
    <n v="98729"/>
    <n v="90599"/>
    <n v="6141"/>
    <n v="757"/>
    <n v="820"/>
    <n v="709"/>
    <n v="961"/>
    <n v="9.3014271680702879E-2"/>
    <x v="1"/>
  </r>
  <r>
    <x v="2915"/>
    <x v="2915"/>
    <x v="1"/>
    <x v="1"/>
    <x v="4"/>
    <x v="16"/>
    <n v="150673"/>
    <n v="14611"/>
    <n v="10786"/>
    <n v="1095"/>
    <n v="46"/>
    <n v="163"/>
    <n v="236"/>
    <n v="341"/>
    <n v="0.14277767476358241"/>
    <x v="0"/>
  </r>
  <r>
    <x v="2916"/>
    <x v="2916"/>
    <x v="3"/>
    <x v="11"/>
    <x v="1"/>
    <x v="14"/>
    <n v="790150"/>
    <n v="3084879"/>
    <n v="2201763"/>
    <n v="65290"/>
    <n v="3994"/>
    <n v="4650"/>
    <n v="11"/>
    <n v="55921"/>
    <n v="3.3584450279162653E-2"/>
    <x v="2"/>
  </r>
  <r>
    <x v="2917"/>
    <x v="2917"/>
    <x v="1"/>
    <x v="8"/>
    <x v="3"/>
    <x v="1"/>
    <n v="634050"/>
    <n v="191567"/>
    <n v="167697"/>
    <n v="11756"/>
    <n v="1606"/>
    <n v="975"/>
    <n v="1023"/>
    <n v="1806"/>
    <n v="9.1593767330363687E-2"/>
    <x v="1"/>
  </r>
  <r>
    <x v="2918"/>
    <x v="2918"/>
    <x v="4"/>
    <x v="10"/>
    <x v="3"/>
    <x v="17"/>
    <n v="817574"/>
    <n v="329497"/>
    <n v="249031"/>
    <n v="8499"/>
    <n v="1153"/>
    <n v="605"/>
    <n v="1809"/>
    <n v="11420"/>
    <n v="4.8451799173596863E-2"/>
    <x v="1"/>
  </r>
  <r>
    <x v="2919"/>
    <x v="2919"/>
    <x v="1"/>
    <x v="24"/>
    <x v="1"/>
    <x v="1"/>
    <n v="113900"/>
    <n v="46836"/>
    <n v="41165"/>
    <n v="949"/>
    <n v="133"/>
    <n v="61"/>
    <n v="135"/>
    <n v="1419"/>
    <n v="3.1045791327584112E-2"/>
    <x v="1"/>
  </r>
  <r>
    <x v="2920"/>
    <x v="2920"/>
    <x v="2"/>
    <x v="19"/>
    <x v="4"/>
    <x v="15"/>
    <n v="539408"/>
    <n v="323732"/>
    <n v="273501"/>
    <n v="15282"/>
    <n v="901"/>
    <n v="1444"/>
    <n v="37"/>
    <n v="8512"/>
    <n v="6.4584772999001838E-2"/>
    <x v="0"/>
  </r>
  <r>
    <x v="2921"/>
    <x v="2921"/>
    <x v="4"/>
    <x v="20"/>
    <x v="0"/>
    <x v="13"/>
    <n v="610987"/>
    <n v="347591"/>
    <n v="319546"/>
    <n v="23381"/>
    <n v="4103"/>
    <n v="1860"/>
    <n v="4617"/>
    <n v="6123"/>
    <n v="0.10627890820101019"/>
    <x v="1"/>
  </r>
  <r>
    <x v="2922"/>
    <x v="2922"/>
    <x v="3"/>
    <x v="11"/>
    <x v="1"/>
    <x v="4"/>
    <n v="434994"/>
    <n v="135459"/>
    <n v="100298"/>
    <n v="4312"/>
    <n v="307"/>
    <n v="257"/>
    <n v="45"/>
    <n v="3007"/>
    <n v="4.9063789906079881E-2"/>
    <x v="1"/>
  </r>
  <r>
    <x v="2923"/>
    <x v="2923"/>
    <x v="1"/>
    <x v="1"/>
    <x v="4"/>
    <x v="6"/>
    <n v="776299"/>
    <n v="454756"/>
    <n v="415757"/>
    <n v="17192"/>
    <n v="782"/>
    <n v="1278"/>
    <n v="2337"/>
    <n v="3906"/>
    <n v="5.1926966954254528E-2"/>
    <x v="0"/>
  </r>
  <r>
    <x v="2924"/>
    <x v="2924"/>
    <x v="0"/>
    <x v="0"/>
    <x v="0"/>
    <x v="0"/>
    <n v="106062"/>
    <n v="49578"/>
    <n v="45252"/>
    <n v="1311"/>
    <n v="180"/>
    <n v="126"/>
    <n v="191"/>
    <n v="1695"/>
    <n v="3.9954035180765492E-2"/>
    <x v="0"/>
  </r>
  <r>
    <x v="2925"/>
    <x v="2925"/>
    <x v="1"/>
    <x v="24"/>
    <x v="3"/>
    <x v="16"/>
    <n v="111506"/>
    <n v="15335"/>
    <n v="11330"/>
    <n v="1160"/>
    <n v="128"/>
    <n v="133"/>
    <n v="133"/>
    <n v="309"/>
    <n v="0.13715798764342454"/>
    <x v="0"/>
  </r>
  <r>
    <x v="2926"/>
    <x v="2926"/>
    <x v="0"/>
    <x v="23"/>
    <x v="0"/>
    <x v="10"/>
    <n v="340797"/>
    <n v="69531"/>
    <n v="55195"/>
    <n v="2232"/>
    <n v="291"/>
    <n v="130"/>
    <n v="212"/>
    <n v="1801"/>
    <n v="5.190687562279192E-2"/>
    <x v="2"/>
  </r>
  <r>
    <x v="2927"/>
    <x v="2927"/>
    <x v="2"/>
    <x v="5"/>
    <x v="0"/>
    <x v="3"/>
    <n v="276379"/>
    <n v="35518"/>
    <n v="31673"/>
    <n v="2554"/>
    <n v="157"/>
    <n v="362"/>
    <n v="40"/>
    <n v="716"/>
    <n v="9.8285606036687401E-2"/>
    <x v="2"/>
  </r>
  <r>
    <x v="2928"/>
    <x v="2928"/>
    <x v="2"/>
    <x v="2"/>
    <x v="1"/>
    <x v="5"/>
    <n v="725323"/>
    <n v="71506"/>
    <n v="52145"/>
    <n v="5491"/>
    <n v="652"/>
    <n v="627"/>
    <n v="21"/>
    <n v="2014"/>
    <n v="0.13023300412311822"/>
    <x v="1"/>
  </r>
  <r>
    <x v="2929"/>
    <x v="2929"/>
    <x v="0"/>
    <x v="6"/>
    <x v="2"/>
    <x v="10"/>
    <n v="586196"/>
    <n v="365708"/>
    <n v="316862"/>
    <n v="21879"/>
    <n v="2343"/>
    <n v="680"/>
    <n v="4347"/>
    <n v="5878"/>
    <n v="9.2308323497295355E-2"/>
    <x v="0"/>
  </r>
  <r>
    <x v="2930"/>
    <x v="2930"/>
    <x v="0"/>
    <x v="23"/>
    <x v="0"/>
    <x v="10"/>
    <n v="441045"/>
    <n v="85640"/>
    <n v="78154"/>
    <n v="2283"/>
    <n v="144"/>
    <n v="183"/>
    <n v="246"/>
    <n v="1419"/>
    <n v="3.6543235151111908E-2"/>
    <x v="0"/>
  </r>
  <r>
    <x v="2931"/>
    <x v="2931"/>
    <x v="1"/>
    <x v="8"/>
    <x v="3"/>
    <x v="6"/>
    <n v="510115"/>
    <n v="271469"/>
    <n v="212875"/>
    <n v="6703"/>
    <n v="701"/>
    <n v="360"/>
    <n v="340"/>
    <n v="6288"/>
    <n v="3.8069289489136821E-2"/>
    <x v="2"/>
  </r>
  <r>
    <x v="2932"/>
    <x v="2932"/>
    <x v="1"/>
    <x v="17"/>
    <x v="3"/>
    <x v="1"/>
    <n v="2928"/>
    <n v="938"/>
    <n v="749"/>
    <n v="74"/>
    <n v="6"/>
    <n v="10"/>
    <n v="16"/>
    <n v="12"/>
    <n v="0.14152202937249667"/>
    <x v="0"/>
  </r>
  <r>
    <x v="2933"/>
    <x v="2933"/>
    <x v="3"/>
    <x v="11"/>
    <x v="4"/>
    <x v="4"/>
    <n v="467847"/>
    <n v="273521"/>
    <n v="210330"/>
    <n v="16786"/>
    <n v="1909"/>
    <n v="1841"/>
    <n v="31"/>
    <n v="9282"/>
    <n v="9.7784433984690722E-2"/>
    <x v="0"/>
  </r>
  <r>
    <x v="2934"/>
    <x v="2934"/>
    <x v="1"/>
    <x v="24"/>
    <x v="5"/>
    <x v="16"/>
    <n v="129044"/>
    <n v="34955"/>
    <n v="24477"/>
    <n v="1519"/>
    <n v="68"/>
    <n v="52"/>
    <n v="290"/>
    <n v="742"/>
    <n v="7.8808677534011523E-2"/>
    <x v="1"/>
  </r>
  <r>
    <x v="2935"/>
    <x v="2935"/>
    <x v="2"/>
    <x v="5"/>
    <x v="3"/>
    <x v="2"/>
    <n v="355135"/>
    <n v="117480"/>
    <n v="97457"/>
    <n v="2754"/>
    <n v="204"/>
    <n v="147"/>
    <n v="22"/>
    <n v="3878"/>
    <n v="3.2085945596519491E-2"/>
    <x v="1"/>
  </r>
  <r>
    <x v="2936"/>
    <x v="2936"/>
    <x v="2"/>
    <x v="19"/>
    <x v="0"/>
    <x v="3"/>
    <n v="680221"/>
    <n v="251030"/>
    <n v="185995"/>
    <n v="6766"/>
    <n v="416"/>
    <n v="678"/>
    <n v="27"/>
    <n v="4916"/>
    <n v="4.2404365708755609E-2"/>
    <x v="0"/>
  </r>
  <r>
    <x v="2937"/>
    <x v="2937"/>
    <x v="0"/>
    <x v="13"/>
    <x v="4"/>
    <x v="10"/>
    <n v="706245"/>
    <n v="289561"/>
    <n v="232202"/>
    <n v="19259"/>
    <n v="1760"/>
    <n v="1667"/>
    <n v="2934"/>
    <n v="4851"/>
    <n v="0.11033496696841544"/>
    <x v="1"/>
  </r>
  <r>
    <x v="2938"/>
    <x v="2938"/>
    <x v="0"/>
    <x v="0"/>
    <x v="3"/>
    <x v="10"/>
    <n v="429255"/>
    <n v="133494"/>
    <n v="108051"/>
    <n v="3285"/>
    <n v="498"/>
    <n v="477"/>
    <n v="451"/>
    <n v="4116"/>
    <n v="4.3599781584622077E-2"/>
    <x v="2"/>
  </r>
  <r>
    <x v="2939"/>
    <x v="2939"/>
    <x v="0"/>
    <x v="0"/>
    <x v="1"/>
    <x v="7"/>
    <n v="389741"/>
    <n v="125592"/>
    <n v="102320"/>
    <n v="5050"/>
    <n v="741"/>
    <n v="185"/>
    <n v="518"/>
    <n v="2184"/>
    <n v="6.3467552775605937E-2"/>
    <x v="1"/>
  </r>
  <r>
    <x v="2940"/>
    <x v="2940"/>
    <x v="2"/>
    <x v="5"/>
    <x v="1"/>
    <x v="3"/>
    <n v="343571"/>
    <n v="81676"/>
    <n v="67602"/>
    <n v="5067"/>
    <n v="736"/>
    <n v="298"/>
    <n v="14"/>
    <n v="617"/>
    <n v="9.0455903671489007E-2"/>
    <x v="2"/>
  </r>
  <r>
    <x v="2941"/>
    <x v="2941"/>
    <x v="4"/>
    <x v="14"/>
    <x v="5"/>
    <x v="11"/>
    <n v="759792"/>
    <n v="439381"/>
    <n v="346365"/>
    <n v="31001"/>
    <n v="1613"/>
    <n v="4286"/>
    <n v="4961"/>
    <n v="14746"/>
    <n v="0.12085805436461536"/>
    <x v="0"/>
  </r>
  <r>
    <x v="2942"/>
    <x v="2942"/>
    <x v="0"/>
    <x v="0"/>
    <x v="4"/>
    <x v="10"/>
    <n v="727878"/>
    <n v="344806"/>
    <n v="242861"/>
    <n v="14513"/>
    <n v="2440"/>
    <n v="1103"/>
    <n v="3436"/>
    <n v="9998"/>
    <n v="8.8495065078378163E-2"/>
    <x v="0"/>
  </r>
  <r>
    <x v="2943"/>
    <x v="2943"/>
    <x v="3"/>
    <x v="18"/>
    <x v="3"/>
    <x v="4"/>
    <n v="83154"/>
    <n v="6674"/>
    <n v="5252"/>
    <n v="396"/>
    <n v="57"/>
    <n v="57"/>
    <n v="6"/>
    <n v="157"/>
    <n v="9.8248286367098245E-2"/>
    <x v="0"/>
  </r>
  <r>
    <x v="2944"/>
    <x v="2944"/>
    <x v="1"/>
    <x v="24"/>
    <x v="3"/>
    <x v="6"/>
    <n v="382663"/>
    <n v="89929"/>
    <n v="77599"/>
    <n v="4491"/>
    <n v="480"/>
    <n v="418"/>
    <n v="349"/>
    <n v="2034"/>
    <n v="7.3944251858915705E-2"/>
    <x v="1"/>
  </r>
  <r>
    <x v="2945"/>
    <x v="2945"/>
    <x v="4"/>
    <x v="10"/>
    <x v="0"/>
    <x v="11"/>
    <n v="49436"/>
    <n v="24696"/>
    <n v="19684"/>
    <n v="1831"/>
    <n v="282"/>
    <n v="142"/>
    <n v="317"/>
    <n v="164"/>
    <n v="0.13066449908555172"/>
    <x v="0"/>
  </r>
  <r>
    <x v="2946"/>
    <x v="2946"/>
    <x v="2"/>
    <x v="2"/>
    <x v="0"/>
    <x v="15"/>
    <n v="267217"/>
    <n v="160783"/>
    <n v="129529"/>
    <n v="10643"/>
    <n v="819"/>
    <n v="1497"/>
    <n v="18"/>
    <n v="2171"/>
    <n v="0.10018605872044098"/>
    <x v="1"/>
  </r>
  <r>
    <x v="2947"/>
    <x v="2947"/>
    <x v="1"/>
    <x v="7"/>
    <x v="1"/>
    <x v="1"/>
    <n v="768277"/>
    <n v="211514"/>
    <n v="190819"/>
    <n v="6859"/>
    <n v="505"/>
    <n v="315"/>
    <n v="415"/>
    <n v="1932"/>
    <n v="4.2417159716799692E-2"/>
    <x v="0"/>
  </r>
  <r>
    <x v="2948"/>
    <x v="2948"/>
    <x v="4"/>
    <x v="20"/>
    <x v="4"/>
    <x v="11"/>
    <n v="696113"/>
    <n v="160021"/>
    <n v="113458"/>
    <n v="6715"/>
    <n v="951"/>
    <n v="346"/>
    <n v="1672"/>
    <n v="5251"/>
    <n v="8.5353170336159634E-2"/>
    <x v="0"/>
  </r>
  <r>
    <x v="2949"/>
    <x v="2949"/>
    <x v="1"/>
    <x v="8"/>
    <x v="5"/>
    <x v="16"/>
    <n v="789919"/>
    <n v="82316"/>
    <n v="70362"/>
    <n v="6173"/>
    <n v="605"/>
    <n v="562"/>
    <n v="1318"/>
    <n v="2466"/>
    <n v="0.12304937324123817"/>
    <x v="0"/>
  </r>
  <r>
    <x v="2950"/>
    <x v="2950"/>
    <x v="2"/>
    <x v="19"/>
    <x v="3"/>
    <x v="5"/>
    <n v="599115"/>
    <n v="122969"/>
    <n v="111200"/>
    <n v="5862"/>
    <n v="734"/>
    <n v="514"/>
    <n v="43"/>
    <n v="928"/>
    <n v="6.432553956834533E-2"/>
    <x v="1"/>
  </r>
  <r>
    <x v="2951"/>
    <x v="2951"/>
    <x v="4"/>
    <x v="12"/>
    <x v="0"/>
    <x v="17"/>
    <n v="421004"/>
    <n v="196843"/>
    <n v="171150"/>
    <n v="5595"/>
    <n v="872"/>
    <n v="688"/>
    <n v="782"/>
    <n v="6197"/>
    <n v="4.6374525270230789E-2"/>
    <x v="0"/>
  </r>
  <r>
    <x v="2952"/>
    <x v="2952"/>
    <x v="4"/>
    <x v="10"/>
    <x v="1"/>
    <x v="17"/>
    <n v="368117"/>
    <n v="193172"/>
    <n v="143074"/>
    <n v="8391"/>
    <n v="996"/>
    <n v="784"/>
    <n v="1077"/>
    <n v="2740"/>
    <n v="7.8616659910256237E-2"/>
    <x v="0"/>
  </r>
  <r>
    <x v="2953"/>
    <x v="2953"/>
    <x v="0"/>
    <x v="13"/>
    <x v="0"/>
    <x v="0"/>
    <n v="238931"/>
    <n v="105415"/>
    <n v="75536"/>
    <n v="4137"/>
    <n v="500"/>
    <n v="406"/>
    <n v="226"/>
    <n v="1131"/>
    <n v="6.9754818894302059E-2"/>
    <x v="1"/>
  </r>
  <r>
    <x v="2954"/>
    <x v="2954"/>
    <x v="2"/>
    <x v="2"/>
    <x v="0"/>
    <x v="3"/>
    <n v="249498"/>
    <n v="110857"/>
    <n v="78198"/>
    <n v="7871"/>
    <n v="803"/>
    <n v="382"/>
    <n v="33"/>
    <n v="1167"/>
    <n v="0.11623059413284227"/>
    <x v="0"/>
  </r>
  <r>
    <x v="2955"/>
    <x v="2955"/>
    <x v="3"/>
    <x v="11"/>
    <x v="0"/>
    <x v="14"/>
    <n v="317018"/>
    <n v="96053"/>
    <n v="79384"/>
    <n v="2908"/>
    <n v="507"/>
    <n v="195"/>
    <n v="22"/>
    <n v="2568"/>
    <n v="4.575229265343142E-2"/>
    <x v="1"/>
  </r>
  <r>
    <x v="2956"/>
    <x v="2956"/>
    <x v="4"/>
    <x v="14"/>
    <x v="4"/>
    <x v="11"/>
    <n v="319942"/>
    <n v="126000"/>
    <n v="101818"/>
    <n v="3587"/>
    <n v="347"/>
    <n v="98"/>
    <n v="254"/>
    <n v="3381"/>
    <n v="4.2094718026282188E-2"/>
    <x v="1"/>
  </r>
  <r>
    <x v="2957"/>
    <x v="2957"/>
    <x v="1"/>
    <x v="8"/>
    <x v="2"/>
    <x v="8"/>
    <n v="480926"/>
    <n v="206321"/>
    <n v="160057"/>
    <n v="7235"/>
    <n v="1190"/>
    <n v="706"/>
    <n v="1803"/>
    <n v="2523"/>
    <n v="6.8313163435526097E-2"/>
    <x v="0"/>
  </r>
  <r>
    <x v="2958"/>
    <x v="2958"/>
    <x v="0"/>
    <x v="22"/>
    <x v="4"/>
    <x v="0"/>
    <n v="243202"/>
    <n v="37649"/>
    <n v="26913"/>
    <n v="2983"/>
    <n v="496"/>
    <n v="401"/>
    <n v="419"/>
    <n v="860"/>
    <n v="0.15973693010812617"/>
    <x v="1"/>
  </r>
  <r>
    <x v="2959"/>
    <x v="2959"/>
    <x v="4"/>
    <x v="12"/>
    <x v="3"/>
    <x v="17"/>
    <n v="488313"/>
    <n v="54590"/>
    <n v="45505"/>
    <n v="3614"/>
    <n v="613"/>
    <n v="422"/>
    <n v="330"/>
    <n v="310"/>
    <n v="0.10941654763212834"/>
    <x v="0"/>
  </r>
  <r>
    <x v="2960"/>
    <x v="2960"/>
    <x v="2"/>
    <x v="16"/>
    <x v="1"/>
    <x v="5"/>
    <n v="126315"/>
    <n v="45320"/>
    <n v="33323"/>
    <n v="3226"/>
    <n v="200"/>
    <n v="217"/>
    <n v="45"/>
    <n v="699"/>
    <n v="0.1106743090358011"/>
    <x v="0"/>
  </r>
  <r>
    <x v="2961"/>
    <x v="2961"/>
    <x v="0"/>
    <x v="6"/>
    <x v="0"/>
    <x v="0"/>
    <n v="610730"/>
    <n v="257006"/>
    <n v="198346"/>
    <n v="14365"/>
    <n v="1688"/>
    <n v="1657"/>
    <n v="1591"/>
    <n v="3574"/>
    <n v="9.7309751646113357E-2"/>
    <x v="1"/>
  </r>
  <r>
    <x v="2962"/>
    <x v="2962"/>
    <x v="2"/>
    <x v="16"/>
    <x v="0"/>
    <x v="2"/>
    <n v="800302"/>
    <n v="387892"/>
    <n v="286490"/>
    <n v="30131"/>
    <n v="5130"/>
    <n v="3617"/>
    <n v="22"/>
    <n v="8262"/>
    <n v="0.13578135362490837"/>
    <x v="2"/>
  </r>
  <r>
    <x v="2963"/>
    <x v="2963"/>
    <x v="0"/>
    <x v="23"/>
    <x v="4"/>
    <x v="7"/>
    <n v="512213"/>
    <n v="134859"/>
    <n v="106471"/>
    <n v="5653"/>
    <n v="874"/>
    <n v="404"/>
    <n v="959"/>
    <n v="3806"/>
    <n v="7.4104685782983154E-2"/>
    <x v="0"/>
  </r>
  <r>
    <x v="2964"/>
    <x v="2964"/>
    <x v="0"/>
    <x v="13"/>
    <x v="4"/>
    <x v="0"/>
    <n v="330720"/>
    <n v="191122"/>
    <n v="151143"/>
    <n v="9055"/>
    <n v="693"/>
    <n v="376"/>
    <n v="927"/>
    <n v="6445"/>
    <n v="7.3116187980918734E-2"/>
    <x v="0"/>
  </r>
  <r>
    <x v="2965"/>
    <x v="2965"/>
    <x v="3"/>
    <x v="11"/>
    <x v="5"/>
    <x v="14"/>
    <n v="419234"/>
    <n v="35146"/>
    <n v="27615"/>
    <n v="1772"/>
    <n v="261"/>
    <n v="226"/>
    <n v="32"/>
    <n v="567"/>
    <n v="8.2962158247329346E-2"/>
    <x v="1"/>
  </r>
  <r>
    <x v="2966"/>
    <x v="2966"/>
    <x v="2"/>
    <x v="3"/>
    <x v="2"/>
    <x v="5"/>
    <n v="31443"/>
    <n v="5345"/>
    <n v="3947"/>
    <n v="166"/>
    <n v="24"/>
    <n v="8"/>
    <n v="0"/>
    <n v="54"/>
    <n v="5.0164682036990121E-2"/>
    <x v="1"/>
  </r>
  <r>
    <x v="2967"/>
    <x v="2967"/>
    <x v="2"/>
    <x v="5"/>
    <x v="3"/>
    <x v="2"/>
    <n v="257808"/>
    <n v="126273"/>
    <n v="102600"/>
    <n v="4522"/>
    <n v="714"/>
    <n v="460"/>
    <n v="20"/>
    <n v="3170"/>
    <n v="5.5711500974658872E-2"/>
    <x v="0"/>
  </r>
  <r>
    <x v="2968"/>
    <x v="2968"/>
    <x v="3"/>
    <x v="18"/>
    <x v="0"/>
    <x v="14"/>
    <n v="575218"/>
    <n v="340306"/>
    <n v="263032"/>
    <n v="24441"/>
    <n v="1808"/>
    <n v="2424"/>
    <n v="38"/>
    <n v="8669"/>
    <n v="0.10915401928282491"/>
    <x v="1"/>
  </r>
  <r>
    <x v="2969"/>
    <x v="2969"/>
    <x v="1"/>
    <x v="24"/>
    <x v="4"/>
    <x v="1"/>
    <n v="152606"/>
    <n v="74446"/>
    <n v="63241"/>
    <n v="1842"/>
    <n v="329"/>
    <n v="173"/>
    <n v="108"/>
    <n v="1596"/>
    <n v="3.8772315428282286E-2"/>
    <x v="0"/>
  </r>
  <r>
    <x v="2970"/>
    <x v="2970"/>
    <x v="4"/>
    <x v="10"/>
    <x v="2"/>
    <x v="11"/>
    <n v="639234"/>
    <n v="127636"/>
    <n v="105197"/>
    <n v="7225"/>
    <n v="321"/>
    <n v="961"/>
    <n v="815"/>
    <n v="649"/>
    <n v="8.8614694335389793E-2"/>
    <x v="1"/>
  </r>
  <r>
    <x v="2971"/>
    <x v="2971"/>
    <x v="2"/>
    <x v="19"/>
    <x v="1"/>
    <x v="2"/>
    <n v="682857"/>
    <n v="78603"/>
    <n v="61284"/>
    <n v="3886"/>
    <n v="569"/>
    <n v="182"/>
    <n v="43"/>
    <n v="2732"/>
    <n v="7.6365772469159973E-2"/>
    <x v="0"/>
  </r>
  <r>
    <x v="2972"/>
    <x v="2972"/>
    <x v="4"/>
    <x v="14"/>
    <x v="0"/>
    <x v="12"/>
    <n v="711239"/>
    <n v="176253"/>
    <n v="157360"/>
    <n v="5502"/>
    <n v="682"/>
    <n v="788"/>
    <n v="627"/>
    <n v="3896"/>
    <n v="4.8290543975597358E-2"/>
    <x v="1"/>
  </r>
  <r>
    <x v="2973"/>
    <x v="2973"/>
    <x v="0"/>
    <x v="22"/>
    <x v="4"/>
    <x v="7"/>
    <n v="328431"/>
    <n v="212102"/>
    <n v="176758"/>
    <n v="11543"/>
    <n v="1139"/>
    <n v="1483"/>
    <n v="2329"/>
    <n v="7305"/>
    <n v="9.3314022561920812E-2"/>
    <x v="2"/>
  </r>
  <r>
    <x v="2974"/>
    <x v="2974"/>
    <x v="3"/>
    <x v="9"/>
    <x v="4"/>
    <x v="9"/>
    <n v="717380"/>
    <n v="428754"/>
    <n v="355493"/>
    <n v="11475"/>
    <n v="1653"/>
    <n v="1447"/>
    <n v="10"/>
    <n v="12654"/>
    <n v="4.1027530781196815E-2"/>
    <x v="0"/>
  </r>
  <r>
    <x v="2975"/>
    <x v="2975"/>
    <x v="3"/>
    <x v="15"/>
    <x v="5"/>
    <x v="14"/>
    <n v="384696"/>
    <n v="65886"/>
    <n v="56803"/>
    <n v="4057"/>
    <n v="476"/>
    <n v="527"/>
    <n v="8"/>
    <n v="1151"/>
    <n v="8.9220639754942516E-2"/>
    <x v="1"/>
  </r>
  <r>
    <x v="2976"/>
    <x v="2976"/>
    <x v="0"/>
    <x v="13"/>
    <x v="2"/>
    <x v="7"/>
    <n v="24356"/>
    <n v="10903"/>
    <n v="8650"/>
    <n v="230"/>
    <n v="12"/>
    <n v="11"/>
    <n v="48"/>
    <n v="269"/>
    <n v="3.479768786127168E-2"/>
    <x v="0"/>
  </r>
  <r>
    <x v="2977"/>
    <x v="2977"/>
    <x v="2"/>
    <x v="2"/>
    <x v="2"/>
    <x v="3"/>
    <n v="821559"/>
    <n v="395353"/>
    <n v="299479"/>
    <n v="12524"/>
    <n v="1025"/>
    <n v="1283"/>
    <n v="27"/>
    <n v="4354"/>
    <n v="4.9616166742910188E-2"/>
    <x v="0"/>
  </r>
  <r>
    <x v="2978"/>
    <x v="2978"/>
    <x v="0"/>
    <x v="13"/>
    <x v="4"/>
    <x v="0"/>
    <n v="257033"/>
    <n v="128315"/>
    <n v="104746"/>
    <n v="9269"/>
    <n v="435"/>
    <n v="806"/>
    <n v="1631"/>
    <n v="3191"/>
    <n v="0.1159089607240372"/>
    <x v="1"/>
  </r>
  <r>
    <x v="2979"/>
    <x v="2979"/>
    <x v="1"/>
    <x v="8"/>
    <x v="3"/>
    <x v="1"/>
    <n v="703474"/>
    <n v="139867"/>
    <n v="106090"/>
    <n v="4193"/>
    <n v="177"/>
    <n v="577"/>
    <n v="220"/>
    <n v="2651"/>
    <n v="4.8703930624941084E-2"/>
    <x v="1"/>
  </r>
  <r>
    <x v="2980"/>
    <x v="2980"/>
    <x v="2"/>
    <x v="2"/>
    <x v="3"/>
    <x v="5"/>
    <n v="260119"/>
    <n v="92765"/>
    <n v="77512"/>
    <n v="2083"/>
    <n v="222"/>
    <n v="60"/>
    <n v="43"/>
    <n v="3100"/>
    <n v="3.1066157498193827E-2"/>
    <x v="0"/>
  </r>
  <r>
    <x v="2981"/>
    <x v="2981"/>
    <x v="4"/>
    <x v="14"/>
    <x v="5"/>
    <x v="11"/>
    <n v="693311"/>
    <n v="150002"/>
    <n v="108704"/>
    <n v="7417"/>
    <n v="1086"/>
    <n v="898"/>
    <n v="516"/>
    <n v="4713"/>
    <n v="9.1229393582572857E-2"/>
    <x v="0"/>
  </r>
  <r>
    <x v="2982"/>
    <x v="2982"/>
    <x v="4"/>
    <x v="14"/>
    <x v="0"/>
    <x v="11"/>
    <n v="654879"/>
    <n v="57937"/>
    <n v="51588"/>
    <n v="1806"/>
    <n v="134"/>
    <n v="67"/>
    <n v="366"/>
    <n v="1156"/>
    <n v="4.5999069551058383E-2"/>
    <x v="1"/>
  </r>
  <r>
    <x v="2983"/>
    <x v="2983"/>
    <x v="4"/>
    <x v="12"/>
    <x v="3"/>
    <x v="13"/>
    <n v="711300"/>
    <n v="161282"/>
    <n v="147916"/>
    <n v="12007"/>
    <n v="1872"/>
    <n v="1393"/>
    <n v="1736"/>
    <n v="1631"/>
    <n v="0.11498418021038968"/>
    <x v="1"/>
  </r>
  <r>
    <x v="2984"/>
    <x v="2984"/>
    <x v="1"/>
    <x v="8"/>
    <x v="5"/>
    <x v="6"/>
    <n v="246443"/>
    <n v="42653"/>
    <n v="30296"/>
    <n v="2460"/>
    <n v="197"/>
    <n v="99"/>
    <n v="593"/>
    <n v="1094"/>
    <n v="0.11054264589384737"/>
    <x v="1"/>
  </r>
  <r>
    <x v="2985"/>
    <x v="2985"/>
    <x v="1"/>
    <x v="17"/>
    <x v="2"/>
    <x v="8"/>
    <n v="476124"/>
    <n v="828904"/>
    <n v="588175"/>
    <n v="23386"/>
    <n v="1072"/>
    <n v="871"/>
    <n v="1215"/>
    <n v="25027"/>
    <n v="4.5129425766141026E-2"/>
    <x v="1"/>
  </r>
  <r>
    <x v="2986"/>
    <x v="2986"/>
    <x v="0"/>
    <x v="0"/>
    <x v="3"/>
    <x v="0"/>
    <n v="605472"/>
    <n v="309470"/>
    <n v="277130"/>
    <n v="12366"/>
    <n v="1545"/>
    <n v="408"/>
    <n v="1211"/>
    <n v="3926"/>
    <n v="5.6038682206906505E-2"/>
    <x v="1"/>
  </r>
  <r>
    <x v="2987"/>
    <x v="2987"/>
    <x v="3"/>
    <x v="15"/>
    <x v="2"/>
    <x v="14"/>
    <n v="141525"/>
    <n v="17986"/>
    <n v="14674"/>
    <n v="908"/>
    <n v="106"/>
    <n v="88"/>
    <n v="22"/>
    <n v="236"/>
    <n v="7.65980646040616E-2"/>
    <x v="2"/>
  </r>
  <r>
    <x v="2988"/>
    <x v="2988"/>
    <x v="2"/>
    <x v="5"/>
    <x v="5"/>
    <x v="3"/>
    <n v="491340"/>
    <n v="223788"/>
    <n v="159362"/>
    <n v="11048"/>
    <n v="1635"/>
    <n v="661"/>
    <n v="8"/>
    <n v="5676"/>
    <n v="8.3784089055107244E-2"/>
    <x v="0"/>
  </r>
  <r>
    <x v="2989"/>
    <x v="2989"/>
    <x v="0"/>
    <x v="13"/>
    <x v="2"/>
    <x v="7"/>
    <n v="405441"/>
    <n v="234185"/>
    <n v="177252"/>
    <n v="10594"/>
    <n v="1590"/>
    <n v="879"/>
    <n v="1624"/>
    <n v="6778"/>
    <n v="8.2859431769458175E-2"/>
    <x v="1"/>
  </r>
  <r>
    <x v="2990"/>
    <x v="2990"/>
    <x v="3"/>
    <x v="18"/>
    <x v="1"/>
    <x v="14"/>
    <n v="838439"/>
    <n v="248158"/>
    <n v="222014"/>
    <n v="14051"/>
    <n v="2308"/>
    <n v="737"/>
    <n v="5"/>
    <n v="4781"/>
    <n v="7.7026673993531941E-2"/>
    <x v="0"/>
  </r>
  <r>
    <x v="2991"/>
    <x v="2991"/>
    <x v="4"/>
    <x v="12"/>
    <x v="3"/>
    <x v="13"/>
    <n v="359260"/>
    <n v="73543"/>
    <n v="59370"/>
    <n v="3605"/>
    <n v="648"/>
    <n v="422"/>
    <n v="898"/>
    <n v="1995"/>
    <n v="9.3868957385885132E-2"/>
    <x v="2"/>
  </r>
  <r>
    <x v="2992"/>
    <x v="2992"/>
    <x v="4"/>
    <x v="12"/>
    <x v="5"/>
    <x v="12"/>
    <n v="753886"/>
    <n v="286794"/>
    <n v="218110"/>
    <n v="7421"/>
    <n v="543"/>
    <n v="281"/>
    <n v="711"/>
    <n v="8875"/>
    <n v="4.1061849525468798E-2"/>
    <x v="0"/>
  </r>
  <r>
    <x v="2993"/>
    <x v="2993"/>
    <x v="4"/>
    <x v="21"/>
    <x v="3"/>
    <x v="11"/>
    <n v="229553"/>
    <n v="24814"/>
    <n v="17653"/>
    <n v="1135"/>
    <n v="61"/>
    <n v="110"/>
    <n v="266"/>
    <n v="538"/>
    <n v="8.9050019826658361E-2"/>
    <x v="1"/>
  </r>
  <r>
    <x v="2994"/>
    <x v="2994"/>
    <x v="0"/>
    <x v="0"/>
    <x v="2"/>
    <x v="0"/>
    <n v="559270"/>
    <n v="213519"/>
    <n v="171073"/>
    <n v="8835"/>
    <n v="1496"/>
    <n v="1201"/>
    <n v="1829"/>
    <n v="7276"/>
    <n v="7.8101161492462282E-2"/>
    <x v="2"/>
  </r>
  <r>
    <x v="2995"/>
    <x v="2995"/>
    <x v="0"/>
    <x v="23"/>
    <x v="2"/>
    <x v="10"/>
    <n v="66397"/>
    <n v="18431"/>
    <n v="15188"/>
    <n v="1130"/>
    <n v="121"/>
    <n v="126"/>
    <n v="77"/>
    <n v="159"/>
    <n v="9.5733473795101401E-2"/>
    <x v="0"/>
  </r>
  <r>
    <x v="2996"/>
    <x v="2996"/>
    <x v="3"/>
    <x v="11"/>
    <x v="3"/>
    <x v="14"/>
    <n v="590002"/>
    <n v="92568"/>
    <n v="64839"/>
    <n v="3268"/>
    <n v="196"/>
    <n v="455"/>
    <n v="47"/>
    <n v="2284"/>
    <n v="6.1166890297506132E-2"/>
    <x v="2"/>
  </r>
  <r>
    <x v="2997"/>
    <x v="2997"/>
    <x v="1"/>
    <x v="8"/>
    <x v="5"/>
    <x v="8"/>
    <n v="749387"/>
    <n v="314442"/>
    <n v="263375"/>
    <n v="11390"/>
    <n v="1757"/>
    <n v="1518"/>
    <n v="2107"/>
    <n v="3607"/>
    <n v="6.3681063122923584E-2"/>
    <x v="0"/>
  </r>
  <r>
    <x v="2998"/>
    <x v="2998"/>
    <x v="4"/>
    <x v="10"/>
    <x v="1"/>
    <x v="12"/>
    <n v="716253"/>
    <n v="368761"/>
    <n v="267185"/>
    <n v="11639"/>
    <n v="582"/>
    <n v="1213"/>
    <n v="590"/>
    <n v="7549"/>
    <n v="5.2487976495686511E-2"/>
    <x v="1"/>
  </r>
  <r>
    <x v="2999"/>
    <x v="2999"/>
    <x v="2"/>
    <x v="2"/>
    <x v="0"/>
    <x v="15"/>
    <n v="512044"/>
    <n v="80471"/>
    <n v="62805"/>
    <n v="4600"/>
    <n v="510"/>
    <n v="443"/>
    <n v="38"/>
    <n v="2779"/>
    <n v="8.9021574715388907E-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
  <r>
    <x v="0"/>
    <x v="0"/>
    <n v="774746"/>
    <n v="389062"/>
    <n v="279784"/>
    <n v="17630"/>
    <n v="607"/>
    <n v="853"/>
    <n v="2663"/>
    <n v="2255"/>
    <n v="7.7749263717725101E-2"/>
    <x v="0"/>
  </r>
  <r>
    <x v="0"/>
    <x v="1"/>
    <n v="512044"/>
    <n v="80471"/>
    <n v="62805"/>
    <n v="4600"/>
    <n v="510"/>
    <n v="443"/>
    <n v="38"/>
    <n v="2779"/>
    <n v="8.9021574715388907E-2"/>
    <x v="0"/>
  </r>
  <r>
    <x v="0"/>
    <x v="2"/>
    <n v="654879"/>
    <n v="57937"/>
    <n v="51588"/>
    <n v="1806"/>
    <n v="134"/>
    <n v="67"/>
    <n v="366"/>
    <n v="1156"/>
    <n v="4.5999069551058383E-2"/>
    <x v="1"/>
  </r>
  <r>
    <x v="0"/>
    <x v="3"/>
    <n v="711239"/>
    <n v="176253"/>
    <n v="157360"/>
    <n v="5502"/>
    <n v="682"/>
    <n v="788"/>
    <n v="627"/>
    <n v="3896"/>
    <n v="4.8290543975597358E-2"/>
    <x v="1"/>
  </r>
  <r>
    <x v="0"/>
    <x v="4"/>
    <n v="575218"/>
    <n v="340306"/>
    <n v="263032"/>
    <n v="24441"/>
    <n v="1808"/>
    <n v="2424"/>
    <n v="38"/>
    <n v="8669"/>
    <n v="0.10915401928282491"/>
    <x v="1"/>
  </r>
  <r>
    <x v="0"/>
    <x v="5"/>
    <n v="800302"/>
    <n v="387892"/>
    <n v="286490"/>
    <n v="30131"/>
    <n v="5130"/>
    <n v="3617"/>
    <n v="22"/>
    <n v="8262"/>
    <n v="0.13578135362490837"/>
    <x v="2"/>
  </r>
  <r>
    <x v="0"/>
    <x v="0"/>
    <n v="610730"/>
    <n v="257006"/>
    <n v="198346"/>
    <n v="14365"/>
    <n v="1688"/>
    <n v="1657"/>
    <n v="1591"/>
    <n v="3574"/>
    <n v="9.7309751646113357E-2"/>
    <x v="1"/>
  </r>
  <r>
    <x v="0"/>
    <x v="6"/>
    <n v="5902"/>
    <n v="3418"/>
    <n v="3123"/>
    <n v="224"/>
    <n v="23"/>
    <n v="7"/>
    <n v="39"/>
    <n v="103"/>
    <n v="9.3820044828690358E-2"/>
    <x v="0"/>
  </r>
  <r>
    <x v="0"/>
    <x v="4"/>
    <n v="317018"/>
    <n v="96053"/>
    <n v="79384"/>
    <n v="2908"/>
    <n v="507"/>
    <n v="195"/>
    <n v="22"/>
    <n v="2568"/>
    <n v="4.575229265343142E-2"/>
    <x v="1"/>
  </r>
  <r>
    <x v="0"/>
    <x v="7"/>
    <n v="249498"/>
    <n v="110857"/>
    <n v="78198"/>
    <n v="7871"/>
    <n v="803"/>
    <n v="382"/>
    <n v="33"/>
    <n v="1167"/>
    <n v="0.11623059413284227"/>
    <x v="0"/>
  </r>
  <r>
    <x v="0"/>
    <x v="0"/>
    <n v="238931"/>
    <n v="105415"/>
    <n v="75536"/>
    <n v="4137"/>
    <n v="500"/>
    <n v="406"/>
    <n v="226"/>
    <n v="1131"/>
    <n v="6.9754818894302059E-2"/>
    <x v="1"/>
  </r>
  <r>
    <x v="0"/>
    <x v="8"/>
    <n v="141239"/>
    <n v="82336"/>
    <n v="66197"/>
    <n v="5522"/>
    <n v="834"/>
    <n v="247"/>
    <n v="383"/>
    <n v="1476"/>
    <n v="0.10553348339048597"/>
    <x v="0"/>
  </r>
  <r>
    <x v="0"/>
    <x v="9"/>
    <n v="421004"/>
    <n v="196843"/>
    <n v="171150"/>
    <n v="5595"/>
    <n v="872"/>
    <n v="688"/>
    <n v="782"/>
    <n v="6197"/>
    <n v="4.6374525270230789E-2"/>
    <x v="0"/>
  </r>
  <r>
    <x v="0"/>
    <x v="1"/>
    <n v="267217"/>
    <n v="160783"/>
    <n v="129529"/>
    <n v="10643"/>
    <n v="819"/>
    <n v="1497"/>
    <n v="18"/>
    <n v="2171"/>
    <n v="0.10018605872044098"/>
    <x v="1"/>
  </r>
  <r>
    <x v="0"/>
    <x v="7"/>
    <n v="230775"/>
    <n v="94648"/>
    <n v="67522"/>
    <n v="3673"/>
    <n v="137"/>
    <n v="301"/>
    <n v="33"/>
    <n v="920"/>
    <n v="6.1372589674476466E-2"/>
    <x v="2"/>
  </r>
  <r>
    <x v="0"/>
    <x v="2"/>
    <n v="49436"/>
    <n v="24696"/>
    <n v="19684"/>
    <n v="1831"/>
    <n v="282"/>
    <n v="142"/>
    <n v="317"/>
    <n v="164"/>
    <n v="0.13066449908555172"/>
    <x v="0"/>
  </r>
  <r>
    <x v="0"/>
    <x v="7"/>
    <n v="680221"/>
    <n v="251030"/>
    <n v="185995"/>
    <n v="6766"/>
    <n v="416"/>
    <n v="678"/>
    <n v="27"/>
    <n v="4916"/>
    <n v="4.2404365708755609E-2"/>
    <x v="0"/>
  </r>
  <r>
    <x v="0"/>
    <x v="8"/>
    <n v="441045"/>
    <n v="85640"/>
    <n v="78154"/>
    <n v="2283"/>
    <n v="144"/>
    <n v="183"/>
    <n v="246"/>
    <n v="1419"/>
    <n v="3.6543235151111908E-2"/>
    <x v="0"/>
  </r>
  <r>
    <x v="0"/>
    <x v="7"/>
    <n v="276379"/>
    <n v="35518"/>
    <n v="31673"/>
    <n v="2554"/>
    <n v="157"/>
    <n v="362"/>
    <n v="40"/>
    <n v="716"/>
    <n v="9.8285606036687401E-2"/>
    <x v="2"/>
  </r>
  <r>
    <x v="0"/>
    <x v="8"/>
    <n v="340797"/>
    <n v="69531"/>
    <n v="55195"/>
    <n v="2232"/>
    <n v="291"/>
    <n v="130"/>
    <n v="212"/>
    <n v="1801"/>
    <n v="5.190687562279192E-2"/>
    <x v="2"/>
  </r>
  <r>
    <x v="0"/>
    <x v="0"/>
    <n v="106062"/>
    <n v="49578"/>
    <n v="45252"/>
    <n v="1311"/>
    <n v="180"/>
    <n v="126"/>
    <n v="191"/>
    <n v="1695"/>
    <n v="3.9954035180765492E-2"/>
    <x v="0"/>
  </r>
  <r>
    <x v="0"/>
    <x v="10"/>
    <n v="610987"/>
    <n v="347591"/>
    <n v="319546"/>
    <n v="23381"/>
    <n v="4103"/>
    <n v="1860"/>
    <n v="4617"/>
    <n v="6123"/>
    <n v="0.10627890820101019"/>
    <x v="1"/>
  </r>
  <r>
    <x v="0"/>
    <x v="10"/>
    <n v="693525"/>
    <n v="166529"/>
    <n v="139240"/>
    <n v="8929"/>
    <n v="582"/>
    <n v="436"/>
    <n v="1878"/>
    <n v="2155"/>
    <n v="8.4925308819304796E-2"/>
    <x v="1"/>
  </r>
  <r>
    <x v="0"/>
    <x v="5"/>
    <n v="37080"/>
    <n v="19320"/>
    <n v="16249"/>
    <n v="1160"/>
    <n v="126"/>
    <n v="167"/>
    <n v="32"/>
    <n v="538"/>
    <n v="9.139023939934765E-2"/>
    <x v="0"/>
  </r>
  <r>
    <x v="0"/>
    <x v="5"/>
    <n v="325497"/>
    <n v="166915"/>
    <n v="126742"/>
    <n v="7722"/>
    <n v="410"/>
    <n v="901"/>
    <n v="50"/>
    <n v="1605"/>
    <n v="7.1665272758832901E-2"/>
    <x v="0"/>
  </r>
  <r>
    <x v="0"/>
    <x v="11"/>
    <n v="330041"/>
    <n v="184616"/>
    <n v="159835"/>
    <n v="14631"/>
    <n v="974"/>
    <n v="846"/>
    <n v="3537"/>
    <n v="5704"/>
    <n v="0.12505396189820753"/>
    <x v="0"/>
  </r>
  <r>
    <x v="0"/>
    <x v="12"/>
    <n v="303112"/>
    <n v="45381"/>
    <n v="40080"/>
    <n v="1922"/>
    <n v="80"/>
    <n v="277"/>
    <n v="22"/>
    <n v="1235"/>
    <n v="5.741017964071856E-2"/>
    <x v="2"/>
  </r>
  <r>
    <x v="0"/>
    <x v="5"/>
    <n v="82606"/>
    <n v="24878"/>
    <n v="19674"/>
    <n v="1563"/>
    <n v="116"/>
    <n v="49"/>
    <n v="44"/>
    <n v="755"/>
    <n v="9.0068110196198023E-2"/>
    <x v="0"/>
  </r>
  <r>
    <x v="0"/>
    <x v="9"/>
    <n v="129542"/>
    <n v="53840"/>
    <n v="43566"/>
    <n v="2470"/>
    <n v="115"/>
    <n v="333"/>
    <n v="275"/>
    <n v="1835"/>
    <n v="7.3291098563099663E-2"/>
    <x v="0"/>
  </r>
  <r>
    <x v="0"/>
    <x v="12"/>
    <n v="813744"/>
    <n v="315490"/>
    <n v="243362"/>
    <n v="16038"/>
    <n v="962"/>
    <n v="1811"/>
    <n v="34"/>
    <n v="2004"/>
    <n v="7.743608287242873E-2"/>
    <x v="0"/>
  </r>
  <r>
    <x v="0"/>
    <x v="2"/>
    <n v="797808"/>
    <n v="417308"/>
    <n v="315171"/>
    <n v="15091"/>
    <n v="2706"/>
    <n v="1240"/>
    <n v="3386"/>
    <n v="11552"/>
    <n v="7.1145505138480378E-2"/>
    <x v="2"/>
  </r>
  <r>
    <x v="0"/>
    <x v="6"/>
    <n v="691102"/>
    <n v="425226"/>
    <n v="361818"/>
    <n v="30345"/>
    <n v="2102"/>
    <n v="739"/>
    <n v="3077"/>
    <n v="5442"/>
    <n v="0.10022442222332775"/>
    <x v="1"/>
  </r>
  <r>
    <x v="0"/>
    <x v="2"/>
    <n v="510180"/>
    <n v="288082"/>
    <n v="258236"/>
    <n v="12395"/>
    <n v="482"/>
    <n v="602"/>
    <n v="2748"/>
    <n v="3246"/>
    <n v="6.2837869235892754E-2"/>
    <x v="2"/>
  </r>
  <r>
    <x v="0"/>
    <x v="4"/>
    <n v="679454"/>
    <n v="188769"/>
    <n v="135749"/>
    <n v="6139"/>
    <n v="901"/>
    <n v="569"/>
    <n v="6"/>
    <n v="2667"/>
    <n v="5.6096177504070012E-2"/>
    <x v="0"/>
  </r>
  <r>
    <x v="0"/>
    <x v="13"/>
    <n v="811095"/>
    <n v="81991"/>
    <n v="66630"/>
    <n v="3796"/>
    <n v="240"/>
    <n v="440"/>
    <n v="647"/>
    <n v="1499"/>
    <n v="7.6887288008404622E-2"/>
    <x v="1"/>
  </r>
  <r>
    <x v="0"/>
    <x v="14"/>
    <n v="523085"/>
    <n v="1030969"/>
    <n v="825602"/>
    <n v="23388"/>
    <n v="3601"/>
    <n v="546"/>
    <n v="31"/>
    <n v="21849"/>
    <n v="3.338896950346535E-2"/>
    <x v="1"/>
  </r>
  <r>
    <x v="0"/>
    <x v="5"/>
    <n v="24140"/>
    <n v="7674"/>
    <n v="5720"/>
    <n v="529"/>
    <n v="63"/>
    <n v="77"/>
    <n v="2"/>
    <n v="128"/>
    <n v="0.11730769230769231"/>
    <x v="1"/>
  </r>
  <r>
    <x v="0"/>
    <x v="9"/>
    <n v="832398"/>
    <n v="106398"/>
    <n v="83546"/>
    <n v="3174"/>
    <n v="134"/>
    <n v="404"/>
    <n v="740"/>
    <n v="2414"/>
    <n v="5.3288009001029375E-2"/>
    <x v="2"/>
  </r>
  <r>
    <x v="0"/>
    <x v="6"/>
    <n v="449584"/>
    <n v="80482"/>
    <n v="65766"/>
    <n v="5037"/>
    <n v="623"/>
    <n v="660"/>
    <n v="1097"/>
    <n v="2561"/>
    <n v="0.11277863941854453"/>
    <x v="0"/>
  </r>
  <r>
    <x v="0"/>
    <x v="6"/>
    <n v="367155"/>
    <n v="207124"/>
    <n v="167623"/>
    <n v="10347"/>
    <n v="425"/>
    <n v="402"/>
    <n v="1425"/>
    <n v="3035"/>
    <n v="7.5162716333677354E-2"/>
    <x v="0"/>
  </r>
  <r>
    <x v="0"/>
    <x v="0"/>
    <n v="299487"/>
    <n v="59466"/>
    <n v="54154"/>
    <n v="2221"/>
    <n v="362"/>
    <n v="69"/>
    <n v="143"/>
    <n v="1115"/>
    <n v="5.1612069283894078E-2"/>
    <x v="1"/>
  </r>
  <r>
    <x v="0"/>
    <x v="11"/>
    <n v="47599"/>
    <n v="12900"/>
    <n v="10544"/>
    <n v="761"/>
    <n v="26"/>
    <n v="105"/>
    <n v="150"/>
    <n v="157"/>
    <n v="9.8823975720789076E-2"/>
    <x v="2"/>
  </r>
  <r>
    <x v="0"/>
    <x v="11"/>
    <n v="758859"/>
    <n v="243708"/>
    <n v="179381"/>
    <n v="5881"/>
    <n v="834"/>
    <n v="816"/>
    <n v="526"/>
    <n v="2585"/>
    <n v="4.4915570768364541E-2"/>
    <x v="0"/>
  </r>
  <r>
    <x v="0"/>
    <x v="15"/>
    <n v="636014"/>
    <n v="188871"/>
    <n v="171308"/>
    <n v="15080"/>
    <n v="868"/>
    <n v="851"/>
    <n v="2975"/>
    <n v="3887"/>
    <n v="0.11542951876152895"/>
    <x v="0"/>
  </r>
  <r>
    <x v="0"/>
    <x v="9"/>
    <n v="581305"/>
    <n v="47390"/>
    <n v="40360"/>
    <n v="2283"/>
    <n v="79"/>
    <n v="131"/>
    <n v="243"/>
    <n v="1459"/>
    <n v="6.7789890981169471E-2"/>
    <x v="0"/>
  </r>
  <r>
    <x v="0"/>
    <x v="16"/>
    <n v="622979"/>
    <n v="288341"/>
    <n v="207605"/>
    <n v="10978"/>
    <n v="1512"/>
    <n v="1408"/>
    <n v="2691"/>
    <n v="2773"/>
    <n v="7.9906553310373066E-2"/>
    <x v="0"/>
  </r>
  <r>
    <x v="0"/>
    <x v="15"/>
    <n v="306034"/>
    <n v="68451"/>
    <n v="48838"/>
    <n v="2350"/>
    <n v="93"/>
    <n v="79"/>
    <n v="134"/>
    <n v="1224"/>
    <n v="5.4383881403824892E-2"/>
    <x v="0"/>
  </r>
  <r>
    <x v="0"/>
    <x v="3"/>
    <n v="489743"/>
    <n v="291192"/>
    <n v="212143"/>
    <n v="18815"/>
    <n v="689"/>
    <n v="1306"/>
    <n v="3880"/>
    <n v="8908"/>
    <n v="0.11638376001093602"/>
    <x v="0"/>
  </r>
  <r>
    <x v="0"/>
    <x v="8"/>
    <n v="552468"/>
    <n v="253664"/>
    <n v="226925"/>
    <n v="14930"/>
    <n v="1094"/>
    <n v="1494"/>
    <n v="2581"/>
    <n v="7715"/>
    <n v="8.8571113804120305E-2"/>
    <x v="2"/>
  </r>
  <r>
    <x v="0"/>
    <x v="5"/>
    <n v="327432"/>
    <n v="121407"/>
    <n v="90972"/>
    <n v="2801"/>
    <n v="157"/>
    <n v="184"/>
    <n v="25"/>
    <n v="2941"/>
    <n v="3.4812909466649077E-2"/>
    <x v="0"/>
  </r>
  <r>
    <x v="0"/>
    <x v="10"/>
    <n v="195279"/>
    <n v="102427"/>
    <n v="79509"/>
    <n v="5367"/>
    <n v="178"/>
    <n v="725"/>
    <n v="973"/>
    <n v="3545"/>
    <n v="9.1096605415739093E-2"/>
    <x v="1"/>
  </r>
  <r>
    <x v="0"/>
    <x v="5"/>
    <n v="202369"/>
    <n v="74815"/>
    <n v="66591"/>
    <n v="2736"/>
    <n v="406"/>
    <n v="202"/>
    <n v="50"/>
    <n v="1513"/>
    <n v="5.0967848508056642E-2"/>
    <x v="1"/>
  </r>
  <r>
    <x v="0"/>
    <x v="4"/>
    <n v="588240"/>
    <n v="158422"/>
    <n v="140589"/>
    <n v="6080"/>
    <n v="335"/>
    <n v="818"/>
    <n v="12"/>
    <n v="3450"/>
    <n v="5.1533192497279307E-2"/>
    <x v="1"/>
  </r>
  <r>
    <x v="0"/>
    <x v="6"/>
    <n v="673541"/>
    <n v="227669"/>
    <n v="185647"/>
    <n v="17240"/>
    <n v="1132"/>
    <n v="2313"/>
    <n v="1966"/>
    <n v="2356"/>
    <n v="0.12201112864737916"/>
    <x v="0"/>
  </r>
  <r>
    <x v="0"/>
    <x v="11"/>
    <n v="684598"/>
    <n v="410214"/>
    <n v="317544"/>
    <n v="22750"/>
    <n v="939"/>
    <n v="725"/>
    <n v="4043"/>
    <n v="9957"/>
    <n v="8.9615927241579116E-2"/>
    <x v="2"/>
  </r>
  <r>
    <x v="0"/>
    <x v="1"/>
    <n v="107277"/>
    <n v="15126"/>
    <n v="12307"/>
    <n v="303"/>
    <n v="33"/>
    <n v="9"/>
    <n v="42"/>
    <n v="471"/>
    <n v="3.1445518810433087E-2"/>
    <x v="2"/>
  </r>
  <r>
    <x v="0"/>
    <x v="2"/>
    <n v="32853"/>
    <n v="17536"/>
    <n v="13658"/>
    <n v="803"/>
    <n v="53"/>
    <n v="59"/>
    <n v="149"/>
    <n v="182"/>
    <n v="7.7903060477375899E-2"/>
    <x v="0"/>
  </r>
  <r>
    <x v="0"/>
    <x v="10"/>
    <n v="809121"/>
    <n v="220408"/>
    <n v="171122"/>
    <n v="15152"/>
    <n v="2217"/>
    <n v="1158"/>
    <n v="1638"/>
    <n v="5806"/>
    <n v="0.11783990369444022"/>
    <x v="2"/>
  </r>
  <r>
    <x v="0"/>
    <x v="14"/>
    <n v="810860"/>
    <n v="66929"/>
    <n v="59210"/>
    <n v="2116"/>
    <n v="341"/>
    <n v="49"/>
    <n v="39"/>
    <n v="1976"/>
    <n v="4.2982604289815908E-2"/>
    <x v="0"/>
  </r>
  <r>
    <x v="0"/>
    <x v="13"/>
    <n v="546115"/>
    <n v="256022"/>
    <n v="210805"/>
    <n v="13760"/>
    <n v="2092"/>
    <n v="1404"/>
    <n v="2307"/>
    <n v="7170"/>
    <n v="9.2801404141268001E-2"/>
    <x v="0"/>
  </r>
  <r>
    <x v="0"/>
    <x v="8"/>
    <n v="318680"/>
    <n v="92970"/>
    <n v="72137"/>
    <n v="7014"/>
    <n v="785"/>
    <n v="340"/>
    <n v="1731"/>
    <n v="1104"/>
    <n v="0.13682298958925379"/>
    <x v="0"/>
  </r>
  <r>
    <x v="0"/>
    <x v="15"/>
    <n v="347193"/>
    <n v="194294"/>
    <n v="174668"/>
    <n v="4118"/>
    <n v="464"/>
    <n v="219"/>
    <n v="469"/>
    <n v="3266"/>
    <n v="3.017152540820299E-2"/>
    <x v="0"/>
  </r>
  <r>
    <x v="0"/>
    <x v="17"/>
    <n v="209995"/>
    <n v="112482"/>
    <n v="86236"/>
    <n v="7778"/>
    <n v="835"/>
    <n v="462"/>
    <n v="39"/>
    <n v="1415"/>
    <n v="0.10568672016327288"/>
    <x v="0"/>
  </r>
  <r>
    <x v="0"/>
    <x v="9"/>
    <n v="844153"/>
    <n v="150939"/>
    <n v="118730"/>
    <n v="11609"/>
    <n v="1806"/>
    <n v="1636"/>
    <n v="2901"/>
    <n v="2919"/>
    <n v="0.15120020213930768"/>
    <x v="1"/>
  </r>
  <r>
    <x v="0"/>
    <x v="2"/>
    <n v="36346"/>
    <n v="12664"/>
    <n v="10503"/>
    <n v="391"/>
    <n v="64"/>
    <n v="11"/>
    <n v="93"/>
    <n v="205"/>
    <n v="5.3222888698467107E-2"/>
    <x v="0"/>
  </r>
  <r>
    <x v="0"/>
    <x v="7"/>
    <n v="5178"/>
    <n v="2752"/>
    <n v="2366"/>
    <n v="60"/>
    <n v="3"/>
    <n v="3"/>
    <n v="40"/>
    <n v="26"/>
    <n v="4.4801352493660185E-2"/>
    <x v="1"/>
  </r>
  <r>
    <x v="0"/>
    <x v="13"/>
    <n v="512823"/>
    <n v="56036"/>
    <n v="42237"/>
    <n v="2166"/>
    <n v="361"/>
    <n v="176"/>
    <n v="334"/>
    <n v="958"/>
    <n v="7.1903781045055279E-2"/>
    <x v="0"/>
  </r>
  <r>
    <x v="0"/>
    <x v="6"/>
    <n v="709203"/>
    <n v="104970"/>
    <n v="90790"/>
    <n v="2999"/>
    <n v="145"/>
    <n v="102"/>
    <n v="749"/>
    <n v="1977"/>
    <n v="4.4002643462936447E-2"/>
    <x v="2"/>
  </r>
  <r>
    <x v="0"/>
    <x v="15"/>
    <n v="707749"/>
    <n v="275071"/>
    <n v="212964"/>
    <n v="14816"/>
    <n v="1637"/>
    <n v="2154"/>
    <n v="3292"/>
    <n v="6019"/>
    <n v="0.10282958622114535"/>
    <x v="1"/>
  </r>
  <r>
    <x v="0"/>
    <x v="6"/>
    <n v="447856"/>
    <n v="100739"/>
    <n v="80470"/>
    <n v="2854"/>
    <n v="194"/>
    <n v="210"/>
    <n v="195"/>
    <n v="3386"/>
    <n v="4.291040139182304E-2"/>
    <x v="1"/>
  </r>
  <r>
    <x v="0"/>
    <x v="4"/>
    <n v="635940"/>
    <n v="176214"/>
    <n v="157455"/>
    <n v="12726"/>
    <n v="1447"/>
    <n v="1509"/>
    <n v="31"/>
    <n v="5028"/>
    <n v="9.979359181988505E-2"/>
    <x v="0"/>
  </r>
  <r>
    <x v="0"/>
    <x v="17"/>
    <n v="179900"/>
    <n v="573675"/>
    <n v="414844"/>
    <n v="29451"/>
    <n v="4997"/>
    <n v="615"/>
    <n v="47"/>
    <n v="3140"/>
    <n v="8.4634223949243567E-2"/>
    <x v="0"/>
  </r>
  <r>
    <x v="0"/>
    <x v="2"/>
    <n v="808370"/>
    <n v="518709"/>
    <n v="421394"/>
    <n v="31398"/>
    <n v="4326"/>
    <n v="1813"/>
    <n v="6972"/>
    <n v="7068"/>
    <n v="0.1056232409573938"/>
    <x v="0"/>
  </r>
  <r>
    <x v="0"/>
    <x v="15"/>
    <n v="219355"/>
    <n v="31556"/>
    <n v="27020"/>
    <n v="1428"/>
    <n v="112"/>
    <n v="41"/>
    <n v="160"/>
    <n v="946"/>
    <n v="6.4433752775721692E-2"/>
    <x v="0"/>
  </r>
  <r>
    <x v="0"/>
    <x v="10"/>
    <n v="376637"/>
    <n v="124755"/>
    <n v="87530"/>
    <n v="2923"/>
    <n v="388"/>
    <n v="99"/>
    <n v="188"/>
    <n v="2599"/>
    <n v="4.1105906546326974E-2"/>
    <x v="0"/>
  </r>
  <r>
    <x v="0"/>
    <x v="11"/>
    <n v="752340"/>
    <n v="353487"/>
    <n v="251704"/>
    <n v="13526"/>
    <n v="1445"/>
    <n v="792"/>
    <n v="1327"/>
    <n v="9945"/>
    <n v="6.7897212598925727E-2"/>
    <x v="2"/>
  </r>
  <r>
    <x v="0"/>
    <x v="13"/>
    <n v="381681"/>
    <n v="1874597"/>
    <n v="1516349"/>
    <n v="50697"/>
    <n v="3951"/>
    <n v="2113"/>
    <n v="5777"/>
    <n v="47695"/>
    <n v="4.1242484414867553E-2"/>
    <x v="1"/>
  </r>
  <r>
    <x v="0"/>
    <x v="2"/>
    <n v="175426"/>
    <n v="14041"/>
    <n v="12019"/>
    <n v="340"/>
    <n v="55"/>
    <n v="25"/>
    <n v="56"/>
    <n v="96"/>
    <n v="3.9603960396039604E-2"/>
    <x v="0"/>
  </r>
  <r>
    <x v="0"/>
    <x v="5"/>
    <n v="543163"/>
    <n v="190740"/>
    <n v="137246"/>
    <n v="12362"/>
    <n v="1015"/>
    <n v="1321"/>
    <n v="48"/>
    <n v="5492"/>
    <n v="0.10744211124550078"/>
    <x v="0"/>
  </r>
  <r>
    <x v="0"/>
    <x v="12"/>
    <n v="595692"/>
    <n v="322944"/>
    <n v="251776"/>
    <n v="11646"/>
    <n v="1862"/>
    <n v="1453"/>
    <n v="34"/>
    <n v="8141"/>
    <n v="5.9556907727503813E-2"/>
    <x v="2"/>
  </r>
  <r>
    <x v="0"/>
    <x v="10"/>
    <n v="703715"/>
    <n v="234307"/>
    <n v="212040"/>
    <n v="14720"/>
    <n v="2370"/>
    <n v="1973"/>
    <n v="1331"/>
    <n v="4175"/>
    <n v="9.6179966044142612E-2"/>
    <x v="0"/>
  </r>
  <r>
    <x v="0"/>
    <x v="1"/>
    <n v="631539"/>
    <n v="225392"/>
    <n v="173473"/>
    <n v="10288"/>
    <n v="1282"/>
    <n v="628"/>
    <n v="21"/>
    <n v="5616"/>
    <n v="7.0437474419650314E-2"/>
    <x v="0"/>
  </r>
  <r>
    <x v="0"/>
    <x v="10"/>
    <n v="400470"/>
    <n v="101251"/>
    <n v="88958"/>
    <n v="5987"/>
    <n v="528"/>
    <n v="694"/>
    <n v="855"/>
    <n v="1954"/>
    <n v="9.0649519998201394E-2"/>
    <x v="0"/>
  </r>
  <r>
    <x v="0"/>
    <x v="15"/>
    <n v="727592"/>
    <n v="320047"/>
    <n v="231330"/>
    <n v="17346"/>
    <n v="530"/>
    <n v="674"/>
    <n v="961"/>
    <n v="8573"/>
    <n v="8.4342713871957811E-2"/>
    <x v="1"/>
  </r>
  <r>
    <x v="0"/>
    <x v="8"/>
    <n v="784920"/>
    <n v="455274"/>
    <n v="345457"/>
    <n v="23115"/>
    <n v="1937"/>
    <n v="740"/>
    <n v="2494"/>
    <n v="4013"/>
    <n v="8.1879944537236182E-2"/>
    <x v="2"/>
  </r>
  <r>
    <x v="0"/>
    <x v="14"/>
    <n v="445863"/>
    <n v="153557"/>
    <n v="134014"/>
    <n v="3572"/>
    <n v="387"/>
    <n v="339"/>
    <n v="10"/>
    <n v="3932"/>
    <n v="3.2145895204978583E-2"/>
    <x v="0"/>
  </r>
  <r>
    <x v="0"/>
    <x v="14"/>
    <n v="729001"/>
    <n v="394502"/>
    <n v="338743"/>
    <n v="8924"/>
    <n v="755"/>
    <n v="1013"/>
    <n v="28"/>
    <n v="9198"/>
    <n v="3.1646410405528673E-2"/>
    <x v="1"/>
  </r>
  <r>
    <x v="0"/>
    <x v="4"/>
    <n v="799127"/>
    <n v="330943"/>
    <n v="250513"/>
    <n v="6830"/>
    <n v="855"/>
    <n v="842"/>
    <n v="7"/>
    <n v="5252"/>
    <n v="3.4066096370248253E-2"/>
    <x v="0"/>
  </r>
  <r>
    <x v="0"/>
    <x v="4"/>
    <n v="426548"/>
    <n v="187092"/>
    <n v="153142"/>
    <n v="11599"/>
    <n v="1823"/>
    <n v="329"/>
    <n v="7"/>
    <n v="2211"/>
    <n v="8.9838189392851084E-2"/>
    <x v="1"/>
  </r>
  <r>
    <x v="0"/>
    <x v="6"/>
    <n v="756956"/>
    <n v="192796"/>
    <n v="161675"/>
    <n v="7609"/>
    <n v="1067"/>
    <n v="161"/>
    <n v="1873"/>
    <n v="2001"/>
    <n v="6.6244008040822644E-2"/>
    <x v="0"/>
  </r>
  <r>
    <x v="0"/>
    <x v="2"/>
    <n v="174132"/>
    <n v="39053"/>
    <n v="32293"/>
    <n v="2300"/>
    <n v="141"/>
    <n v="180"/>
    <n v="512"/>
    <n v="776"/>
    <n v="9.7017929582262408E-2"/>
    <x v="2"/>
  </r>
  <r>
    <x v="0"/>
    <x v="10"/>
    <n v="419096"/>
    <n v="194434"/>
    <n v="153986"/>
    <n v="6859"/>
    <n v="794"/>
    <n v="962"/>
    <n v="964"/>
    <n v="1236"/>
    <n v="6.2206953878924061E-2"/>
    <x v="0"/>
  </r>
  <r>
    <x v="0"/>
    <x v="12"/>
    <n v="418066"/>
    <n v="108808"/>
    <n v="77614"/>
    <n v="8483"/>
    <n v="929"/>
    <n v="937"/>
    <n v="38"/>
    <n v="1625"/>
    <n v="0.13382894838560053"/>
    <x v="0"/>
  </r>
  <r>
    <x v="0"/>
    <x v="3"/>
    <n v="125228"/>
    <n v="56128"/>
    <n v="43191"/>
    <n v="3602"/>
    <n v="475"/>
    <n v="88"/>
    <n v="886"/>
    <n v="401"/>
    <n v="0.11694565997545785"/>
    <x v="2"/>
  </r>
  <r>
    <x v="0"/>
    <x v="8"/>
    <n v="834637"/>
    <n v="519832"/>
    <n v="456143"/>
    <n v="10464"/>
    <n v="1516"/>
    <n v="704"/>
    <n v="1965"/>
    <n v="14126"/>
    <n v="3.2114928870990017E-2"/>
    <x v="0"/>
  </r>
  <r>
    <x v="0"/>
    <x v="15"/>
    <n v="87760"/>
    <n v="26538"/>
    <n v="19376"/>
    <n v="534"/>
    <n v="71"/>
    <n v="68"/>
    <n v="82"/>
    <n v="406"/>
    <n v="3.8965730800990916E-2"/>
    <x v="1"/>
  </r>
  <r>
    <x v="0"/>
    <x v="12"/>
    <n v="725435"/>
    <n v="189776"/>
    <n v="168143"/>
    <n v="9434"/>
    <n v="883"/>
    <n v="586"/>
    <n v="48"/>
    <n v="6217"/>
    <n v="6.5129086551328333E-2"/>
    <x v="0"/>
  </r>
  <r>
    <x v="0"/>
    <x v="8"/>
    <n v="31997"/>
    <n v="5946"/>
    <n v="5186"/>
    <n v="253"/>
    <n v="45"/>
    <n v="6"/>
    <n v="33"/>
    <n v="162"/>
    <n v="6.4982645584265336E-2"/>
    <x v="0"/>
  </r>
  <r>
    <x v="0"/>
    <x v="17"/>
    <n v="244759"/>
    <n v="51447"/>
    <n v="46083"/>
    <n v="3928"/>
    <n v="207"/>
    <n v="479"/>
    <n v="13"/>
    <n v="524"/>
    <n v="0.1004057895536315"/>
    <x v="0"/>
  </r>
  <r>
    <x v="0"/>
    <x v="17"/>
    <n v="118208"/>
    <n v="61667"/>
    <n v="55296"/>
    <n v="3317"/>
    <n v="370"/>
    <n v="106"/>
    <n v="31"/>
    <n v="763"/>
    <n v="6.9155092592592587E-2"/>
    <x v="1"/>
  </r>
  <r>
    <x v="0"/>
    <x v="8"/>
    <n v="746531"/>
    <n v="331078"/>
    <n v="258084"/>
    <n v="11076"/>
    <n v="1968"/>
    <n v="1361"/>
    <n v="1078"/>
    <n v="6562"/>
    <n v="5.9992095596782445E-2"/>
    <x v="0"/>
  </r>
  <r>
    <x v="0"/>
    <x v="13"/>
    <n v="705169"/>
    <n v="339799"/>
    <n v="258889"/>
    <n v="20575"/>
    <n v="1577"/>
    <n v="1111"/>
    <n v="4168"/>
    <n v="4454"/>
    <n v="0.10595660688557644"/>
    <x v="1"/>
  </r>
  <r>
    <x v="0"/>
    <x v="4"/>
    <n v="487893"/>
    <n v="109749"/>
    <n v="88537"/>
    <n v="5017"/>
    <n v="166"/>
    <n v="223"/>
    <n v="35"/>
    <n v="3208"/>
    <n v="6.1454533133040425E-2"/>
    <x v="0"/>
  </r>
  <r>
    <x v="0"/>
    <x v="10"/>
    <n v="276425"/>
    <n v="76473"/>
    <n v="61946"/>
    <n v="4433"/>
    <n v="531"/>
    <n v="544"/>
    <n v="876"/>
    <n v="1038"/>
    <n v="0.1030575016950247"/>
    <x v="2"/>
  </r>
  <r>
    <x v="0"/>
    <x v="0"/>
    <n v="428292"/>
    <n v="161940"/>
    <n v="128610"/>
    <n v="9851"/>
    <n v="464"/>
    <n v="636"/>
    <n v="1215"/>
    <n v="2667"/>
    <n v="9.4596065624757017E-2"/>
    <x v="0"/>
  </r>
  <r>
    <x v="0"/>
    <x v="17"/>
    <n v="305313"/>
    <n v="150603"/>
    <n v="115699"/>
    <n v="5024"/>
    <n v="228"/>
    <n v="258"/>
    <n v="27"/>
    <n v="3863"/>
    <n v="4.7856939126526589E-2"/>
    <x v="0"/>
  </r>
  <r>
    <x v="0"/>
    <x v="4"/>
    <n v="767261"/>
    <n v="399615"/>
    <n v="340064"/>
    <n v="8405"/>
    <n v="808"/>
    <n v="420"/>
    <n v="11"/>
    <n v="10266"/>
    <n v="2.8359367648442647E-2"/>
    <x v="0"/>
  </r>
  <r>
    <x v="0"/>
    <x v="6"/>
    <n v="542228"/>
    <n v="315074"/>
    <n v="222158"/>
    <n v="24170"/>
    <n v="2557"/>
    <n v="3520"/>
    <n v="2248"/>
    <n v="4911"/>
    <n v="0.14626977196409763"/>
    <x v="0"/>
  </r>
  <r>
    <x v="0"/>
    <x v="14"/>
    <n v="642202"/>
    <n v="394639"/>
    <n v="343513"/>
    <n v="25959"/>
    <n v="2088"/>
    <n v="1201"/>
    <n v="50"/>
    <n v="4278"/>
    <n v="8.5289348583605276E-2"/>
    <x v="1"/>
  </r>
  <r>
    <x v="0"/>
    <x v="2"/>
    <n v="192387"/>
    <n v="42912"/>
    <n v="34601"/>
    <n v="1468"/>
    <n v="185"/>
    <n v="44"/>
    <n v="138"/>
    <n v="567"/>
    <n v="5.303314933094419E-2"/>
    <x v="0"/>
  </r>
  <r>
    <x v="0"/>
    <x v="4"/>
    <n v="658283"/>
    <n v="76348"/>
    <n v="59376"/>
    <n v="3421"/>
    <n v="146"/>
    <n v="262"/>
    <n v="23"/>
    <n v="1151"/>
    <n v="6.4874696847210991E-2"/>
    <x v="1"/>
  </r>
  <r>
    <x v="0"/>
    <x v="6"/>
    <n v="245784"/>
    <n v="84569"/>
    <n v="67524"/>
    <n v="4147"/>
    <n v="400"/>
    <n v="218"/>
    <n v="806"/>
    <n v="2505"/>
    <n v="8.2503998578283277E-2"/>
    <x v="0"/>
  </r>
  <r>
    <x v="0"/>
    <x v="17"/>
    <n v="797446"/>
    <n v="367046"/>
    <n v="283678"/>
    <n v="22493"/>
    <n v="3009"/>
    <n v="2168"/>
    <n v="35"/>
    <n v="4550"/>
    <n v="9.7663548107361164E-2"/>
    <x v="1"/>
  </r>
  <r>
    <x v="0"/>
    <x v="17"/>
    <n v="107155"/>
    <n v="25794"/>
    <n v="20507"/>
    <n v="569"/>
    <n v="77"/>
    <n v="25"/>
    <n v="14"/>
    <n v="579"/>
    <n v="3.3403228165992102E-2"/>
    <x v="0"/>
  </r>
  <r>
    <x v="0"/>
    <x v="12"/>
    <n v="136873"/>
    <n v="70569"/>
    <n v="56400"/>
    <n v="2179"/>
    <n v="214"/>
    <n v="146"/>
    <n v="43"/>
    <n v="1070"/>
    <n v="4.5780141843971632E-2"/>
    <x v="0"/>
  </r>
  <r>
    <x v="0"/>
    <x v="2"/>
    <n v="382980"/>
    <n v="34508"/>
    <n v="27090"/>
    <n v="2260"/>
    <n v="164"/>
    <n v="178"/>
    <n v="464"/>
    <n v="862"/>
    <n v="0.11317829457364341"/>
    <x v="0"/>
  </r>
  <r>
    <x v="0"/>
    <x v="17"/>
    <n v="648084"/>
    <n v="140239"/>
    <n v="118833"/>
    <n v="7273"/>
    <n v="914"/>
    <n v="195"/>
    <n v="26"/>
    <n v="2090"/>
    <n v="7.075475667533429E-2"/>
    <x v="0"/>
  </r>
  <r>
    <x v="0"/>
    <x v="12"/>
    <n v="459250"/>
    <n v="73088"/>
    <n v="59826"/>
    <n v="1825"/>
    <n v="102"/>
    <n v="117"/>
    <n v="16"/>
    <n v="634"/>
    <n v="3.4433189583124392E-2"/>
    <x v="0"/>
  </r>
  <r>
    <x v="0"/>
    <x v="7"/>
    <n v="819634"/>
    <n v="182973"/>
    <n v="144056"/>
    <n v="9192"/>
    <n v="294"/>
    <n v="569"/>
    <n v="32"/>
    <n v="2013"/>
    <n v="7.0021380574221137E-2"/>
    <x v="0"/>
  </r>
  <r>
    <x v="0"/>
    <x v="17"/>
    <n v="301773"/>
    <n v="131411"/>
    <n v="100753"/>
    <n v="9938"/>
    <n v="1147"/>
    <n v="1172"/>
    <n v="18"/>
    <n v="3216"/>
    <n v="0.12183260051809872"/>
    <x v="0"/>
  </r>
  <r>
    <x v="0"/>
    <x v="9"/>
    <n v="374331"/>
    <n v="155853"/>
    <n v="123846"/>
    <n v="10659"/>
    <n v="1054"/>
    <n v="986"/>
    <n v="948"/>
    <n v="2655"/>
    <n v="0.11019330458795601"/>
    <x v="1"/>
  </r>
  <r>
    <x v="0"/>
    <x v="8"/>
    <n v="847436"/>
    <n v="293851"/>
    <n v="224461"/>
    <n v="21129"/>
    <n v="928"/>
    <n v="1120"/>
    <n v="4477"/>
    <n v="5778"/>
    <n v="0.12320180343133105"/>
    <x v="1"/>
  </r>
  <r>
    <x v="0"/>
    <x v="16"/>
    <n v="7477"/>
    <n v="3073"/>
    <n v="2397"/>
    <n v="135"/>
    <n v="6"/>
    <n v="13"/>
    <n v="25"/>
    <n v="59"/>
    <n v="7.4676679182311217E-2"/>
    <x v="0"/>
  </r>
  <r>
    <x v="0"/>
    <x v="9"/>
    <n v="415385"/>
    <n v="46975"/>
    <n v="41679"/>
    <n v="3180"/>
    <n v="221"/>
    <n v="124"/>
    <n v="514"/>
    <n v="1000"/>
    <n v="9.6907315434631353E-2"/>
    <x v="0"/>
  </r>
  <r>
    <x v="0"/>
    <x v="1"/>
    <n v="542875"/>
    <n v="49728"/>
    <n v="43057"/>
    <n v="1807"/>
    <n v="236"/>
    <n v="236"/>
    <n v="42"/>
    <n v="406"/>
    <n v="5.3905288338713796E-2"/>
    <x v="0"/>
  </r>
  <r>
    <x v="0"/>
    <x v="0"/>
    <n v="695842"/>
    <n v="448517"/>
    <n v="405741"/>
    <n v="9789"/>
    <n v="918"/>
    <n v="761"/>
    <n v="983"/>
    <n v="6815"/>
    <n v="3.06870639151577E-2"/>
    <x v="2"/>
  </r>
  <r>
    <x v="0"/>
    <x v="15"/>
    <n v="814293"/>
    <n v="155671"/>
    <n v="134399"/>
    <n v="11025"/>
    <n v="353"/>
    <n v="329"/>
    <n v="700"/>
    <n v="5098"/>
    <n v="9.2314674960379164E-2"/>
    <x v="1"/>
  </r>
  <r>
    <x v="0"/>
    <x v="17"/>
    <n v="485500"/>
    <n v="115121"/>
    <n v="99971"/>
    <n v="2524"/>
    <n v="325"/>
    <n v="252"/>
    <n v="1"/>
    <n v="1406"/>
    <n v="3.1028998409538766E-2"/>
    <x v="0"/>
  </r>
  <r>
    <x v="0"/>
    <x v="11"/>
    <n v="66529"/>
    <n v="31475"/>
    <n v="24885"/>
    <n v="2081"/>
    <n v="197"/>
    <n v="308"/>
    <n v="508"/>
    <n v="652"/>
    <n v="0.12433192686357243"/>
    <x v="0"/>
  </r>
  <r>
    <x v="0"/>
    <x v="15"/>
    <n v="436149"/>
    <n v="50046"/>
    <n v="44717"/>
    <n v="3738"/>
    <n v="463"/>
    <n v="282"/>
    <n v="557"/>
    <n v="1710"/>
    <n v="0.1127088132030324"/>
    <x v="2"/>
  </r>
  <r>
    <x v="0"/>
    <x v="17"/>
    <n v="317757"/>
    <n v="185846"/>
    <n v="141495"/>
    <n v="7296"/>
    <n v="277"/>
    <n v="219"/>
    <n v="21"/>
    <n v="4957"/>
    <n v="5.5217498851549522E-2"/>
    <x v="1"/>
  </r>
  <r>
    <x v="0"/>
    <x v="6"/>
    <n v="376211"/>
    <n v="106318"/>
    <n v="81450"/>
    <n v="7272"/>
    <n v="957"/>
    <n v="1042"/>
    <n v="1117"/>
    <n v="997"/>
    <n v="0.12753836709637814"/>
    <x v="1"/>
  </r>
  <r>
    <x v="0"/>
    <x v="12"/>
    <n v="221536"/>
    <n v="59768"/>
    <n v="44622"/>
    <n v="1876"/>
    <n v="264"/>
    <n v="219"/>
    <n v="48"/>
    <n v="1157"/>
    <n v="5.3942001703195734E-2"/>
    <x v="0"/>
  </r>
  <r>
    <x v="0"/>
    <x v="13"/>
    <n v="337614"/>
    <n v="78932"/>
    <n v="63995"/>
    <n v="5141"/>
    <n v="297"/>
    <n v="557"/>
    <n v="270"/>
    <n v="1383"/>
    <n v="9.7898273302601771E-2"/>
    <x v="0"/>
  </r>
  <r>
    <x v="0"/>
    <x v="9"/>
    <n v="19507"/>
    <n v="11954"/>
    <n v="10261"/>
    <n v="450"/>
    <n v="26"/>
    <n v="22"/>
    <n v="73"/>
    <n v="147"/>
    <n v="5.5647597700029236E-2"/>
    <x v="0"/>
  </r>
  <r>
    <x v="0"/>
    <x v="7"/>
    <n v="287840"/>
    <n v="150566"/>
    <n v="128133"/>
    <n v="8102"/>
    <n v="869"/>
    <n v="484"/>
    <n v="5"/>
    <n v="4274"/>
    <n v="7.3829536497233339E-2"/>
    <x v="0"/>
  </r>
  <r>
    <x v="0"/>
    <x v="9"/>
    <n v="73769"/>
    <n v="6285"/>
    <n v="5030"/>
    <n v="148"/>
    <n v="18"/>
    <n v="20"/>
    <n v="34"/>
    <n v="155"/>
    <n v="4.37375745526839E-2"/>
    <x v="0"/>
  </r>
  <r>
    <x v="0"/>
    <x v="15"/>
    <n v="579825"/>
    <n v="79501"/>
    <n v="58413"/>
    <n v="5207"/>
    <n v="607"/>
    <n v="393"/>
    <n v="1148"/>
    <n v="1419"/>
    <n v="0.12591375207573657"/>
    <x v="0"/>
  </r>
  <r>
    <x v="0"/>
    <x v="5"/>
    <n v="685051"/>
    <n v="295603"/>
    <n v="218314"/>
    <n v="7218"/>
    <n v="483"/>
    <n v="532"/>
    <n v="20"/>
    <n v="6634"/>
    <n v="3.7803347471989886E-2"/>
    <x v="0"/>
  </r>
  <r>
    <x v="0"/>
    <x v="4"/>
    <n v="699410"/>
    <n v="339072"/>
    <n v="286274"/>
    <n v="10109"/>
    <n v="1458"/>
    <n v="815"/>
    <n v="50"/>
    <n v="7828"/>
    <n v="4.3426926650691297E-2"/>
    <x v="1"/>
  </r>
  <r>
    <x v="0"/>
    <x v="11"/>
    <n v="231091"/>
    <n v="59128"/>
    <n v="43654"/>
    <n v="2759"/>
    <n v="440"/>
    <n v="409"/>
    <n v="252"/>
    <n v="1703"/>
    <n v="8.8422595867503548E-2"/>
    <x v="0"/>
  </r>
  <r>
    <x v="0"/>
    <x v="12"/>
    <n v="717811"/>
    <n v="399825"/>
    <n v="338579"/>
    <n v="13423"/>
    <n v="1184"/>
    <n v="1001"/>
    <n v="9"/>
    <n v="4083"/>
    <n v="4.6125128847329576E-2"/>
    <x v="0"/>
  </r>
  <r>
    <x v="0"/>
    <x v="10"/>
    <n v="511607"/>
    <n v="251825"/>
    <n v="203904"/>
    <n v="11951"/>
    <n v="1189"/>
    <n v="612"/>
    <n v="1591"/>
    <n v="7040"/>
    <n v="7.5246194287507853E-2"/>
    <x v="0"/>
  </r>
  <r>
    <x v="0"/>
    <x v="14"/>
    <n v="827245"/>
    <n v="300223"/>
    <n v="267844"/>
    <n v="23120"/>
    <n v="2648"/>
    <n v="620"/>
    <n v="3"/>
    <n v="8885"/>
    <n v="9.853123459924433E-2"/>
    <x v="1"/>
  </r>
  <r>
    <x v="0"/>
    <x v="17"/>
    <n v="546577"/>
    <n v="229945"/>
    <n v="192772"/>
    <n v="9921"/>
    <n v="310"/>
    <n v="298"/>
    <n v="49"/>
    <n v="2986"/>
    <n v="5.4873114352706823E-2"/>
    <x v="0"/>
  </r>
  <r>
    <x v="0"/>
    <x v="4"/>
    <n v="401726"/>
    <n v="93716"/>
    <n v="75768"/>
    <n v="2230"/>
    <n v="212"/>
    <n v="166"/>
    <n v="30"/>
    <n v="2669"/>
    <n v="3.4816809207053108E-2"/>
    <x v="0"/>
  </r>
  <r>
    <x v="0"/>
    <x v="12"/>
    <n v="114668"/>
    <n v="9615"/>
    <n v="7433"/>
    <n v="550"/>
    <n v="82"/>
    <n v="34"/>
    <n v="21"/>
    <n v="172"/>
    <n v="9.242566931252523E-2"/>
    <x v="1"/>
  </r>
  <r>
    <x v="0"/>
    <x v="8"/>
    <n v="117487"/>
    <n v="14394"/>
    <n v="10428"/>
    <n v="1133"/>
    <n v="103"/>
    <n v="133"/>
    <n v="202"/>
    <n v="146"/>
    <n v="0.15065209052550824"/>
    <x v="0"/>
  </r>
  <r>
    <x v="0"/>
    <x v="11"/>
    <n v="126027"/>
    <n v="49386"/>
    <n v="35987"/>
    <n v="2057"/>
    <n v="89"/>
    <n v="83"/>
    <n v="442"/>
    <n v="625"/>
    <n v="7.4221246561258239E-2"/>
    <x v="0"/>
  </r>
  <r>
    <x v="0"/>
    <x v="16"/>
    <n v="693158"/>
    <n v="222630"/>
    <n v="159463"/>
    <n v="17686"/>
    <n v="1801"/>
    <n v="1275"/>
    <n v="2676"/>
    <n v="7260"/>
    <n v="0.14698080432451416"/>
    <x v="1"/>
  </r>
  <r>
    <x v="0"/>
    <x v="4"/>
    <n v="307859"/>
    <n v="110506"/>
    <n v="83011"/>
    <n v="5502"/>
    <n v="371"/>
    <n v="433"/>
    <n v="31"/>
    <n v="716"/>
    <n v="7.6339280336340964E-2"/>
    <x v="0"/>
  </r>
  <r>
    <x v="0"/>
    <x v="9"/>
    <n v="469932"/>
    <n v="161631"/>
    <n v="134071"/>
    <n v="8086"/>
    <n v="660"/>
    <n v="187"/>
    <n v="573"/>
    <n v="2825"/>
    <n v="7.0902730642719153E-2"/>
    <x v="2"/>
  </r>
  <r>
    <x v="0"/>
    <x v="6"/>
    <n v="326412"/>
    <n v="73962"/>
    <n v="64532"/>
    <n v="3743"/>
    <n v="549"/>
    <n v="130"/>
    <n v="870"/>
    <n v="1063"/>
    <n v="8.2005826566664594E-2"/>
    <x v="1"/>
  </r>
  <r>
    <x v="0"/>
    <x v="15"/>
    <n v="349567"/>
    <n v="218942"/>
    <n v="191685"/>
    <n v="12651"/>
    <n v="733"/>
    <n v="1334"/>
    <n v="1633"/>
    <n v="5938"/>
    <n v="8.530140595247411E-2"/>
    <x v="2"/>
  </r>
  <r>
    <x v="0"/>
    <x v="2"/>
    <n v="791370"/>
    <n v="422373"/>
    <n v="305116"/>
    <n v="30545"/>
    <n v="1772"/>
    <n v="1905"/>
    <n v="4322"/>
    <n v="5436"/>
    <n v="0.12632572529791947"/>
    <x v="1"/>
  </r>
  <r>
    <x v="0"/>
    <x v="16"/>
    <n v="755209"/>
    <n v="238144"/>
    <n v="209663"/>
    <n v="13418"/>
    <n v="735"/>
    <n v="1944"/>
    <n v="2623"/>
    <n v="3123"/>
    <n v="8.9286140139175726E-2"/>
    <x v="0"/>
  </r>
  <r>
    <x v="0"/>
    <x v="6"/>
    <n v="265887"/>
    <n v="80725"/>
    <n v="60964"/>
    <n v="5604"/>
    <n v="797"/>
    <n v="522"/>
    <n v="1170"/>
    <n v="1828"/>
    <n v="0.1327504756905715"/>
    <x v="0"/>
  </r>
  <r>
    <x v="0"/>
    <x v="3"/>
    <n v="830634"/>
    <n v="265977"/>
    <n v="197124"/>
    <n v="8148"/>
    <n v="1262"/>
    <n v="910"/>
    <n v="1802"/>
    <n v="7088"/>
    <n v="6.1494287859418434E-2"/>
    <x v="0"/>
  </r>
  <r>
    <x v="0"/>
    <x v="2"/>
    <n v="235895"/>
    <n v="95432"/>
    <n v="70111"/>
    <n v="5451"/>
    <n v="769"/>
    <n v="798"/>
    <n v="974"/>
    <n v="1423"/>
    <n v="0.11399067193450386"/>
    <x v="0"/>
  </r>
  <r>
    <x v="0"/>
    <x v="16"/>
    <n v="557426"/>
    <n v="283854"/>
    <n v="201774"/>
    <n v="10446"/>
    <n v="336"/>
    <n v="1505"/>
    <n v="1776"/>
    <n v="7699"/>
    <n v="6.9696789477336027E-2"/>
    <x v="0"/>
  </r>
  <r>
    <x v="0"/>
    <x v="16"/>
    <n v="254768"/>
    <n v="33646"/>
    <n v="23659"/>
    <n v="781"/>
    <n v="81"/>
    <n v="47"/>
    <n v="172"/>
    <n v="932"/>
    <n v="4.5690857601758318E-2"/>
    <x v="1"/>
  </r>
  <r>
    <x v="0"/>
    <x v="17"/>
    <n v="85316"/>
    <n v="12273"/>
    <n v="9300"/>
    <n v="261"/>
    <n v="21"/>
    <n v="22"/>
    <n v="20"/>
    <n v="187"/>
    <n v="3.4838709677419352E-2"/>
    <x v="0"/>
  </r>
  <r>
    <x v="0"/>
    <x v="12"/>
    <n v="219806"/>
    <n v="103539"/>
    <n v="74348"/>
    <n v="3071"/>
    <n v="186"/>
    <n v="148"/>
    <n v="37"/>
    <n v="3109"/>
    <n v="4.6295798138483883E-2"/>
    <x v="0"/>
  </r>
  <r>
    <x v="0"/>
    <x v="5"/>
    <n v="434829"/>
    <n v="202620"/>
    <n v="161684"/>
    <n v="10151"/>
    <n v="1759"/>
    <n v="340"/>
    <n v="7"/>
    <n v="2763"/>
    <n v="7.5808366937977781E-2"/>
    <x v="1"/>
  </r>
  <r>
    <x v="0"/>
    <x v="4"/>
    <n v="667948"/>
    <n v="409198"/>
    <n v="371757"/>
    <n v="31209"/>
    <n v="3089"/>
    <n v="2949"/>
    <n v="9"/>
    <n v="10463"/>
    <n v="0.10021600131268543"/>
    <x v="0"/>
  </r>
  <r>
    <x v="0"/>
    <x v="5"/>
    <n v="145185"/>
    <n v="89245"/>
    <n v="64516"/>
    <n v="4338"/>
    <n v="261"/>
    <n v="473"/>
    <n v="49"/>
    <n v="598"/>
    <n v="7.9375658751317496E-2"/>
    <x v="0"/>
  </r>
  <r>
    <x v="0"/>
    <x v="12"/>
    <n v="274340"/>
    <n v="150555"/>
    <n v="117250"/>
    <n v="5544"/>
    <n v="749"/>
    <n v="465"/>
    <n v="30"/>
    <n v="1895"/>
    <n v="5.7893390191897653E-2"/>
    <x v="1"/>
  </r>
  <r>
    <x v="0"/>
    <x v="17"/>
    <n v="290764"/>
    <n v="120536"/>
    <n v="93433"/>
    <n v="6036"/>
    <n v="1022"/>
    <n v="755"/>
    <n v="5"/>
    <n v="2935"/>
    <n v="8.3674932839574889E-2"/>
    <x v="1"/>
  </r>
  <r>
    <x v="0"/>
    <x v="1"/>
    <n v="515380"/>
    <n v="270692"/>
    <n v="220614"/>
    <n v="17826"/>
    <n v="2917"/>
    <n v="1652"/>
    <n v="37"/>
    <n v="5854"/>
    <n v="0.10167985712602101"/>
    <x v="1"/>
  </r>
  <r>
    <x v="0"/>
    <x v="4"/>
    <n v="413280"/>
    <n v="45917"/>
    <n v="41785"/>
    <n v="2281"/>
    <n v="107"/>
    <n v="193"/>
    <n v="38"/>
    <n v="327"/>
    <n v="6.2677994495632411E-2"/>
    <x v="2"/>
  </r>
  <r>
    <x v="0"/>
    <x v="4"/>
    <n v="86573"/>
    <n v="50688"/>
    <n v="44581"/>
    <n v="3002"/>
    <n v="346"/>
    <n v="149"/>
    <n v="19"/>
    <n v="1279"/>
    <n v="7.8867679056100135E-2"/>
    <x v="1"/>
  </r>
  <r>
    <x v="0"/>
    <x v="16"/>
    <n v="143332"/>
    <n v="68824"/>
    <n v="60090"/>
    <n v="3301"/>
    <n v="574"/>
    <n v="82"/>
    <n v="633"/>
    <n v="2168"/>
    <n v="7.6385421867199196E-2"/>
    <x v="1"/>
  </r>
  <r>
    <x v="0"/>
    <x v="0"/>
    <n v="744872"/>
    <n v="2214748"/>
    <n v="1721355"/>
    <n v="57087"/>
    <n v="5253"/>
    <n v="6035"/>
    <n v="6900"/>
    <n v="72248"/>
    <n v="4.3730084729762309E-2"/>
    <x v="1"/>
  </r>
  <r>
    <x v="0"/>
    <x v="6"/>
    <n v="292441"/>
    <n v="81129"/>
    <n v="64587"/>
    <n v="5569"/>
    <n v="993"/>
    <n v="540"/>
    <n v="509"/>
    <n v="838"/>
    <n v="0.11784105160481212"/>
    <x v="2"/>
  </r>
  <r>
    <x v="0"/>
    <x v="2"/>
    <n v="530748"/>
    <n v="75785"/>
    <n v="65572"/>
    <n v="2499"/>
    <n v="267"/>
    <n v="167"/>
    <n v="476"/>
    <n v="2428"/>
    <n v="5.1988653693649731E-2"/>
    <x v="0"/>
  </r>
  <r>
    <x v="0"/>
    <x v="4"/>
    <n v="264600"/>
    <n v="21766"/>
    <n v="18831"/>
    <n v="756"/>
    <n v="56"/>
    <n v="42"/>
    <n v="24"/>
    <n v="705"/>
    <n v="4.6625245605650255E-2"/>
    <x v="2"/>
  </r>
  <r>
    <x v="0"/>
    <x v="16"/>
    <n v="472574"/>
    <n v="124261"/>
    <n v="95366"/>
    <n v="6233"/>
    <n v="779"/>
    <n v="206"/>
    <n v="716"/>
    <n v="2483"/>
    <n v="8.3195268754063287E-2"/>
    <x v="1"/>
  </r>
  <r>
    <x v="0"/>
    <x v="17"/>
    <n v="609635"/>
    <n v="201839"/>
    <n v="163963"/>
    <n v="8101"/>
    <n v="1376"/>
    <n v="997"/>
    <n v="36"/>
    <n v="4951"/>
    <n v="6.4099827400084172E-2"/>
    <x v="1"/>
  </r>
  <r>
    <x v="0"/>
    <x v="6"/>
    <n v="215447"/>
    <n v="18035"/>
    <n v="15436"/>
    <n v="759"/>
    <n v="57"/>
    <n v="61"/>
    <n v="170"/>
    <n v="91"/>
    <n v="6.7828452967089919E-2"/>
    <x v="1"/>
  </r>
  <r>
    <x v="0"/>
    <x v="4"/>
    <n v="38698"/>
    <n v="21981"/>
    <n v="19767"/>
    <n v="865"/>
    <n v="65"/>
    <n v="74"/>
    <n v="49"/>
    <n v="318"/>
    <n v="5.3270602519350431E-2"/>
    <x v="0"/>
  </r>
  <r>
    <x v="0"/>
    <x v="2"/>
    <n v="478227"/>
    <n v="130494"/>
    <n v="104462"/>
    <n v="3696"/>
    <n v="140"/>
    <n v="190"/>
    <n v="649"/>
    <n v="2504"/>
    <n v="4.4753115965614293E-2"/>
    <x v="0"/>
  </r>
  <r>
    <x v="0"/>
    <x v="3"/>
    <n v="641700"/>
    <n v="154484"/>
    <n v="111095"/>
    <n v="6924"/>
    <n v="634"/>
    <n v="496"/>
    <n v="406"/>
    <n v="1799"/>
    <n v="7.6151041901075661E-2"/>
    <x v="0"/>
  </r>
  <r>
    <x v="0"/>
    <x v="0"/>
    <n v="426535"/>
    <n v="169289"/>
    <n v="127807"/>
    <n v="8078"/>
    <n v="1216"/>
    <n v="308"/>
    <n v="423"/>
    <n v="5063"/>
    <n v="7.8438583176195356E-2"/>
    <x v="2"/>
  </r>
  <r>
    <x v="0"/>
    <x v="1"/>
    <n v="589280"/>
    <n v="118100"/>
    <n v="90031"/>
    <n v="9016"/>
    <n v="973"/>
    <n v="1062"/>
    <n v="26"/>
    <n v="3328"/>
    <n v="0.12303539891815042"/>
    <x v="0"/>
  </r>
  <r>
    <x v="0"/>
    <x v="12"/>
    <n v="385366"/>
    <n v="181418"/>
    <n v="148060"/>
    <n v="9353"/>
    <n v="1296"/>
    <n v="596"/>
    <n v="21"/>
    <n v="4127"/>
    <n v="7.6090774010536266E-2"/>
    <x v="0"/>
  </r>
  <r>
    <x v="0"/>
    <x v="8"/>
    <n v="112577"/>
    <n v="14437"/>
    <n v="11649"/>
    <n v="1033"/>
    <n v="60"/>
    <n v="89"/>
    <n v="80"/>
    <n v="475"/>
    <n v="0.1083354794402953"/>
    <x v="1"/>
  </r>
  <r>
    <x v="0"/>
    <x v="0"/>
    <n v="699070"/>
    <n v="111723"/>
    <n v="96838"/>
    <n v="6879"/>
    <n v="603"/>
    <n v="600"/>
    <n v="1455"/>
    <n v="744"/>
    <n v="9.8484066172370349E-2"/>
    <x v="0"/>
  </r>
  <r>
    <x v="0"/>
    <x v="15"/>
    <n v="658506"/>
    <n v="2843758"/>
    <n v="2263224"/>
    <n v="201009"/>
    <n v="30900"/>
    <n v="8057"/>
    <n v="34947"/>
    <n v="80868"/>
    <n v="0.12146963800313182"/>
    <x v="0"/>
  </r>
  <r>
    <x v="0"/>
    <x v="1"/>
    <n v="451314"/>
    <n v="169683"/>
    <n v="142078"/>
    <n v="11829"/>
    <n v="2037"/>
    <n v="1764"/>
    <n v="2"/>
    <n v="3652"/>
    <n v="0.11002407128478722"/>
    <x v="1"/>
  </r>
  <r>
    <x v="0"/>
    <x v="1"/>
    <n v="136063"/>
    <n v="46694"/>
    <n v="38831"/>
    <n v="2581"/>
    <n v="451"/>
    <n v="373"/>
    <n v="6"/>
    <n v="1213"/>
    <n v="8.7842187942623162E-2"/>
    <x v="2"/>
  </r>
  <r>
    <x v="0"/>
    <x v="5"/>
    <n v="32901"/>
    <n v="18773"/>
    <n v="14521"/>
    <n v="1227"/>
    <n v="47"/>
    <n v="38"/>
    <n v="44"/>
    <n v="398"/>
    <n v="9.3381998484952822E-2"/>
    <x v="2"/>
  </r>
  <r>
    <x v="0"/>
    <x v="6"/>
    <n v="471409"/>
    <n v="137456"/>
    <n v="124841"/>
    <n v="7104"/>
    <n v="437"/>
    <n v="457"/>
    <n v="1699"/>
    <n v="4445"/>
    <n v="7.767480234858741E-2"/>
    <x v="1"/>
  </r>
  <r>
    <x v="0"/>
    <x v="13"/>
    <n v="279802"/>
    <n v="117220"/>
    <n v="83438"/>
    <n v="9060"/>
    <n v="1053"/>
    <n v="1144"/>
    <n v="579"/>
    <n v="3670"/>
    <n v="0.14185383158752607"/>
    <x v="0"/>
  </r>
  <r>
    <x v="0"/>
    <x v="14"/>
    <n v="759168"/>
    <n v="167908"/>
    <n v="131564"/>
    <n v="13191"/>
    <n v="1434"/>
    <n v="1458"/>
    <n v="17"/>
    <n v="4926"/>
    <n v="0.12237390167523031"/>
    <x v="0"/>
  </r>
  <r>
    <x v="0"/>
    <x v="4"/>
    <n v="206497"/>
    <n v="64863"/>
    <n v="58014"/>
    <n v="1495"/>
    <n v="130"/>
    <n v="59"/>
    <n v="25"/>
    <n v="1958"/>
    <n v="2.9458406591512394E-2"/>
    <x v="1"/>
  </r>
  <r>
    <x v="0"/>
    <x v="8"/>
    <n v="210967"/>
    <n v="47074"/>
    <n v="34570"/>
    <n v="1152"/>
    <n v="206"/>
    <n v="113"/>
    <n v="77"/>
    <n v="1455"/>
    <n v="4.4778709864043968E-2"/>
    <x v="0"/>
  </r>
  <r>
    <x v="0"/>
    <x v="0"/>
    <n v="54546"/>
    <n v="21453"/>
    <n v="15741"/>
    <n v="893"/>
    <n v="84"/>
    <n v="52"/>
    <n v="162"/>
    <n v="493"/>
    <n v="7.5662283209453021E-2"/>
    <x v="0"/>
  </r>
  <r>
    <x v="0"/>
    <x v="14"/>
    <n v="639830"/>
    <n v="299030"/>
    <n v="265208"/>
    <n v="8043"/>
    <n v="1285"/>
    <n v="195"/>
    <n v="4"/>
    <n v="2230"/>
    <n v="3.592274742843353E-2"/>
    <x v="1"/>
  </r>
  <r>
    <x v="0"/>
    <x v="1"/>
    <n v="221205"/>
    <n v="69406"/>
    <n v="54598"/>
    <n v="3787"/>
    <n v="214"/>
    <n v="272"/>
    <n v="27"/>
    <n v="1429"/>
    <n v="7.8757463643356895E-2"/>
    <x v="0"/>
  </r>
  <r>
    <x v="0"/>
    <x v="5"/>
    <n v="315869"/>
    <n v="187810"/>
    <n v="132901"/>
    <n v="10193"/>
    <n v="1095"/>
    <n v="961"/>
    <n v="39"/>
    <n v="1769"/>
    <n v="9.2459800904432621E-2"/>
    <x v="2"/>
  </r>
  <r>
    <x v="0"/>
    <x v="6"/>
    <n v="276627"/>
    <n v="56108"/>
    <n v="41714"/>
    <n v="1159"/>
    <n v="86"/>
    <n v="140"/>
    <n v="207"/>
    <n v="1960"/>
    <n v="3.816464496332167E-2"/>
    <x v="0"/>
  </r>
  <r>
    <x v="0"/>
    <x v="0"/>
    <n v="292564"/>
    <n v="178966"/>
    <n v="149774"/>
    <n v="12620"/>
    <n v="1263"/>
    <n v="403"/>
    <n v="2524"/>
    <n v="4901"/>
    <n v="0.11223576855796066"/>
    <x v="1"/>
  </r>
  <r>
    <x v="0"/>
    <x v="8"/>
    <n v="829253"/>
    <n v="246878"/>
    <n v="191961"/>
    <n v="11771"/>
    <n v="832"/>
    <n v="548"/>
    <n v="751"/>
    <n v="7127"/>
    <n v="7.2420960507603105E-2"/>
    <x v="1"/>
  </r>
  <r>
    <x v="0"/>
    <x v="11"/>
    <n v="691065"/>
    <n v="244661"/>
    <n v="209579"/>
    <n v="18700"/>
    <n v="1281"/>
    <n v="2694"/>
    <n v="1757"/>
    <n v="5888"/>
    <n v="0.11657656540015937"/>
    <x v="0"/>
  </r>
  <r>
    <x v="0"/>
    <x v="16"/>
    <n v="190521"/>
    <n v="52186"/>
    <n v="46034"/>
    <n v="2265"/>
    <n v="79"/>
    <n v="198"/>
    <n v="450"/>
    <n v="1078"/>
    <n v="6.4995438154407614E-2"/>
    <x v="1"/>
  </r>
  <r>
    <x v="0"/>
    <x v="2"/>
    <n v="373507"/>
    <n v="50037"/>
    <n v="36045"/>
    <n v="2125"/>
    <n v="81"/>
    <n v="249"/>
    <n v="384"/>
    <n v="386"/>
    <n v="7.8762657788875021E-2"/>
    <x v="0"/>
  </r>
  <r>
    <x v="0"/>
    <x v="14"/>
    <n v="180770"/>
    <n v="35533"/>
    <n v="28406"/>
    <n v="1913"/>
    <n v="229"/>
    <n v="54"/>
    <n v="42"/>
    <n v="594"/>
    <n v="7.8786171935506577E-2"/>
    <x v="1"/>
  </r>
  <r>
    <x v="0"/>
    <x v="4"/>
    <n v="238547"/>
    <n v="55671"/>
    <n v="45256"/>
    <n v="4001"/>
    <n v="700"/>
    <n v="434"/>
    <n v="30"/>
    <n v="1800"/>
    <n v="0.11412851334629662"/>
    <x v="1"/>
  </r>
  <r>
    <x v="0"/>
    <x v="4"/>
    <n v="158198"/>
    <n v="48699"/>
    <n v="38032"/>
    <n v="1339"/>
    <n v="182"/>
    <n v="61"/>
    <n v="48"/>
    <n v="1168"/>
    <n v="4.2858645351283128E-2"/>
    <x v="0"/>
  </r>
  <r>
    <x v="0"/>
    <x v="6"/>
    <n v="467335"/>
    <n v="40079"/>
    <n v="34747"/>
    <n v="3204"/>
    <n v="317"/>
    <n v="386"/>
    <n v="325"/>
    <n v="1114"/>
    <n v="0.12179468731113477"/>
    <x v="1"/>
  </r>
  <r>
    <x v="0"/>
    <x v="12"/>
    <n v="509036"/>
    <n v="210622"/>
    <n v="166391"/>
    <n v="9341"/>
    <n v="1300"/>
    <n v="367"/>
    <n v="27"/>
    <n v="3331"/>
    <n v="6.6319692771844629E-2"/>
    <x v="1"/>
  </r>
  <r>
    <x v="0"/>
    <x v="13"/>
    <n v="750073"/>
    <n v="233324"/>
    <n v="192779"/>
    <n v="12433"/>
    <n v="1603"/>
    <n v="326"/>
    <n v="966"/>
    <n v="7363"/>
    <n v="7.9510735090440349E-2"/>
    <x v="0"/>
  </r>
  <r>
    <x v="0"/>
    <x v="6"/>
    <n v="236676"/>
    <n v="60361"/>
    <n v="54029"/>
    <n v="2553"/>
    <n v="300"/>
    <n v="204"/>
    <n v="187"/>
    <n v="399"/>
    <n v="6.0041829387921304E-2"/>
    <x v="1"/>
  </r>
  <r>
    <x v="0"/>
    <x v="0"/>
    <n v="330750"/>
    <n v="180320"/>
    <n v="134668"/>
    <n v="6072"/>
    <n v="329"/>
    <n v="341"/>
    <n v="1192"/>
    <n v="4180"/>
    <n v="5.8915258264769656E-2"/>
    <x v="1"/>
  </r>
  <r>
    <x v="0"/>
    <x v="4"/>
    <n v="499379"/>
    <n v="49607"/>
    <n v="39308"/>
    <n v="3404"/>
    <n v="575"/>
    <n v="214"/>
    <n v="42"/>
    <n v="1105"/>
    <n v="0.10773888267019437"/>
    <x v="1"/>
  </r>
  <r>
    <x v="0"/>
    <x v="3"/>
    <n v="92921"/>
    <n v="58030"/>
    <n v="53124"/>
    <n v="1690"/>
    <n v="247"/>
    <n v="243"/>
    <n v="411"/>
    <n v="945"/>
    <n v="4.8772682779911154E-2"/>
    <x v="0"/>
  </r>
  <r>
    <x v="0"/>
    <x v="0"/>
    <n v="404681"/>
    <n v="102985"/>
    <n v="90755"/>
    <n v="3902"/>
    <n v="287"/>
    <n v="447"/>
    <n v="660"/>
    <n v="1558"/>
    <n v="5.8354911575119829E-2"/>
    <x v="2"/>
  </r>
  <r>
    <x v="0"/>
    <x v="6"/>
    <n v="22553"/>
    <n v="11152"/>
    <n v="8324"/>
    <n v="237"/>
    <n v="25"/>
    <n v="8"/>
    <n v="45"/>
    <n v="320"/>
    <n v="3.7842383469485825E-2"/>
    <x v="0"/>
  </r>
  <r>
    <x v="0"/>
    <x v="11"/>
    <n v="36622"/>
    <n v="7843"/>
    <n v="6247"/>
    <n v="401"/>
    <n v="36"/>
    <n v="54"/>
    <n v="41"/>
    <n v="140"/>
    <n v="8.5160877221066106E-2"/>
    <x v="0"/>
  </r>
  <r>
    <x v="0"/>
    <x v="13"/>
    <n v="64644"/>
    <n v="128410"/>
    <n v="98878"/>
    <n v="8876"/>
    <n v="1306"/>
    <n v="846"/>
    <n v="1982"/>
    <n v="895"/>
    <n v="0.13157628592811343"/>
    <x v="1"/>
  </r>
  <r>
    <x v="0"/>
    <x v="5"/>
    <n v="811461"/>
    <n v="261273"/>
    <n v="184196"/>
    <n v="10639"/>
    <n v="1288"/>
    <n v="769"/>
    <n v="38"/>
    <n v="8068"/>
    <n v="6.9132880192838059E-2"/>
    <x v="2"/>
  </r>
  <r>
    <x v="0"/>
    <x v="5"/>
    <n v="658945"/>
    <n v="72935"/>
    <n v="66679"/>
    <n v="4572"/>
    <n v="614"/>
    <n v="132"/>
    <n v="30"/>
    <n v="550"/>
    <n v="8.0205162045021677E-2"/>
    <x v="1"/>
  </r>
  <r>
    <x v="0"/>
    <x v="0"/>
    <n v="125201"/>
    <n v="17701"/>
    <n v="15774"/>
    <n v="392"/>
    <n v="20"/>
    <n v="42"/>
    <n v="34"/>
    <n v="296"/>
    <n v="3.0936984911880308E-2"/>
    <x v="0"/>
  </r>
  <r>
    <x v="0"/>
    <x v="10"/>
    <n v="728014"/>
    <n v="249823"/>
    <n v="197740"/>
    <n v="7779"/>
    <n v="512"/>
    <n v="984"/>
    <n v="569"/>
    <n v="2122"/>
    <n v="4.978254273288156E-2"/>
    <x v="0"/>
  </r>
  <r>
    <x v="0"/>
    <x v="16"/>
    <n v="302110"/>
    <n v="1407844"/>
    <n v="1047521"/>
    <n v="93444"/>
    <n v="6076"/>
    <n v="9691"/>
    <n v="19516"/>
    <n v="7970"/>
    <n v="0.12288727385894889"/>
    <x v="0"/>
  </r>
  <r>
    <x v="0"/>
    <x v="13"/>
    <n v="402673"/>
    <n v="257184"/>
    <n v="224594"/>
    <n v="19486"/>
    <n v="2773"/>
    <n v="1770"/>
    <n v="1505"/>
    <n v="8575"/>
    <n v="0.11368959099530709"/>
    <x v="1"/>
  </r>
  <r>
    <x v="0"/>
    <x v="7"/>
    <n v="456542"/>
    <n v="253393"/>
    <n v="206524"/>
    <n v="5504"/>
    <n v="683"/>
    <n v="504"/>
    <n v="33"/>
    <n v="2605"/>
    <n v="3.255795936549747E-2"/>
    <x v="0"/>
  </r>
  <r>
    <x v="0"/>
    <x v="7"/>
    <n v="394547"/>
    <n v="102930"/>
    <n v="88731"/>
    <n v="2733"/>
    <n v="451"/>
    <n v="86"/>
    <n v="3"/>
    <n v="3327"/>
    <n v="3.6886770125435307E-2"/>
    <x v="0"/>
  </r>
  <r>
    <x v="0"/>
    <x v="0"/>
    <n v="483362"/>
    <n v="309583"/>
    <n v="232357"/>
    <n v="14441"/>
    <n v="1351"/>
    <n v="1699"/>
    <n v="2863"/>
    <n v="8712"/>
    <n v="8.759796347861265E-2"/>
    <x v="1"/>
  </r>
  <r>
    <x v="0"/>
    <x v="13"/>
    <n v="697817"/>
    <n v="300655"/>
    <n v="227518"/>
    <n v="17710"/>
    <n v="680"/>
    <n v="546"/>
    <n v="1892"/>
    <n v="4653"/>
    <n v="9.1544405277824176E-2"/>
    <x v="1"/>
  </r>
  <r>
    <x v="0"/>
    <x v="3"/>
    <n v="505332"/>
    <n v="70227"/>
    <n v="56440"/>
    <n v="2606"/>
    <n v="189"/>
    <n v="128"/>
    <n v="638"/>
    <n v="1570"/>
    <n v="6.3093550673281359E-2"/>
    <x v="1"/>
  </r>
  <r>
    <x v="0"/>
    <x v="5"/>
    <n v="819764"/>
    <n v="199252"/>
    <n v="153685"/>
    <n v="12776"/>
    <n v="1409"/>
    <n v="994"/>
    <n v="10"/>
    <n v="6320"/>
    <n v="9.8832026547808829E-2"/>
    <x v="2"/>
  </r>
  <r>
    <x v="0"/>
    <x v="13"/>
    <n v="332865"/>
    <n v="113640"/>
    <n v="96907"/>
    <n v="7120"/>
    <n v="1077"/>
    <n v="405"/>
    <n v="997"/>
    <n v="1463"/>
    <n v="9.9053731928550048E-2"/>
    <x v="1"/>
  </r>
  <r>
    <x v="0"/>
    <x v="17"/>
    <n v="209458"/>
    <n v="76577"/>
    <n v="53833"/>
    <n v="5685"/>
    <n v="519"/>
    <n v="548"/>
    <n v="21"/>
    <n v="681"/>
    <n v="0.12581502052644289"/>
    <x v="0"/>
  </r>
  <r>
    <x v="0"/>
    <x v="15"/>
    <n v="399821"/>
    <n v="167610"/>
    <n v="119568"/>
    <n v="12558"/>
    <n v="745"/>
    <n v="999"/>
    <n v="2337"/>
    <n v="1191"/>
    <n v="0.13915930683794994"/>
    <x v="1"/>
  </r>
  <r>
    <x v="0"/>
    <x v="8"/>
    <n v="688471"/>
    <n v="56184"/>
    <n v="47606"/>
    <n v="3425"/>
    <n v="553"/>
    <n v="353"/>
    <n v="306"/>
    <n v="1051"/>
    <n v="9.7403688610679329E-2"/>
    <x v="1"/>
  </r>
  <r>
    <x v="0"/>
    <x v="16"/>
    <n v="670960"/>
    <n v="249213"/>
    <n v="227167"/>
    <n v="17523"/>
    <n v="975"/>
    <n v="602"/>
    <n v="3988"/>
    <n v="6352"/>
    <n v="0.1016344803602636"/>
    <x v="0"/>
  </r>
  <r>
    <x v="0"/>
    <x v="17"/>
    <n v="24510"/>
    <n v="12447"/>
    <n v="10704"/>
    <n v="545"/>
    <n v="39"/>
    <n v="44"/>
    <n v="4"/>
    <n v="300"/>
    <n v="5.9043348281016442E-2"/>
    <x v="1"/>
  </r>
  <r>
    <x v="0"/>
    <x v="17"/>
    <n v="468226"/>
    <n v="66988"/>
    <n v="53410"/>
    <n v="3645"/>
    <n v="524"/>
    <n v="467"/>
    <n v="2"/>
    <n v="893"/>
    <n v="8.6837670848155774E-2"/>
    <x v="0"/>
  </r>
  <r>
    <x v="0"/>
    <x v="15"/>
    <n v="840568"/>
    <n v="399795"/>
    <n v="301938"/>
    <n v="21050"/>
    <n v="1872"/>
    <n v="2402"/>
    <n v="2081"/>
    <n v="7534"/>
    <n v="9.0763666713033805E-2"/>
    <x v="0"/>
  </r>
  <r>
    <x v="0"/>
    <x v="8"/>
    <n v="646012"/>
    <n v="141464"/>
    <n v="120267"/>
    <n v="5553"/>
    <n v="929"/>
    <n v="793"/>
    <n v="706"/>
    <n v="3000"/>
    <n v="6.6360680818512138E-2"/>
    <x v="0"/>
  </r>
  <r>
    <x v="0"/>
    <x v="6"/>
    <n v="263536"/>
    <n v="34512"/>
    <n v="31114"/>
    <n v="2048"/>
    <n v="125"/>
    <n v="289"/>
    <n v="109"/>
    <n v="206"/>
    <n v="8.2631612778813396E-2"/>
    <x v="0"/>
  </r>
  <r>
    <x v="0"/>
    <x v="5"/>
    <n v="680468"/>
    <n v="82410"/>
    <n v="60474"/>
    <n v="3918"/>
    <n v="312"/>
    <n v="122"/>
    <n v="3"/>
    <n v="852"/>
    <n v="7.2014419419916001E-2"/>
    <x v="0"/>
  </r>
  <r>
    <x v="0"/>
    <x v="9"/>
    <n v="681589"/>
    <n v="316808"/>
    <n v="249175"/>
    <n v="7689"/>
    <n v="915"/>
    <n v="309"/>
    <n v="1634"/>
    <n v="9718"/>
    <n v="4.2327681348449886E-2"/>
    <x v="0"/>
  </r>
  <r>
    <x v="0"/>
    <x v="15"/>
    <n v="446153"/>
    <n v="250615"/>
    <n v="191591"/>
    <n v="12164"/>
    <n v="827"/>
    <n v="1245"/>
    <n v="1918"/>
    <n v="2688"/>
    <n v="8.4315025236049709E-2"/>
    <x v="1"/>
  </r>
  <r>
    <x v="0"/>
    <x v="2"/>
    <n v="496274"/>
    <n v="158159"/>
    <n v="132509"/>
    <n v="10005"/>
    <n v="1152"/>
    <n v="212"/>
    <n v="631"/>
    <n v="4107"/>
    <n v="9.0559886498275594E-2"/>
    <x v="0"/>
  </r>
  <r>
    <x v="0"/>
    <x v="17"/>
    <n v="234012"/>
    <n v="52433"/>
    <n v="38795"/>
    <n v="3564"/>
    <n v="562"/>
    <n v="465"/>
    <n v="35"/>
    <n v="987"/>
    <n v="0.11924217038278129"/>
    <x v="0"/>
  </r>
  <r>
    <x v="0"/>
    <x v="15"/>
    <n v="595052"/>
    <n v="48876"/>
    <n v="40399"/>
    <n v="3473"/>
    <n v="496"/>
    <n v="333"/>
    <n v="524"/>
    <n v="1114"/>
    <n v="0.11945840243570385"/>
    <x v="0"/>
  </r>
  <r>
    <x v="0"/>
    <x v="15"/>
    <n v="179482"/>
    <n v="105175"/>
    <n v="74413"/>
    <n v="7778"/>
    <n v="958"/>
    <n v="880"/>
    <n v="896"/>
    <n v="1792"/>
    <n v="0.14126563906844233"/>
    <x v="0"/>
  </r>
  <r>
    <x v="0"/>
    <x v="17"/>
    <n v="695282"/>
    <n v="216868"/>
    <n v="195524"/>
    <n v="8077"/>
    <n v="440"/>
    <n v="363"/>
    <n v="49"/>
    <n v="2657"/>
    <n v="4.5667028088623392E-2"/>
    <x v="1"/>
  </r>
  <r>
    <x v="0"/>
    <x v="6"/>
    <n v="735084"/>
    <n v="197059"/>
    <n v="148925"/>
    <n v="13508"/>
    <n v="1946"/>
    <n v="1378"/>
    <n v="2270"/>
    <n v="2219"/>
    <n v="0.12826590565720999"/>
    <x v="0"/>
  </r>
  <r>
    <x v="0"/>
    <x v="12"/>
    <n v="849776"/>
    <n v="360009"/>
    <n v="291035"/>
    <n v="17848"/>
    <n v="2829"/>
    <n v="1979"/>
    <n v="12"/>
    <n v="2152"/>
    <n v="7.7887539299396985E-2"/>
    <x v="0"/>
  </r>
  <r>
    <x v="0"/>
    <x v="6"/>
    <n v="245507"/>
    <n v="71338"/>
    <n v="60429"/>
    <n v="3643"/>
    <n v="541"/>
    <n v="256"/>
    <n v="850"/>
    <n v="2243"/>
    <n v="8.7540750302007309E-2"/>
    <x v="0"/>
  </r>
  <r>
    <x v="0"/>
    <x v="3"/>
    <n v="446512"/>
    <n v="272219"/>
    <n v="223515"/>
    <n v="13775"/>
    <n v="1171"/>
    <n v="770"/>
    <n v="717"/>
    <n v="8423"/>
    <n v="7.3520792787956063E-2"/>
    <x v="2"/>
  </r>
  <r>
    <x v="0"/>
    <x v="7"/>
    <n v="139536"/>
    <n v="63815"/>
    <n v="54570"/>
    <n v="3559"/>
    <n v="471"/>
    <n v="128"/>
    <n v="4"/>
    <n v="1730"/>
    <n v="7.6269012277808315E-2"/>
    <x v="0"/>
  </r>
  <r>
    <x v="0"/>
    <x v="13"/>
    <n v="14472"/>
    <n v="5349"/>
    <n v="4209"/>
    <n v="200"/>
    <n v="33"/>
    <n v="5"/>
    <n v="32"/>
    <n v="185"/>
    <n v="6.4148253741981465E-2"/>
    <x v="1"/>
  </r>
  <r>
    <x v="0"/>
    <x v="1"/>
    <n v="723028"/>
    <n v="81720"/>
    <n v="72045"/>
    <n v="4789"/>
    <n v="215"/>
    <n v="465"/>
    <n v="28"/>
    <n v="2461"/>
    <n v="7.6299535012839204E-2"/>
    <x v="1"/>
  </r>
  <r>
    <x v="0"/>
    <x v="13"/>
    <n v="89121"/>
    <n v="36876"/>
    <n v="31020"/>
    <n v="1993"/>
    <n v="352"/>
    <n v="258"/>
    <n v="422"/>
    <n v="1141"/>
    <n v="9.7517730496453903E-2"/>
    <x v="0"/>
  </r>
  <r>
    <x v="0"/>
    <x v="6"/>
    <n v="427371"/>
    <n v="259005"/>
    <n v="208642"/>
    <n v="17175"/>
    <n v="1977"/>
    <n v="1329"/>
    <n v="3676"/>
    <n v="1781"/>
    <n v="0.11578205730389854"/>
    <x v="1"/>
  </r>
  <r>
    <x v="0"/>
    <x v="14"/>
    <n v="780190"/>
    <n v="412444"/>
    <n v="316109"/>
    <n v="8295"/>
    <n v="271"/>
    <n v="275"/>
    <n v="25"/>
    <n v="12045"/>
    <n v="2.8047287486278466E-2"/>
    <x v="2"/>
  </r>
  <r>
    <x v="0"/>
    <x v="11"/>
    <n v="708797"/>
    <n v="194143"/>
    <n v="159349"/>
    <n v="4923"/>
    <n v="264"/>
    <n v="215"/>
    <n v="501"/>
    <n v="6459"/>
    <n v="3.7044474706461918E-2"/>
    <x v="0"/>
  </r>
  <r>
    <x v="0"/>
    <x v="9"/>
    <n v="259893"/>
    <n v="26973"/>
    <n v="21932"/>
    <n v="1230"/>
    <n v="171"/>
    <n v="133"/>
    <n v="266"/>
    <n v="527"/>
    <n v="8.2071858471639614E-2"/>
    <x v="0"/>
  </r>
  <r>
    <x v="0"/>
    <x v="3"/>
    <n v="350983"/>
    <n v="99371"/>
    <n v="88119"/>
    <n v="7665"/>
    <n v="598"/>
    <n v="192"/>
    <n v="473"/>
    <n v="1412"/>
    <n v="0.10131753651312429"/>
    <x v="0"/>
  </r>
  <r>
    <x v="0"/>
    <x v="1"/>
    <n v="565812"/>
    <n v="355846"/>
    <n v="266499"/>
    <n v="16505"/>
    <n v="1539"/>
    <n v="1353"/>
    <n v="47"/>
    <n v="11410"/>
    <n v="7.2960874149621574E-2"/>
    <x v="0"/>
  </r>
  <r>
    <x v="0"/>
    <x v="7"/>
    <n v="206706"/>
    <n v="867713"/>
    <n v="740730"/>
    <n v="49382"/>
    <n v="6474"/>
    <n v="3297"/>
    <n v="41"/>
    <n v="4346"/>
    <n v="7.9913058739351714E-2"/>
    <x v="0"/>
  </r>
  <r>
    <x v="0"/>
    <x v="13"/>
    <n v="652850"/>
    <n v="258565"/>
    <n v="182180"/>
    <n v="9344"/>
    <n v="756"/>
    <n v="1198"/>
    <n v="1546"/>
    <n v="3987"/>
    <n v="7.0501701613788562E-2"/>
    <x v="2"/>
  </r>
  <r>
    <x v="0"/>
    <x v="12"/>
    <n v="221324"/>
    <n v="30640"/>
    <n v="24999"/>
    <n v="1414"/>
    <n v="172"/>
    <n v="162"/>
    <n v="32"/>
    <n v="552"/>
    <n v="7.1202848113924563E-2"/>
    <x v="1"/>
  </r>
  <r>
    <x v="0"/>
    <x v="15"/>
    <n v="680235"/>
    <n v="384374"/>
    <n v="277015"/>
    <n v="21910"/>
    <n v="3547"/>
    <n v="2829"/>
    <n v="2101"/>
    <n v="11254"/>
    <n v="0.10969442087973576"/>
    <x v="0"/>
  </r>
  <r>
    <x v="0"/>
    <x v="0"/>
    <n v="296958"/>
    <n v="40776"/>
    <n v="29975"/>
    <n v="822"/>
    <n v="53"/>
    <n v="86"/>
    <n v="68"/>
    <n v="1177"/>
    <n v="3.4328607172643869E-2"/>
    <x v="0"/>
  </r>
  <r>
    <x v="0"/>
    <x v="8"/>
    <n v="334068"/>
    <n v="112906"/>
    <n v="80207"/>
    <n v="6651"/>
    <n v="246"/>
    <n v="140"/>
    <n v="1371"/>
    <n v="3235"/>
    <n v="0.1048287555948982"/>
    <x v="0"/>
  </r>
  <r>
    <x v="0"/>
    <x v="5"/>
    <n v="151270"/>
    <n v="62998"/>
    <n v="52898"/>
    <n v="4745"/>
    <n v="617"/>
    <n v="692"/>
    <n v="0"/>
    <n v="771"/>
    <n v="0.11444667095164278"/>
    <x v="2"/>
  </r>
  <r>
    <x v="0"/>
    <x v="14"/>
    <n v="579528"/>
    <n v="245296"/>
    <n v="200728"/>
    <n v="13871"/>
    <n v="1381"/>
    <n v="1324"/>
    <n v="15"/>
    <n v="7175"/>
    <n v="8.2654138934279225E-2"/>
    <x v="0"/>
  </r>
  <r>
    <x v="0"/>
    <x v="14"/>
    <n v="135862"/>
    <n v="55742"/>
    <n v="42187"/>
    <n v="4406"/>
    <n v="597"/>
    <n v="350"/>
    <n v="23"/>
    <n v="1438"/>
    <n v="0.12743262142366132"/>
    <x v="0"/>
  </r>
  <r>
    <x v="0"/>
    <x v="14"/>
    <n v="304041"/>
    <n v="27109"/>
    <n v="23231"/>
    <n v="789"/>
    <n v="134"/>
    <n v="101"/>
    <n v="8"/>
    <n v="937"/>
    <n v="4.4423399767551976E-2"/>
    <x v="0"/>
  </r>
  <r>
    <x v="0"/>
    <x v="1"/>
    <n v="824325"/>
    <n v="326145"/>
    <n v="278548"/>
    <n v="12807"/>
    <n v="1435"/>
    <n v="933"/>
    <n v="4"/>
    <n v="9430"/>
    <n v="5.4493300975056363E-2"/>
    <x v="1"/>
  </r>
  <r>
    <x v="0"/>
    <x v="16"/>
    <n v="651563"/>
    <n v="276517"/>
    <n v="230287"/>
    <n v="5564"/>
    <n v="706"/>
    <n v="244"/>
    <n v="925"/>
    <n v="4216"/>
    <n v="3.2303169523247077E-2"/>
    <x v="0"/>
  </r>
  <r>
    <x v="0"/>
    <x v="17"/>
    <n v="319207"/>
    <n v="109962"/>
    <n v="81251"/>
    <n v="2985"/>
    <n v="396"/>
    <n v="288"/>
    <n v="25"/>
    <n v="1811"/>
    <n v="4.5464055827005204E-2"/>
    <x v="0"/>
  </r>
  <r>
    <x v="0"/>
    <x v="7"/>
    <n v="175035"/>
    <n v="20132"/>
    <n v="15035"/>
    <n v="1196"/>
    <n v="147"/>
    <n v="76"/>
    <n v="38"/>
    <n v="276"/>
    <n v="9.6907216494845363E-2"/>
    <x v="0"/>
  </r>
  <r>
    <x v="0"/>
    <x v="10"/>
    <n v="110513"/>
    <n v="67851"/>
    <n v="55682"/>
    <n v="1464"/>
    <n v="131"/>
    <n v="174"/>
    <n v="97"/>
    <n v="873"/>
    <n v="3.3511727308645524E-2"/>
    <x v="0"/>
  </r>
  <r>
    <x v="0"/>
    <x v="9"/>
    <n v="10582"/>
    <n v="1862"/>
    <n v="1598"/>
    <n v="50"/>
    <n v="8"/>
    <n v="5"/>
    <n v="3"/>
    <n v="17"/>
    <n v="4.130162703379224E-2"/>
    <x v="0"/>
  </r>
  <r>
    <x v="0"/>
    <x v="12"/>
    <n v="44993"/>
    <n v="16728"/>
    <n v="14683"/>
    <n v="1214"/>
    <n v="37"/>
    <n v="124"/>
    <n v="26"/>
    <n v="288"/>
    <n v="9.5416468024245721E-2"/>
    <x v="0"/>
  </r>
  <r>
    <x v="0"/>
    <x v="6"/>
    <n v="733567"/>
    <n v="447313"/>
    <n v="408551"/>
    <n v="21733"/>
    <n v="2314"/>
    <n v="1821"/>
    <n v="2367"/>
    <n v="7989"/>
    <n v="6.9110098861586436E-2"/>
    <x v="1"/>
  </r>
  <r>
    <x v="0"/>
    <x v="12"/>
    <n v="590283"/>
    <n v="131303"/>
    <n v="113204"/>
    <n v="5696"/>
    <n v="494"/>
    <n v="308"/>
    <n v="27"/>
    <n v="3119"/>
    <n v="5.763930603158899E-2"/>
    <x v="0"/>
  </r>
  <r>
    <x v="0"/>
    <x v="9"/>
    <n v="245375"/>
    <n v="57658"/>
    <n v="52000"/>
    <n v="2603"/>
    <n v="266"/>
    <n v="322"/>
    <n v="628"/>
    <n v="761"/>
    <n v="7.3442307692307696E-2"/>
    <x v="1"/>
  </r>
  <r>
    <x v="0"/>
    <x v="12"/>
    <n v="233893"/>
    <n v="23092"/>
    <n v="16710"/>
    <n v="946"/>
    <n v="138"/>
    <n v="22"/>
    <n v="25"/>
    <n v="653"/>
    <n v="6.7684021543985631E-2"/>
    <x v="0"/>
  </r>
  <r>
    <x v="0"/>
    <x v="0"/>
    <n v="281949"/>
    <n v="34028"/>
    <n v="25179"/>
    <n v="2509"/>
    <n v="169"/>
    <n v="174"/>
    <n v="131"/>
    <n v="1165"/>
    <n v="0.11847174232495333"/>
    <x v="1"/>
  </r>
  <r>
    <x v="0"/>
    <x v="7"/>
    <n v="110773"/>
    <n v="14026"/>
    <n v="11230"/>
    <n v="823"/>
    <n v="139"/>
    <n v="118"/>
    <n v="47"/>
    <n v="333"/>
    <n v="0.10035618878005342"/>
    <x v="2"/>
  </r>
  <r>
    <x v="0"/>
    <x v="12"/>
    <n v="426927"/>
    <n v="56570"/>
    <n v="41808"/>
    <n v="2433"/>
    <n v="423"/>
    <n v="165"/>
    <n v="21"/>
    <n v="1237"/>
    <n v="7.2761194029850748E-2"/>
    <x v="0"/>
  </r>
  <r>
    <x v="0"/>
    <x v="0"/>
    <n v="526703"/>
    <n v="227866"/>
    <n v="190844"/>
    <n v="5374"/>
    <n v="680"/>
    <n v="597"/>
    <n v="1119"/>
    <n v="1999"/>
    <n v="4.0713881494833473E-2"/>
    <x v="0"/>
  </r>
  <r>
    <x v="0"/>
    <x v="14"/>
    <n v="137477"/>
    <n v="21704"/>
    <n v="15343"/>
    <n v="850"/>
    <n v="136"/>
    <n v="81"/>
    <n v="11"/>
    <n v="541"/>
    <n v="7.0260053444567552E-2"/>
    <x v="0"/>
  </r>
  <r>
    <x v="0"/>
    <x v="17"/>
    <n v="559437"/>
    <n v="139038"/>
    <n v="113893"/>
    <n v="6568"/>
    <n v="961"/>
    <n v="563"/>
    <n v="46"/>
    <n v="1469"/>
    <n v="7.1453030475973067E-2"/>
    <x v="0"/>
  </r>
  <r>
    <x v="0"/>
    <x v="6"/>
    <n v="779390"/>
    <n v="190862"/>
    <n v="134750"/>
    <n v="8499"/>
    <n v="301"/>
    <n v="518"/>
    <n v="860"/>
    <n v="5183"/>
    <n v="7.5532467532467534E-2"/>
    <x v="0"/>
  </r>
  <r>
    <x v="0"/>
    <x v="3"/>
    <n v="342838"/>
    <n v="40114"/>
    <n v="31902"/>
    <n v="2089"/>
    <n v="116"/>
    <n v="69"/>
    <n v="438"/>
    <n v="785"/>
    <n v="8.5010344179048333E-2"/>
    <x v="0"/>
  </r>
  <r>
    <x v="0"/>
    <x v="0"/>
    <n v="83159"/>
    <n v="11110"/>
    <n v="9125"/>
    <n v="652"/>
    <n v="111"/>
    <n v="88"/>
    <n v="45"/>
    <n v="318"/>
    <n v="9.8191780821917804E-2"/>
    <x v="0"/>
  </r>
  <r>
    <x v="0"/>
    <x v="8"/>
    <n v="130774"/>
    <n v="57586"/>
    <n v="47211"/>
    <n v="3398"/>
    <n v="571"/>
    <n v="283"/>
    <n v="673"/>
    <n v="1883"/>
    <n v="0.10431890872889793"/>
    <x v="1"/>
  </r>
  <r>
    <x v="0"/>
    <x v="17"/>
    <n v="290754"/>
    <n v="108011"/>
    <n v="91323"/>
    <n v="6097"/>
    <n v="598"/>
    <n v="158"/>
    <n v="45"/>
    <n v="1564"/>
    <n v="7.5534093273326539E-2"/>
    <x v="0"/>
  </r>
  <r>
    <x v="0"/>
    <x v="12"/>
    <n v="442891"/>
    <n v="109281"/>
    <n v="81540"/>
    <n v="7754"/>
    <n v="748"/>
    <n v="860"/>
    <n v="24"/>
    <n v="1867"/>
    <n v="0.11510914888398333"/>
    <x v="1"/>
  </r>
  <r>
    <x v="0"/>
    <x v="6"/>
    <n v="410648"/>
    <n v="156119"/>
    <n v="120197"/>
    <n v="3518"/>
    <n v="213"/>
    <n v="414"/>
    <n v="441"/>
    <n v="4018"/>
    <n v="3.8154030466650585E-2"/>
    <x v="0"/>
  </r>
  <r>
    <x v="0"/>
    <x v="0"/>
    <n v="213883"/>
    <n v="128313"/>
    <n v="90298"/>
    <n v="8536"/>
    <n v="1327"/>
    <n v="1081"/>
    <n v="1907"/>
    <n v="3452"/>
    <n v="0.14231765930585394"/>
    <x v="0"/>
  </r>
  <r>
    <x v="0"/>
    <x v="7"/>
    <n v="718985"/>
    <n v="86735"/>
    <n v="67448"/>
    <n v="3426"/>
    <n v="181"/>
    <n v="465"/>
    <n v="19"/>
    <n v="1110"/>
    <n v="6.0654133554738462E-2"/>
    <x v="1"/>
  </r>
  <r>
    <x v="0"/>
    <x v="10"/>
    <n v="202683"/>
    <n v="92736"/>
    <n v="77855"/>
    <n v="6271"/>
    <n v="1075"/>
    <n v="845"/>
    <n v="1311"/>
    <n v="3095"/>
    <n v="0.1220473957998844"/>
    <x v="1"/>
  </r>
  <r>
    <x v="0"/>
    <x v="6"/>
    <n v="285876"/>
    <n v="1262433"/>
    <n v="1015139"/>
    <n v="82710"/>
    <n v="8763"/>
    <n v="6256"/>
    <n v="11087"/>
    <n v="20372"/>
    <n v="0.10719320211320814"/>
    <x v="2"/>
  </r>
  <r>
    <x v="0"/>
    <x v="7"/>
    <n v="57403"/>
    <n v="30688"/>
    <n v="25629"/>
    <n v="925"/>
    <n v="97"/>
    <n v="55"/>
    <n v="40"/>
    <n v="418"/>
    <n v="4.3583440633657183E-2"/>
    <x v="1"/>
  </r>
  <r>
    <x v="0"/>
    <x v="6"/>
    <n v="62875"/>
    <n v="20890"/>
    <n v="17235"/>
    <n v="1181"/>
    <n v="47"/>
    <n v="108"/>
    <n v="111"/>
    <n v="122"/>
    <n v="8.3957064113722071E-2"/>
    <x v="1"/>
  </r>
  <r>
    <x v="0"/>
    <x v="9"/>
    <n v="304159"/>
    <n v="1405846"/>
    <n v="1078460"/>
    <n v="67862"/>
    <n v="5414"/>
    <n v="7885"/>
    <n v="6268"/>
    <n v="30074"/>
    <n v="8.1068375275856308E-2"/>
    <x v="1"/>
  </r>
  <r>
    <x v="0"/>
    <x v="9"/>
    <n v="29273"/>
    <n v="9558"/>
    <n v="7146"/>
    <n v="678"/>
    <n v="34"/>
    <n v="75"/>
    <n v="128"/>
    <n v="108"/>
    <n v="0.12804366078925272"/>
    <x v="1"/>
  </r>
  <r>
    <x v="0"/>
    <x v="0"/>
    <n v="60689"/>
    <n v="25780"/>
    <n v="19747"/>
    <n v="1830"/>
    <n v="193"/>
    <n v="157"/>
    <n v="111"/>
    <n v="723"/>
    <n v="0.11601762293006533"/>
    <x v="0"/>
  </r>
  <r>
    <x v="0"/>
    <x v="17"/>
    <n v="845840"/>
    <n v="395983"/>
    <n v="310520"/>
    <n v="26189"/>
    <n v="3799"/>
    <n v="3037"/>
    <n v="2"/>
    <n v="4813"/>
    <n v="0.106360298853536"/>
    <x v="0"/>
  </r>
  <r>
    <x v="0"/>
    <x v="17"/>
    <n v="333025"/>
    <n v="201850"/>
    <n v="172017"/>
    <n v="9734"/>
    <n v="761"/>
    <n v="1178"/>
    <n v="38"/>
    <n v="1440"/>
    <n v="6.8080480417633135E-2"/>
    <x v="0"/>
  </r>
  <r>
    <x v="0"/>
    <x v="5"/>
    <n v="44773"/>
    <n v="22256"/>
    <n v="17018"/>
    <n v="1775"/>
    <n v="126"/>
    <n v="139"/>
    <n v="35"/>
    <n v="517"/>
    <n v="0.12192972147138324"/>
    <x v="1"/>
  </r>
  <r>
    <x v="0"/>
    <x v="14"/>
    <n v="313771"/>
    <n v="84033"/>
    <n v="70820"/>
    <n v="1961"/>
    <n v="112"/>
    <n v="125"/>
    <n v="14"/>
    <n v="498"/>
    <n v="3.1234114656876588E-2"/>
    <x v="2"/>
  </r>
  <r>
    <x v="0"/>
    <x v="0"/>
    <n v="140435"/>
    <n v="72267"/>
    <n v="60395"/>
    <n v="4071"/>
    <n v="496"/>
    <n v="397"/>
    <n v="391"/>
    <n v="417"/>
    <n v="8.8666280321218649E-2"/>
    <x v="0"/>
  </r>
  <r>
    <x v="0"/>
    <x v="10"/>
    <n v="12821"/>
    <n v="70972"/>
    <n v="54325"/>
    <n v="4197"/>
    <n v="540"/>
    <n v="338"/>
    <n v="544"/>
    <n v="2143"/>
    <n v="0.10343304187758859"/>
    <x v="1"/>
  </r>
  <r>
    <x v="0"/>
    <x v="13"/>
    <n v="649533"/>
    <n v="172249"/>
    <n v="154209"/>
    <n v="7863"/>
    <n v="1151"/>
    <n v="778"/>
    <n v="1689"/>
    <n v="4582"/>
    <n v="7.4450907534579697E-2"/>
    <x v="0"/>
  </r>
  <r>
    <x v="0"/>
    <x v="17"/>
    <n v="433180"/>
    <n v="66459"/>
    <n v="52617"/>
    <n v="1618"/>
    <n v="158"/>
    <n v="228"/>
    <n v="37"/>
    <n v="1146"/>
    <n v="3.8789744759298327E-2"/>
    <x v="0"/>
  </r>
  <r>
    <x v="0"/>
    <x v="1"/>
    <n v="540605"/>
    <n v="52938"/>
    <n v="47517"/>
    <n v="4110"/>
    <n v="163"/>
    <n v="167"/>
    <n v="9"/>
    <n v="1104"/>
    <n v="9.3629648336384874E-2"/>
    <x v="1"/>
  </r>
  <r>
    <x v="0"/>
    <x v="9"/>
    <n v="773093"/>
    <n v="242657"/>
    <n v="218505"/>
    <n v="14205"/>
    <n v="2079"/>
    <n v="1418"/>
    <n v="2900"/>
    <n v="4504"/>
    <n v="9.4286171941145511E-2"/>
    <x v="1"/>
  </r>
  <r>
    <x v="0"/>
    <x v="10"/>
    <n v="500969"/>
    <n v="87746"/>
    <n v="61636"/>
    <n v="4476"/>
    <n v="358"/>
    <n v="495"/>
    <n v="805"/>
    <n v="2643"/>
    <n v="9.9519761178532021E-2"/>
    <x v="0"/>
  </r>
  <r>
    <x v="0"/>
    <x v="11"/>
    <n v="442463"/>
    <n v="219546"/>
    <n v="167630"/>
    <n v="6771"/>
    <n v="1115"/>
    <n v="980"/>
    <n v="343"/>
    <n v="6138"/>
    <n v="5.4936467219471458E-2"/>
    <x v="0"/>
  </r>
  <r>
    <x v="0"/>
    <x v="5"/>
    <n v="794194"/>
    <n v="314078"/>
    <n v="282133"/>
    <n v="21020"/>
    <n v="1790"/>
    <n v="1231"/>
    <n v="44"/>
    <n v="2391"/>
    <n v="8.5367539422896294E-2"/>
    <x v="0"/>
  </r>
  <r>
    <x v="0"/>
    <x v="10"/>
    <n v="532228"/>
    <n v="201104"/>
    <n v="150164"/>
    <n v="4640"/>
    <n v="645"/>
    <n v="142"/>
    <n v="930"/>
    <n v="6092"/>
    <n v="4.2333715138115659E-2"/>
    <x v="2"/>
  </r>
  <r>
    <x v="0"/>
    <x v="7"/>
    <n v="820630"/>
    <n v="73136"/>
    <n v="51718"/>
    <n v="4889"/>
    <n v="496"/>
    <n v="147"/>
    <n v="43"/>
    <n v="1303"/>
    <n v="0.1077961251401833"/>
    <x v="0"/>
  </r>
  <r>
    <x v="0"/>
    <x v="5"/>
    <n v="772094"/>
    <n v="89589"/>
    <n v="82012"/>
    <n v="1809"/>
    <n v="146"/>
    <n v="153"/>
    <n v="21"/>
    <n v="2129"/>
    <n v="2.5959615666000097E-2"/>
    <x v="0"/>
  </r>
  <r>
    <x v="0"/>
    <x v="14"/>
    <n v="752668"/>
    <n v="209927"/>
    <n v="160236"/>
    <n v="15728"/>
    <n v="935"/>
    <n v="679"/>
    <n v="30"/>
    <n v="5196"/>
    <n v="0.10841508774557528"/>
    <x v="0"/>
  </r>
  <r>
    <x v="0"/>
    <x v="16"/>
    <n v="488704"/>
    <n v="303628"/>
    <n v="238077"/>
    <n v="6178"/>
    <n v="228"/>
    <n v="898"/>
    <n v="1460"/>
    <n v="2825"/>
    <n v="3.681161977007439E-2"/>
    <x v="0"/>
  </r>
  <r>
    <x v="0"/>
    <x v="13"/>
    <n v="173639"/>
    <n v="26981"/>
    <n v="22076"/>
    <n v="1101"/>
    <n v="156"/>
    <n v="99"/>
    <n v="197"/>
    <n v="234"/>
    <n v="7.0347889110346076E-2"/>
    <x v="1"/>
  </r>
  <r>
    <x v="0"/>
    <x v="15"/>
    <n v="218810"/>
    <n v="136913"/>
    <n v="106607"/>
    <n v="3072"/>
    <n v="465"/>
    <n v="423"/>
    <n v="648"/>
    <n v="2097"/>
    <n v="4.3224178524862343E-2"/>
    <x v="2"/>
  </r>
  <r>
    <x v="0"/>
    <x v="17"/>
    <n v="502520"/>
    <n v="155475"/>
    <n v="124410"/>
    <n v="5033"/>
    <n v="196"/>
    <n v="215"/>
    <n v="41"/>
    <n v="1464"/>
    <n v="4.4088095812233746E-2"/>
    <x v="0"/>
  </r>
  <r>
    <x v="0"/>
    <x v="2"/>
    <n v="433982"/>
    <n v="216967"/>
    <n v="180295"/>
    <n v="10371"/>
    <n v="1416"/>
    <n v="671"/>
    <n v="847"/>
    <n v="6620"/>
    <n v="7.3795723675088049E-2"/>
    <x v="0"/>
  </r>
  <r>
    <x v="0"/>
    <x v="6"/>
    <n v="8819"/>
    <n v="833"/>
    <n v="756"/>
    <n v="46"/>
    <n v="2"/>
    <n v="2"/>
    <n v="6"/>
    <n v="6"/>
    <n v="7.407407407407407E-2"/>
    <x v="2"/>
  </r>
  <r>
    <x v="0"/>
    <x v="14"/>
    <n v="350974"/>
    <n v="178467"/>
    <n v="145660"/>
    <n v="14076"/>
    <n v="2308"/>
    <n v="621"/>
    <n v="33"/>
    <n v="5357"/>
    <n v="0.11697102842235342"/>
    <x v="2"/>
  </r>
  <r>
    <x v="0"/>
    <x v="6"/>
    <n v="292588"/>
    <n v="152288"/>
    <n v="110543"/>
    <n v="4410"/>
    <n v="313"/>
    <n v="96"/>
    <n v="769"/>
    <n v="3109"/>
    <n v="5.0550464525116925E-2"/>
    <x v="0"/>
  </r>
  <r>
    <x v="0"/>
    <x v="12"/>
    <n v="579165"/>
    <n v="47369"/>
    <n v="41705"/>
    <n v="3449"/>
    <n v="246"/>
    <n v="292"/>
    <n v="16"/>
    <n v="1329"/>
    <n v="9.5983695000599445E-2"/>
    <x v="0"/>
  </r>
  <r>
    <x v="0"/>
    <x v="10"/>
    <n v="357807"/>
    <n v="36847"/>
    <n v="30329"/>
    <n v="971"/>
    <n v="160"/>
    <n v="42"/>
    <n v="104"/>
    <n v="200"/>
    <n v="4.2104916086913517E-2"/>
    <x v="1"/>
  </r>
  <r>
    <x v="0"/>
    <x v="1"/>
    <n v="789154"/>
    <n v="399388"/>
    <n v="351852"/>
    <n v="26246"/>
    <n v="2971"/>
    <n v="680"/>
    <n v="47"/>
    <n v="3254"/>
    <n v="8.5103964166751936E-2"/>
    <x v="1"/>
  </r>
  <r>
    <x v="0"/>
    <x v="10"/>
    <n v="263676"/>
    <n v="1188942"/>
    <n v="912488"/>
    <n v="47845"/>
    <n v="5646"/>
    <n v="2745"/>
    <n v="10759"/>
    <n v="23874"/>
    <n v="7.3420143607367983E-2"/>
    <x v="0"/>
  </r>
  <r>
    <x v="0"/>
    <x v="16"/>
    <n v="587955"/>
    <n v="74877"/>
    <n v="61222"/>
    <n v="2230"/>
    <n v="173"/>
    <n v="74"/>
    <n v="414"/>
    <n v="2229"/>
    <n v="4.7221587011205123E-2"/>
    <x v="1"/>
  </r>
  <r>
    <x v="0"/>
    <x v="6"/>
    <n v="150074"/>
    <n v="459215"/>
    <n v="371649"/>
    <n v="28163"/>
    <n v="4667"/>
    <n v="2275"/>
    <n v="5856"/>
    <n v="7235"/>
    <n v="0.11021420749147717"/>
    <x v="2"/>
  </r>
  <r>
    <x v="0"/>
    <x v="9"/>
    <n v="611479"/>
    <n v="270637"/>
    <n v="234522"/>
    <n v="16144"/>
    <n v="1581"/>
    <n v="934"/>
    <n v="2794"/>
    <n v="4983"/>
    <n v="9.147542661242869E-2"/>
    <x v="0"/>
  </r>
  <r>
    <x v="0"/>
    <x v="13"/>
    <n v="213831"/>
    <n v="107564"/>
    <n v="91226"/>
    <n v="8250"/>
    <n v="961"/>
    <n v="658"/>
    <n v="1594"/>
    <n v="682"/>
    <n v="0.12565496678578475"/>
    <x v="0"/>
  </r>
  <r>
    <x v="0"/>
    <x v="6"/>
    <n v="738833"/>
    <n v="322406"/>
    <n v="252835"/>
    <n v="13829"/>
    <n v="1545"/>
    <n v="1467"/>
    <n v="2004"/>
    <n v="3432"/>
    <n v="7.4534775644194834E-2"/>
    <x v="0"/>
  </r>
  <r>
    <x v="0"/>
    <x v="1"/>
    <n v="644424"/>
    <n v="2463446"/>
    <n v="2140699"/>
    <n v="133242"/>
    <n v="5795"/>
    <n v="7031"/>
    <n v="25"/>
    <n v="71315"/>
    <n v="6.8245465616604675E-2"/>
    <x v="0"/>
  </r>
  <r>
    <x v="0"/>
    <x v="17"/>
    <n v="460919"/>
    <n v="50102"/>
    <n v="43194"/>
    <n v="3298"/>
    <n v="560"/>
    <n v="395"/>
    <n v="12"/>
    <n v="841"/>
    <n v="9.8740565819326762E-2"/>
    <x v="2"/>
  </r>
  <r>
    <x v="0"/>
    <x v="12"/>
    <n v="569247"/>
    <n v="367858"/>
    <n v="280608"/>
    <n v="20746"/>
    <n v="2289"/>
    <n v="1530"/>
    <n v="30"/>
    <n v="7975"/>
    <n v="8.7648962253392637E-2"/>
    <x v="1"/>
  </r>
  <r>
    <x v="0"/>
    <x v="6"/>
    <n v="220881"/>
    <n v="113356"/>
    <n v="91999"/>
    <n v="3665"/>
    <n v="368"/>
    <n v="383"/>
    <n v="446"/>
    <n v="2307"/>
    <n v="5.2848400526092673E-2"/>
    <x v="1"/>
  </r>
  <r>
    <x v="0"/>
    <x v="12"/>
    <n v="96274"/>
    <n v="43755"/>
    <n v="35485"/>
    <n v="2846"/>
    <n v="407"/>
    <n v="228"/>
    <n v="47"/>
    <n v="234"/>
    <n v="9.9422291108919258E-2"/>
    <x v="1"/>
  </r>
  <r>
    <x v="0"/>
    <x v="8"/>
    <n v="297120"/>
    <n v="67287"/>
    <n v="48752"/>
    <n v="2050"/>
    <n v="243"/>
    <n v="81"/>
    <n v="285"/>
    <n v="1967"/>
    <n v="5.45413521496554E-2"/>
    <x v="0"/>
  </r>
  <r>
    <x v="0"/>
    <x v="9"/>
    <n v="671696"/>
    <n v="2603986"/>
    <n v="2253585"/>
    <n v="184714"/>
    <n v="8702"/>
    <n v="5661"/>
    <n v="18314"/>
    <n v="90051"/>
    <n v="9.6464522083702195E-2"/>
    <x v="0"/>
  </r>
  <r>
    <x v="0"/>
    <x v="2"/>
    <n v="120511"/>
    <n v="26300"/>
    <n v="21412"/>
    <n v="1520"/>
    <n v="92"/>
    <n v="175"/>
    <n v="239"/>
    <n v="552"/>
    <n v="9.4619839342424808E-2"/>
    <x v="2"/>
  </r>
  <r>
    <x v="0"/>
    <x v="14"/>
    <n v="585309"/>
    <n v="115821"/>
    <n v="96602"/>
    <n v="4994"/>
    <n v="741"/>
    <n v="722"/>
    <n v="13"/>
    <n v="3409"/>
    <n v="6.6975839009544319E-2"/>
    <x v="0"/>
  </r>
  <r>
    <x v="0"/>
    <x v="7"/>
    <n v="692991"/>
    <n v="296595"/>
    <n v="268310"/>
    <n v="20322"/>
    <n v="1155"/>
    <n v="917"/>
    <n v="1"/>
    <n v="4202"/>
    <n v="8.3466885319220308E-2"/>
    <x v="0"/>
  </r>
  <r>
    <x v="0"/>
    <x v="7"/>
    <n v="266632"/>
    <n v="24932"/>
    <n v="17764"/>
    <n v="1387"/>
    <n v="227"/>
    <n v="66"/>
    <n v="38"/>
    <n v="601"/>
    <n v="9.6712452150416572E-2"/>
    <x v="1"/>
  </r>
  <r>
    <x v="0"/>
    <x v="12"/>
    <n v="258733"/>
    <n v="126912"/>
    <n v="106868"/>
    <n v="3850"/>
    <n v="474"/>
    <n v="225"/>
    <n v="48"/>
    <n v="4266"/>
    <n v="4.3015682898529028E-2"/>
    <x v="0"/>
  </r>
  <r>
    <x v="0"/>
    <x v="6"/>
    <n v="196472"/>
    <n v="71489"/>
    <n v="62542"/>
    <n v="2116"/>
    <n v="177"/>
    <n v="84"/>
    <n v="282"/>
    <n v="2257"/>
    <n v="4.2515429631287772E-2"/>
    <x v="0"/>
  </r>
  <r>
    <x v="0"/>
    <x v="0"/>
    <n v="396429"/>
    <n v="185172"/>
    <n v="162655"/>
    <n v="10270"/>
    <n v="1303"/>
    <n v="1340"/>
    <n v="908"/>
    <n v="2010"/>
    <n v="8.4971258184500936E-2"/>
    <x v="1"/>
  </r>
  <r>
    <x v="0"/>
    <x v="15"/>
    <n v="475795"/>
    <n v="293127"/>
    <n v="217203"/>
    <n v="8148"/>
    <n v="349"/>
    <n v="212"/>
    <n v="1272"/>
    <n v="9960"/>
    <n v="4.5952403972320824E-2"/>
    <x v="0"/>
  </r>
  <r>
    <x v="0"/>
    <x v="15"/>
    <n v="12271"/>
    <n v="1922"/>
    <n v="1587"/>
    <n v="50"/>
    <n v="3"/>
    <n v="1"/>
    <n v="2"/>
    <n v="20"/>
    <n v="3.5286704473850031E-2"/>
    <x v="0"/>
  </r>
  <r>
    <x v="0"/>
    <x v="0"/>
    <n v="565125"/>
    <n v="314089"/>
    <n v="231151"/>
    <n v="21641"/>
    <n v="2627"/>
    <n v="1221"/>
    <n v="2773"/>
    <n v="3277"/>
    <n v="0.12226639729008311"/>
    <x v="1"/>
  </r>
  <r>
    <x v="0"/>
    <x v="11"/>
    <n v="730968"/>
    <n v="252617"/>
    <n v="186793"/>
    <n v="10353"/>
    <n v="561"/>
    <n v="423"/>
    <n v="1373"/>
    <n v="2827"/>
    <n v="6.8043235024867102E-2"/>
    <x v="0"/>
  </r>
  <r>
    <x v="0"/>
    <x v="13"/>
    <n v="450054"/>
    <n v="125792"/>
    <n v="101048"/>
    <n v="3207"/>
    <n v="119"/>
    <n v="471"/>
    <n v="189"/>
    <n v="1336"/>
    <n v="3.9446599635816641E-2"/>
    <x v="1"/>
  </r>
  <r>
    <x v="0"/>
    <x v="15"/>
    <n v="673522"/>
    <n v="366644"/>
    <n v="313058"/>
    <n v="11514"/>
    <n v="1247"/>
    <n v="1140"/>
    <n v="578"/>
    <n v="5832"/>
    <n v="4.6250215614997862E-2"/>
    <x v="0"/>
  </r>
  <r>
    <x v="0"/>
    <x v="4"/>
    <n v="728428"/>
    <n v="377665"/>
    <n v="327765"/>
    <n v="19542"/>
    <n v="2425"/>
    <n v="611"/>
    <n v="10"/>
    <n v="12180"/>
    <n v="6.8915228898753678E-2"/>
    <x v="0"/>
  </r>
  <r>
    <x v="0"/>
    <x v="0"/>
    <n v="493265"/>
    <n v="1358431"/>
    <n v="1143873"/>
    <n v="30970"/>
    <n v="4474"/>
    <n v="3438"/>
    <n v="6598"/>
    <n v="39951"/>
    <n v="3.9759658633432206E-2"/>
    <x v="2"/>
  </r>
  <r>
    <x v="0"/>
    <x v="1"/>
    <n v="627736"/>
    <n v="229083"/>
    <n v="191967"/>
    <n v="15338"/>
    <n v="1260"/>
    <n v="315"/>
    <n v="15"/>
    <n v="2464"/>
    <n v="8.8181822917480612E-2"/>
    <x v="2"/>
  </r>
  <r>
    <x v="0"/>
    <x v="12"/>
    <n v="810250"/>
    <n v="160933"/>
    <n v="119511"/>
    <n v="10910"/>
    <n v="1448"/>
    <n v="1591"/>
    <n v="30"/>
    <n v="3206"/>
    <n v="0.11696831254026827"/>
    <x v="0"/>
  </r>
  <r>
    <x v="0"/>
    <x v="9"/>
    <n v="682087"/>
    <n v="317662"/>
    <n v="259335"/>
    <n v="21536"/>
    <n v="3473"/>
    <n v="2727"/>
    <n v="2035"/>
    <n v="5826"/>
    <n v="0.11479746274124203"/>
    <x v="0"/>
  </r>
  <r>
    <x v="0"/>
    <x v="11"/>
    <n v="716233"/>
    <n v="69541"/>
    <n v="59177"/>
    <n v="1899"/>
    <n v="324"/>
    <n v="240"/>
    <n v="444"/>
    <n v="644"/>
    <n v="4.9123814995690893E-2"/>
    <x v="0"/>
  </r>
  <r>
    <x v="0"/>
    <x v="5"/>
    <n v="189210"/>
    <n v="29847"/>
    <n v="22167"/>
    <n v="1239"/>
    <n v="87"/>
    <n v="78"/>
    <n v="2"/>
    <n v="769"/>
    <n v="6.3427617629810085E-2"/>
    <x v="0"/>
  </r>
  <r>
    <x v="0"/>
    <x v="7"/>
    <n v="233033"/>
    <n v="98822"/>
    <n v="86449"/>
    <n v="7625"/>
    <n v="1264"/>
    <n v="725"/>
    <n v="35"/>
    <n v="3028"/>
    <n v="0.11161494060081667"/>
    <x v="0"/>
  </r>
  <r>
    <x v="0"/>
    <x v="6"/>
    <n v="254083"/>
    <n v="102055"/>
    <n v="80262"/>
    <n v="7743"/>
    <n v="922"/>
    <n v="660"/>
    <n v="1877"/>
    <n v="704"/>
    <n v="0.13956791507811916"/>
    <x v="0"/>
  </r>
  <r>
    <x v="0"/>
    <x v="8"/>
    <n v="238135"/>
    <n v="65715"/>
    <n v="55357"/>
    <n v="2800"/>
    <n v="274"/>
    <n v="103"/>
    <n v="234"/>
    <n v="594"/>
    <n v="6.1618223530899435E-2"/>
    <x v="2"/>
  </r>
  <r>
    <x v="0"/>
    <x v="10"/>
    <n v="162902"/>
    <n v="60586"/>
    <n v="47235"/>
    <n v="1431"/>
    <n v="167"/>
    <n v="173"/>
    <n v="295"/>
    <n v="849"/>
    <n v="4.3738753043294165E-2"/>
    <x v="0"/>
  </r>
  <r>
    <x v="0"/>
    <x v="14"/>
    <n v="597555"/>
    <n v="343666"/>
    <n v="272305"/>
    <n v="7161"/>
    <n v="274"/>
    <n v="521"/>
    <n v="23"/>
    <n v="11707"/>
    <n v="2.930170213547309E-2"/>
    <x v="0"/>
  </r>
  <r>
    <x v="0"/>
    <x v="4"/>
    <n v="292023"/>
    <n v="170184"/>
    <n v="143740"/>
    <n v="13568"/>
    <n v="688"/>
    <n v="1545"/>
    <n v="30"/>
    <n v="1680"/>
    <n v="0.110136357311813"/>
    <x v="0"/>
  </r>
  <r>
    <x v="0"/>
    <x v="17"/>
    <n v="161324"/>
    <n v="23632"/>
    <n v="18583"/>
    <n v="784"/>
    <n v="39"/>
    <n v="110"/>
    <n v="18"/>
    <n v="753"/>
    <n v="5.1175805844051014E-2"/>
    <x v="0"/>
  </r>
  <r>
    <x v="0"/>
    <x v="13"/>
    <n v="50322"/>
    <n v="24067"/>
    <n v="18351"/>
    <n v="585"/>
    <n v="43"/>
    <n v="58"/>
    <n v="40"/>
    <n v="280"/>
    <n v="3.9561876736962563E-2"/>
    <x v="1"/>
  </r>
  <r>
    <x v="0"/>
    <x v="8"/>
    <n v="789976"/>
    <n v="84876"/>
    <n v="64788"/>
    <n v="5147"/>
    <n v="321"/>
    <n v="306"/>
    <n v="999"/>
    <n v="941"/>
    <n v="0.10454096437611904"/>
    <x v="2"/>
  </r>
  <r>
    <x v="0"/>
    <x v="12"/>
    <n v="841572"/>
    <n v="509191"/>
    <n v="458122"/>
    <n v="39789"/>
    <n v="2971"/>
    <n v="5528"/>
    <n v="34"/>
    <n v="3270"/>
    <n v="0.1054784533377572"/>
    <x v="0"/>
  </r>
  <r>
    <x v="0"/>
    <x v="13"/>
    <n v="558182"/>
    <n v="318925"/>
    <n v="253798"/>
    <n v="20640"/>
    <n v="2005"/>
    <n v="1991"/>
    <n v="1936"/>
    <n v="8461"/>
    <n v="0.10469743654402321"/>
    <x v="0"/>
  </r>
  <r>
    <x v="0"/>
    <x v="11"/>
    <n v="45650"/>
    <n v="18601"/>
    <n v="14086"/>
    <n v="577"/>
    <n v="65"/>
    <n v="14"/>
    <n v="65"/>
    <n v="284"/>
    <n v="5.118557432912111E-2"/>
    <x v="0"/>
  </r>
  <r>
    <x v="0"/>
    <x v="6"/>
    <n v="814814"/>
    <n v="348855"/>
    <n v="296740"/>
    <n v="8415"/>
    <n v="1378"/>
    <n v="401"/>
    <n v="1904"/>
    <n v="10019"/>
    <n v="4.0769697378176178E-2"/>
    <x v="0"/>
  </r>
  <r>
    <x v="0"/>
    <x v="10"/>
    <n v="587636"/>
    <n v="347699"/>
    <n v="252439"/>
    <n v="17992"/>
    <n v="2380"/>
    <n v="1858"/>
    <n v="3712"/>
    <n v="2496"/>
    <n v="0.10276542055704546"/>
    <x v="0"/>
  </r>
  <r>
    <x v="0"/>
    <x v="12"/>
    <n v="207722"/>
    <n v="814863"/>
    <n v="691781"/>
    <n v="63117"/>
    <n v="11132"/>
    <n v="4498"/>
    <n v="31"/>
    <n v="11842"/>
    <n v="0.11387707959599931"/>
    <x v="1"/>
  </r>
  <r>
    <x v="0"/>
    <x v="12"/>
    <n v="326856"/>
    <n v="209185"/>
    <n v="184721"/>
    <n v="14100"/>
    <n v="496"/>
    <n v="645"/>
    <n v="49"/>
    <n v="7287"/>
    <n v="8.2773480004980485E-2"/>
    <x v="0"/>
  </r>
  <r>
    <x v="0"/>
    <x v="1"/>
    <n v="153116"/>
    <n v="53671"/>
    <n v="49219"/>
    <n v="1286"/>
    <n v="223"/>
    <n v="152"/>
    <n v="5"/>
    <n v="279"/>
    <n v="3.384871695889799E-2"/>
    <x v="1"/>
  </r>
  <r>
    <x v="0"/>
    <x v="14"/>
    <n v="197541"/>
    <n v="48396"/>
    <n v="34326"/>
    <n v="3367"/>
    <n v="522"/>
    <n v="200"/>
    <n v="35"/>
    <n v="1316"/>
    <n v="0.120142166287945"/>
    <x v="0"/>
  </r>
  <r>
    <x v="0"/>
    <x v="9"/>
    <n v="183277"/>
    <n v="68430"/>
    <n v="58615"/>
    <n v="3655"/>
    <n v="225"/>
    <n v="142"/>
    <n v="215"/>
    <n v="582"/>
    <n v="7.2285251215559163E-2"/>
    <x v="0"/>
  </r>
  <r>
    <x v="0"/>
    <x v="7"/>
    <n v="141122"/>
    <n v="78186"/>
    <n v="58624"/>
    <n v="3672"/>
    <n v="397"/>
    <n v="187"/>
    <n v="50"/>
    <n v="633"/>
    <n v="7.3451146288209604E-2"/>
    <x v="2"/>
  </r>
  <r>
    <x v="0"/>
    <x v="6"/>
    <n v="243167"/>
    <n v="21091"/>
    <n v="18419"/>
    <n v="1358"/>
    <n v="145"/>
    <n v="153"/>
    <n v="175"/>
    <n v="405"/>
    <n v="9.9408219773060427E-2"/>
    <x v="0"/>
  </r>
  <r>
    <x v="0"/>
    <x v="7"/>
    <n v="678899"/>
    <n v="341546"/>
    <n v="251835"/>
    <n v="10757"/>
    <n v="1666"/>
    <n v="968"/>
    <n v="43"/>
    <n v="3446"/>
    <n v="5.3344451724343322E-2"/>
    <x v="0"/>
  </r>
  <r>
    <x v="0"/>
    <x v="5"/>
    <n v="365012"/>
    <n v="180977"/>
    <n v="147876"/>
    <n v="8627"/>
    <n v="712"/>
    <n v="1091"/>
    <n v="10"/>
    <n v="2905"/>
    <n v="7.0599691633530789E-2"/>
    <x v="0"/>
  </r>
  <r>
    <x v="0"/>
    <x v="12"/>
    <n v="558615"/>
    <n v="124361"/>
    <n v="95077"/>
    <n v="5295"/>
    <n v="456"/>
    <n v="701"/>
    <n v="50"/>
    <n v="3990"/>
    <n v="6.8386676062559826E-2"/>
    <x v="1"/>
  </r>
  <r>
    <x v="0"/>
    <x v="8"/>
    <n v="428883"/>
    <n v="167961"/>
    <n v="136142"/>
    <n v="9142"/>
    <n v="1356"/>
    <n v="446"/>
    <n v="1434"/>
    <n v="3524"/>
    <n v="9.0919774940870557E-2"/>
    <x v="0"/>
  </r>
  <r>
    <x v="0"/>
    <x v="12"/>
    <n v="760479"/>
    <n v="107223"/>
    <n v="88762"/>
    <n v="7670"/>
    <n v="987"/>
    <n v="792"/>
    <n v="11"/>
    <n v="1478"/>
    <n v="0.10657713886573084"/>
    <x v="0"/>
  </r>
  <r>
    <x v="0"/>
    <x v="1"/>
    <n v="663967"/>
    <n v="290703"/>
    <n v="257829"/>
    <n v="21545"/>
    <n v="2410"/>
    <n v="3156"/>
    <n v="5"/>
    <n v="3504"/>
    <n v="0.10517048121041465"/>
    <x v="1"/>
  </r>
  <r>
    <x v="0"/>
    <x v="9"/>
    <n v="135126"/>
    <n v="51712"/>
    <n v="40093"/>
    <n v="1844"/>
    <n v="294"/>
    <n v="235"/>
    <n v="344"/>
    <n v="1254"/>
    <n v="6.7767440700371634E-2"/>
    <x v="0"/>
  </r>
  <r>
    <x v="0"/>
    <x v="10"/>
    <n v="126913"/>
    <n v="23952"/>
    <n v="19662"/>
    <n v="1254"/>
    <n v="110"/>
    <n v="149"/>
    <n v="95"/>
    <n v="727"/>
    <n v="8.178211779066219E-2"/>
    <x v="0"/>
  </r>
  <r>
    <x v="0"/>
    <x v="1"/>
    <n v="709406"/>
    <n v="99279"/>
    <n v="80910"/>
    <n v="6015"/>
    <n v="288"/>
    <n v="429"/>
    <n v="44"/>
    <n v="2255"/>
    <n v="8.3747373625015456E-2"/>
    <x v="0"/>
  </r>
  <r>
    <x v="0"/>
    <x v="13"/>
    <n v="131225"/>
    <n v="42265"/>
    <n v="32175"/>
    <n v="2654"/>
    <n v="311"/>
    <n v="147"/>
    <n v="551"/>
    <n v="1027"/>
    <n v="0.11384615384615385"/>
    <x v="0"/>
  </r>
  <r>
    <x v="0"/>
    <x v="10"/>
    <n v="129304"/>
    <n v="23282"/>
    <n v="19818"/>
    <n v="742"/>
    <n v="109"/>
    <n v="85"/>
    <n v="174"/>
    <n v="574"/>
    <n v="5.6009688162276715E-2"/>
    <x v="2"/>
  </r>
  <r>
    <x v="0"/>
    <x v="6"/>
    <n v="164772"/>
    <n v="101667"/>
    <n v="74352"/>
    <n v="2583"/>
    <n v="393"/>
    <n v="338"/>
    <n v="512"/>
    <n v="1674"/>
    <n v="5.1457929847213257E-2"/>
    <x v="1"/>
  </r>
  <r>
    <x v="0"/>
    <x v="3"/>
    <n v="134930"/>
    <n v="21808"/>
    <n v="15299"/>
    <n v="835"/>
    <n v="36"/>
    <n v="57"/>
    <n v="43"/>
    <n v="167"/>
    <n v="6.3468200535982747E-2"/>
    <x v="0"/>
  </r>
  <r>
    <x v="0"/>
    <x v="0"/>
    <n v="519145"/>
    <n v="192508"/>
    <n v="172582"/>
    <n v="7079"/>
    <n v="883"/>
    <n v="816"/>
    <n v="951"/>
    <n v="3063"/>
    <n v="5.637320230383238E-2"/>
    <x v="1"/>
  </r>
  <r>
    <x v="0"/>
    <x v="6"/>
    <n v="501470"/>
    <n v="311841"/>
    <n v="234626"/>
    <n v="14212"/>
    <n v="2241"/>
    <n v="368"/>
    <n v="3438"/>
    <n v="4045"/>
    <n v="8.6345929266151242E-2"/>
    <x v="1"/>
  </r>
  <r>
    <x v="0"/>
    <x v="6"/>
    <n v="85973"/>
    <n v="51765"/>
    <n v="42305"/>
    <n v="2084"/>
    <n v="371"/>
    <n v="172"/>
    <n v="485"/>
    <n v="792"/>
    <n v="7.3561044793759606E-2"/>
    <x v="0"/>
  </r>
  <r>
    <x v="0"/>
    <x v="4"/>
    <n v="261104"/>
    <n v="40697"/>
    <n v="35107"/>
    <n v="2881"/>
    <n v="427"/>
    <n v="368"/>
    <n v="14"/>
    <n v="1261"/>
    <n v="0.10510724356965848"/>
    <x v="0"/>
  </r>
  <r>
    <x v="0"/>
    <x v="2"/>
    <n v="280535"/>
    <n v="181744"/>
    <n v="159391"/>
    <n v="10445"/>
    <n v="1814"/>
    <n v="1183"/>
    <n v="1730"/>
    <n v="4135"/>
    <n v="9.5187306686073864E-2"/>
    <x v="0"/>
  </r>
  <r>
    <x v="0"/>
    <x v="9"/>
    <n v="572892"/>
    <n v="173347"/>
    <n v="141908"/>
    <n v="13577"/>
    <n v="787"/>
    <n v="1919"/>
    <n v="1906"/>
    <n v="2845"/>
    <n v="0.12817459198917608"/>
    <x v="0"/>
  </r>
  <r>
    <x v="0"/>
    <x v="16"/>
    <n v="346318"/>
    <n v="44719"/>
    <n v="37980"/>
    <n v="2664"/>
    <n v="85"/>
    <n v="169"/>
    <n v="660"/>
    <n v="1480"/>
    <n v="9.420747761979989E-2"/>
    <x v="1"/>
  </r>
  <r>
    <x v="0"/>
    <x v="14"/>
    <n v="785192"/>
    <n v="197206"/>
    <n v="155843"/>
    <n v="14122"/>
    <n v="2353"/>
    <n v="1446"/>
    <n v="26"/>
    <n v="2565"/>
    <n v="0.11516077077571658"/>
    <x v="0"/>
  </r>
  <r>
    <x v="0"/>
    <x v="11"/>
    <n v="159746"/>
    <n v="35141"/>
    <n v="26999"/>
    <n v="1726"/>
    <n v="308"/>
    <n v="129"/>
    <n v="398"/>
    <n v="388"/>
    <n v="9.4855365013519016E-2"/>
    <x v="0"/>
  </r>
  <r>
    <x v="0"/>
    <x v="8"/>
    <n v="46783"/>
    <n v="16698"/>
    <n v="11891"/>
    <n v="1232"/>
    <n v="94"/>
    <n v="72"/>
    <n v="77"/>
    <n v="561"/>
    <n v="0.12404339416365319"/>
    <x v="2"/>
  </r>
  <r>
    <x v="0"/>
    <x v="1"/>
    <n v="601208"/>
    <n v="367802"/>
    <n v="311207"/>
    <n v="20164"/>
    <n v="2949"/>
    <n v="1780"/>
    <n v="31"/>
    <n v="11599"/>
    <n v="8.0088172823876064E-2"/>
    <x v="0"/>
  </r>
  <r>
    <x v="0"/>
    <x v="11"/>
    <n v="542831"/>
    <n v="254301"/>
    <n v="200860"/>
    <n v="10250"/>
    <n v="1187"/>
    <n v="804"/>
    <n v="2027"/>
    <n v="5031"/>
    <n v="7.1034551428855924E-2"/>
    <x v="1"/>
  </r>
  <r>
    <x v="0"/>
    <x v="17"/>
    <n v="661284"/>
    <n v="248690"/>
    <n v="183472"/>
    <n v="13122"/>
    <n v="1839"/>
    <n v="1100"/>
    <n v="46"/>
    <n v="6367"/>
    <n v="8.7789962501090085E-2"/>
    <x v="0"/>
  </r>
  <r>
    <x v="0"/>
    <x v="1"/>
    <n v="87659"/>
    <n v="47700"/>
    <n v="42032"/>
    <n v="3310"/>
    <n v="111"/>
    <n v="472"/>
    <n v="24"/>
    <n v="993"/>
    <n v="9.3190902169775408E-2"/>
    <x v="1"/>
  </r>
  <r>
    <x v="0"/>
    <x v="15"/>
    <n v="462663"/>
    <n v="268944"/>
    <n v="226390"/>
    <n v="18115"/>
    <n v="1288"/>
    <n v="550"/>
    <n v="3729"/>
    <n v="5311"/>
    <n v="0.10460709395291311"/>
    <x v="1"/>
  </r>
  <r>
    <x v="0"/>
    <x v="11"/>
    <n v="196438"/>
    <n v="106083"/>
    <n v="81129"/>
    <n v="3020"/>
    <n v="529"/>
    <n v="219"/>
    <n v="489"/>
    <n v="3514"/>
    <n v="5.2471989054468808E-2"/>
    <x v="0"/>
  </r>
  <r>
    <x v="0"/>
    <x v="10"/>
    <n v="417208"/>
    <n v="263168"/>
    <n v="186901"/>
    <n v="16216"/>
    <n v="769"/>
    <n v="595"/>
    <n v="3341"/>
    <n v="1457"/>
    <n v="0.11193626572356488"/>
    <x v="0"/>
  </r>
  <r>
    <x v="0"/>
    <x v="16"/>
    <n v="840866"/>
    <n v="107721"/>
    <n v="79715"/>
    <n v="7818"/>
    <n v="1342"/>
    <n v="1055"/>
    <n v="741"/>
    <n v="3602"/>
    <n v="0.13743962867716239"/>
    <x v="2"/>
  </r>
  <r>
    <x v="0"/>
    <x v="2"/>
    <n v="737825"/>
    <n v="79962"/>
    <n v="63518"/>
    <n v="2847"/>
    <n v="123"/>
    <n v="193"/>
    <n v="681"/>
    <n v="681"/>
    <n v="6.0518278283321264E-2"/>
    <x v="1"/>
  </r>
  <r>
    <x v="0"/>
    <x v="14"/>
    <n v="202300"/>
    <n v="109979"/>
    <n v="83952"/>
    <n v="5460"/>
    <n v="270"/>
    <n v="717"/>
    <n v="38"/>
    <n v="1261"/>
    <n v="7.7246521821993513E-2"/>
    <x v="1"/>
  </r>
  <r>
    <x v="0"/>
    <x v="11"/>
    <n v="306789"/>
    <n v="65722"/>
    <n v="59124"/>
    <n v="2772"/>
    <n v="367"/>
    <n v="220"/>
    <n v="144"/>
    <n v="591"/>
    <n v="5.9248359380285505E-2"/>
    <x v="0"/>
  </r>
  <r>
    <x v="0"/>
    <x v="1"/>
    <n v="428900"/>
    <n v="211154"/>
    <n v="190458"/>
    <n v="11975"/>
    <n v="1266"/>
    <n v="1420"/>
    <n v="20"/>
    <n v="7336"/>
    <n v="7.7082611389387684E-2"/>
    <x v="0"/>
  </r>
  <r>
    <x v="0"/>
    <x v="10"/>
    <n v="303634"/>
    <n v="181829"/>
    <n v="133303"/>
    <n v="12630"/>
    <n v="926"/>
    <n v="1273"/>
    <n v="738"/>
    <n v="2978"/>
    <n v="0.1167790672377966"/>
    <x v="0"/>
  </r>
  <r>
    <x v="0"/>
    <x v="9"/>
    <n v="840252"/>
    <n v="502101"/>
    <n v="446280"/>
    <n v="26420"/>
    <n v="1086"/>
    <n v="2379"/>
    <n v="1762"/>
    <n v="10419"/>
    <n v="7.091287980639957E-2"/>
    <x v="0"/>
  </r>
  <r>
    <x v="0"/>
    <x v="8"/>
    <n v="691854"/>
    <n v="228861"/>
    <n v="167685"/>
    <n v="7733"/>
    <n v="273"/>
    <n v="416"/>
    <n v="1478"/>
    <n v="4140"/>
    <n v="5.9039270059933806E-2"/>
    <x v="2"/>
  </r>
  <r>
    <x v="0"/>
    <x v="10"/>
    <n v="349310"/>
    <n v="128234"/>
    <n v="115854"/>
    <n v="4701"/>
    <n v="442"/>
    <n v="307"/>
    <n v="570"/>
    <n v="2381"/>
    <n v="5.1961952112141142E-2"/>
    <x v="1"/>
  </r>
  <r>
    <x v="0"/>
    <x v="12"/>
    <n v="50528"/>
    <n v="14320"/>
    <n v="10783"/>
    <n v="572"/>
    <n v="36"/>
    <n v="82"/>
    <n v="1"/>
    <n v="367"/>
    <n v="6.4082351850134472E-2"/>
    <x v="0"/>
  </r>
  <r>
    <x v="0"/>
    <x v="9"/>
    <n v="116235"/>
    <n v="57059"/>
    <n v="43094"/>
    <n v="3895"/>
    <n v="459"/>
    <n v="396"/>
    <n v="716"/>
    <n v="1929"/>
    <n v="0.1268390031094816"/>
    <x v="0"/>
  </r>
  <r>
    <x v="0"/>
    <x v="8"/>
    <n v="585464"/>
    <n v="238527"/>
    <n v="215342"/>
    <n v="13751"/>
    <n v="2428"/>
    <n v="281"/>
    <n v="3323"/>
    <n v="3535"/>
    <n v="9.1867819561441799E-2"/>
    <x v="1"/>
  </r>
  <r>
    <x v="0"/>
    <x v="14"/>
    <n v="117659"/>
    <n v="34282"/>
    <n v="29200"/>
    <n v="1244"/>
    <n v="160"/>
    <n v="154"/>
    <n v="47"/>
    <n v="586"/>
    <n v="5.4965753424657537E-2"/>
    <x v="0"/>
  </r>
  <r>
    <x v="0"/>
    <x v="9"/>
    <n v="292482"/>
    <n v="119188"/>
    <n v="88943"/>
    <n v="3175"/>
    <n v="426"/>
    <n v="234"/>
    <n v="375"/>
    <n v="2194"/>
    <n v="4.733368561887951E-2"/>
    <x v="0"/>
  </r>
  <r>
    <x v="0"/>
    <x v="15"/>
    <n v="504443"/>
    <n v="258107"/>
    <n v="182366"/>
    <n v="18379"/>
    <n v="2736"/>
    <n v="1400"/>
    <n v="3886"/>
    <n v="7298"/>
    <n v="0.14476931006876281"/>
    <x v="0"/>
  </r>
  <r>
    <x v="0"/>
    <x v="17"/>
    <n v="412350"/>
    <n v="148241"/>
    <n v="123120"/>
    <n v="8438"/>
    <n v="919"/>
    <n v="1081"/>
    <n v="18"/>
    <n v="1357"/>
    <n v="8.492527615334633E-2"/>
    <x v="0"/>
  </r>
  <r>
    <x v="0"/>
    <x v="3"/>
    <n v="142467"/>
    <n v="79901"/>
    <n v="67983"/>
    <n v="5561"/>
    <n v="464"/>
    <n v="524"/>
    <n v="323"/>
    <n v="2539"/>
    <n v="0.10108409455305002"/>
    <x v="0"/>
  </r>
  <r>
    <x v="0"/>
    <x v="16"/>
    <n v="624773"/>
    <n v="79496"/>
    <n v="57086"/>
    <n v="5107"/>
    <n v="268"/>
    <n v="386"/>
    <n v="1171"/>
    <n v="2625"/>
    <n v="0.1214308236695512"/>
    <x v="1"/>
  </r>
  <r>
    <x v="0"/>
    <x v="3"/>
    <n v="280904"/>
    <n v="148484"/>
    <n v="119236"/>
    <n v="11711"/>
    <n v="1975"/>
    <n v="985"/>
    <n v="772"/>
    <n v="2789"/>
    <n v="0.12951625348049248"/>
    <x v="2"/>
  </r>
  <r>
    <x v="0"/>
    <x v="6"/>
    <n v="444872"/>
    <n v="999838"/>
    <n v="862392"/>
    <n v="46708"/>
    <n v="4799"/>
    <n v="1053"/>
    <n v="6534"/>
    <n v="12276"/>
    <n v="6.8523362925444573E-2"/>
    <x v="0"/>
  </r>
  <r>
    <x v="0"/>
    <x v="13"/>
    <n v="267705"/>
    <n v="92577"/>
    <n v="72371"/>
    <n v="2988"/>
    <n v="148"/>
    <n v="432"/>
    <n v="296"/>
    <n v="867"/>
    <n v="5.3391551864697184E-2"/>
    <x v="1"/>
  </r>
  <r>
    <x v="0"/>
    <x v="3"/>
    <n v="72832"/>
    <n v="11468"/>
    <n v="9190"/>
    <n v="779"/>
    <n v="102"/>
    <n v="55"/>
    <n v="123"/>
    <n v="196"/>
    <n v="0.11523394994559304"/>
    <x v="0"/>
  </r>
  <r>
    <x v="0"/>
    <x v="8"/>
    <n v="232874"/>
    <n v="109552"/>
    <n v="97255"/>
    <n v="6892"/>
    <n v="691"/>
    <n v="929"/>
    <n v="1341"/>
    <n v="1830"/>
    <n v="0.10131098658166675"/>
    <x v="0"/>
  </r>
  <r>
    <x v="0"/>
    <x v="14"/>
    <n v="431854"/>
    <n v="162674"/>
    <n v="145072"/>
    <n v="9314"/>
    <n v="1079"/>
    <n v="1134"/>
    <n v="47"/>
    <n v="1672"/>
    <n v="7.9781074225212315E-2"/>
    <x v="0"/>
  </r>
  <r>
    <x v="0"/>
    <x v="14"/>
    <n v="107742"/>
    <n v="33708"/>
    <n v="26877"/>
    <n v="2169"/>
    <n v="190"/>
    <n v="216"/>
    <n v="24"/>
    <n v="191"/>
    <n v="9.6699780481452544E-2"/>
    <x v="1"/>
  </r>
  <r>
    <x v="0"/>
    <x v="4"/>
    <n v="542922"/>
    <n v="75662"/>
    <n v="68387"/>
    <n v="3500"/>
    <n v="344"/>
    <n v="452"/>
    <n v="7"/>
    <n v="2590"/>
    <n v="6.2921315454691679E-2"/>
    <x v="1"/>
  </r>
  <r>
    <x v="0"/>
    <x v="13"/>
    <n v="842645"/>
    <n v="386353"/>
    <n v="311138"/>
    <n v="10023"/>
    <n v="883"/>
    <n v="1025"/>
    <n v="1586"/>
    <n v="11249"/>
    <n v="4.34437452191632E-2"/>
    <x v="0"/>
  </r>
  <r>
    <x v="0"/>
    <x v="15"/>
    <n v="564777"/>
    <n v="2442411"/>
    <n v="1860901"/>
    <n v="130365"/>
    <n v="13901"/>
    <n v="5316"/>
    <n v="11774"/>
    <n v="56733"/>
    <n v="8.6708535274041987E-2"/>
    <x v="0"/>
  </r>
  <r>
    <x v="0"/>
    <x v="16"/>
    <n v="20279"/>
    <n v="11652"/>
    <n v="9379"/>
    <n v="332"/>
    <n v="51"/>
    <n v="22"/>
    <n v="18"/>
    <n v="210"/>
    <n v="4.5100757010342253E-2"/>
    <x v="0"/>
  </r>
  <r>
    <x v="0"/>
    <x v="4"/>
    <n v="132534"/>
    <n v="16327"/>
    <n v="14477"/>
    <n v="1067"/>
    <n v="68"/>
    <n v="76"/>
    <n v="37"/>
    <n v="226"/>
    <n v="8.6205705601989369E-2"/>
    <x v="0"/>
  </r>
  <r>
    <x v="0"/>
    <x v="6"/>
    <n v="670540"/>
    <n v="421724"/>
    <n v="387906"/>
    <n v="30750"/>
    <n v="2620"/>
    <n v="698"/>
    <n v="6491"/>
    <n v="3930"/>
    <n v="0.10455883641913247"/>
    <x v="0"/>
  </r>
  <r>
    <x v="0"/>
    <x v="3"/>
    <n v="409414"/>
    <n v="210704"/>
    <n v="150617"/>
    <n v="9725"/>
    <n v="832"/>
    <n v="1127"/>
    <n v="1345"/>
    <n v="5915"/>
    <n v="8.6504179475092452E-2"/>
    <x v="1"/>
  </r>
  <r>
    <x v="0"/>
    <x v="15"/>
    <n v="33419"/>
    <n v="12102"/>
    <n v="9354"/>
    <n v="310"/>
    <n v="28"/>
    <n v="34"/>
    <n v="57"/>
    <n v="352"/>
    <n v="4.5862732520846695E-2"/>
    <x v="0"/>
  </r>
  <r>
    <x v="0"/>
    <x v="4"/>
    <n v="716917"/>
    <n v="409903"/>
    <n v="291708"/>
    <n v="26753"/>
    <n v="3159"/>
    <n v="3229"/>
    <n v="4"/>
    <n v="9598"/>
    <n v="0.11362389787047321"/>
    <x v="0"/>
  </r>
  <r>
    <x v="0"/>
    <x v="1"/>
    <n v="313710"/>
    <n v="28811"/>
    <n v="23230"/>
    <n v="1335"/>
    <n v="151"/>
    <n v="199"/>
    <n v="12"/>
    <n v="500"/>
    <n v="7.3052087817477393E-2"/>
    <x v="1"/>
  </r>
  <r>
    <x v="0"/>
    <x v="5"/>
    <n v="827008"/>
    <n v="263679"/>
    <n v="195792"/>
    <n v="18473"/>
    <n v="749"/>
    <n v="2682"/>
    <n v="17"/>
    <n v="2429"/>
    <n v="0.1119606521206178"/>
    <x v="0"/>
  </r>
  <r>
    <x v="0"/>
    <x v="1"/>
    <n v="730705"/>
    <n v="255609"/>
    <n v="187746"/>
    <n v="13685"/>
    <n v="2302"/>
    <n v="484"/>
    <n v="26"/>
    <n v="2124"/>
    <n v="8.7868716244287493E-2"/>
    <x v="0"/>
  </r>
  <r>
    <x v="0"/>
    <x v="16"/>
    <n v="168961"/>
    <n v="29468"/>
    <n v="26196"/>
    <n v="989"/>
    <n v="167"/>
    <n v="111"/>
    <n v="156"/>
    <n v="991"/>
    <n v="5.4321270422965341E-2"/>
    <x v="0"/>
  </r>
  <r>
    <x v="0"/>
    <x v="10"/>
    <n v="538222"/>
    <n v="300762"/>
    <n v="261873"/>
    <n v="9600"/>
    <n v="1360"/>
    <n v="847"/>
    <n v="1977"/>
    <n v="6582"/>
    <n v="5.2636201517529492E-2"/>
    <x v="0"/>
  </r>
  <r>
    <x v="0"/>
    <x v="14"/>
    <n v="232464"/>
    <n v="125322"/>
    <n v="93944"/>
    <n v="3124"/>
    <n v="138"/>
    <n v="226"/>
    <n v="39"/>
    <n v="1022"/>
    <n v="3.7543643021374438E-2"/>
    <x v="0"/>
  </r>
  <r>
    <x v="0"/>
    <x v="14"/>
    <n v="780508"/>
    <n v="359923"/>
    <n v="321554"/>
    <n v="9560"/>
    <n v="519"/>
    <n v="809"/>
    <n v="19"/>
    <n v="6158"/>
    <n v="3.3919652686640503E-2"/>
    <x v="0"/>
  </r>
  <r>
    <x v="0"/>
    <x v="8"/>
    <n v="610205"/>
    <n v="329477"/>
    <n v="253860"/>
    <n v="18231"/>
    <n v="1890"/>
    <n v="2577"/>
    <n v="2151"/>
    <n v="3431"/>
    <n v="9.7884660836681639E-2"/>
    <x v="0"/>
  </r>
  <r>
    <x v="0"/>
    <x v="0"/>
    <n v="188473"/>
    <n v="28823"/>
    <n v="21065"/>
    <n v="1388"/>
    <n v="49"/>
    <n v="135"/>
    <n v="127"/>
    <n v="783"/>
    <n v="8.0655115119867074E-2"/>
    <x v="0"/>
  </r>
  <r>
    <x v="0"/>
    <x v="17"/>
    <n v="128704"/>
    <n v="64630"/>
    <n v="55900"/>
    <n v="2521"/>
    <n v="147"/>
    <n v="373"/>
    <n v="32"/>
    <n v="1020"/>
    <n v="5.4973166368515208E-2"/>
    <x v="0"/>
  </r>
  <r>
    <x v="0"/>
    <x v="7"/>
    <n v="497408"/>
    <n v="276374"/>
    <n v="202277"/>
    <n v="11061"/>
    <n v="919"/>
    <n v="1292"/>
    <n v="28"/>
    <n v="3935"/>
    <n v="6.5751420082362302E-2"/>
    <x v="0"/>
  </r>
  <r>
    <x v="0"/>
    <x v="12"/>
    <n v="569192"/>
    <n v="299254"/>
    <n v="272193"/>
    <n v="23246"/>
    <n v="2633"/>
    <n v="591"/>
    <n v="29"/>
    <n v="10124"/>
    <n v="9.7353715929505896E-2"/>
    <x v="1"/>
  </r>
  <r>
    <x v="0"/>
    <x v="6"/>
    <n v="593413"/>
    <n v="145976"/>
    <n v="107267"/>
    <n v="8471"/>
    <n v="858"/>
    <n v="653"/>
    <n v="923"/>
    <n v="3986"/>
    <n v="0.10166220738903857"/>
    <x v="1"/>
  </r>
  <r>
    <x v="0"/>
    <x v="12"/>
    <n v="389491"/>
    <n v="84289"/>
    <n v="76380"/>
    <n v="6345"/>
    <n v="497"/>
    <n v="368"/>
    <n v="1"/>
    <n v="944"/>
    <n v="9.4409531290913853E-2"/>
    <x v="0"/>
  </r>
  <r>
    <x v="0"/>
    <x v="5"/>
    <n v="304917"/>
    <n v="1596057"/>
    <n v="1280172"/>
    <n v="48418"/>
    <n v="8041"/>
    <n v="3381"/>
    <n v="41"/>
    <n v="27999"/>
    <n v="4.6775745759163614E-2"/>
    <x v="0"/>
  </r>
  <r>
    <x v="0"/>
    <x v="0"/>
    <n v="21450"/>
    <n v="4418"/>
    <n v="3372"/>
    <n v="277"/>
    <n v="42"/>
    <n v="26"/>
    <n v="49"/>
    <n v="65"/>
    <n v="0.11684460260972716"/>
    <x v="0"/>
  </r>
  <r>
    <x v="0"/>
    <x v="1"/>
    <n v="355991"/>
    <n v="172054"/>
    <n v="127917"/>
    <n v="11832"/>
    <n v="1646"/>
    <n v="936"/>
    <n v="3"/>
    <n v="3259"/>
    <n v="0.11270589522893751"/>
    <x v="0"/>
  </r>
  <r>
    <x v="0"/>
    <x v="9"/>
    <n v="318417"/>
    <n v="58976"/>
    <n v="46947"/>
    <n v="3741"/>
    <n v="198"/>
    <n v="344"/>
    <n v="767"/>
    <n v="303"/>
    <n v="0.10756810871834196"/>
    <x v="0"/>
  </r>
  <r>
    <x v="0"/>
    <x v="4"/>
    <n v="457428"/>
    <n v="248025"/>
    <n v="189369"/>
    <n v="10052"/>
    <n v="1761"/>
    <n v="921"/>
    <n v="47"/>
    <n v="7150"/>
    <n v="6.749256742127803E-2"/>
    <x v="0"/>
  </r>
  <r>
    <x v="0"/>
    <x v="15"/>
    <n v="311758"/>
    <n v="103058"/>
    <n v="83247"/>
    <n v="5639"/>
    <n v="464"/>
    <n v="583"/>
    <n v="789"/>
    <n v="2466"/>
    <n v="8.9793025574495172E-2"/>
    <x v="1"/>
  </r>
  <r>
    <x v="0"/>
    <x v="14"/>
    <n v="174971"/>
    <n v="20265"/>
    <n v="14616"/>
    <n v="988"/>
    <n v="149"/>
    <n v="95"/>
    <n v="40"/>
    <n v="669"/>
    <n v="8.7027914614121515E-2"/>
    <x v="1"/>
  </r>
  <r>
    <x v="0"/>
    <x v="9"/>
    <n v="766866"/>
    <n v="136788"/>
    <n v="104043"/>
    <n v="4366"/>
    <n v="462"/>
    <n v="185"/>
    <n v="870"/>
    <n v="4122"/>
    <n v="5.6543928952452353E-2"/>
    <x v="0"/>
  </r>
  <r>
    <x v="0"/>
    <x v="17"/>
    <n v="5300"/>
    <n v="3412"/>
    <n v="3086"/>
    <n v="194"/>
    <n v="9"/>
    <n v="15"/>
    <n v="0"/>
    <n v="50"/>
    <n v="7.0641607258587175E-2"/>
    <x v="2"/>
  </r>
  <r>
    <x v="0"/>
    <x v="3"/>
    <n v="419150"/>
    <n v="140347"/>
    <n v="115631"/>
    <n v="8219"/>
    <n v="656"/>
    <n v="1029"/>
    <n v="2014"/>
    <n v="1103"/>
    <n v="0.1030692461364167"/>
    <x v="0"/>
  </r>
  <r>
    <x v="0"/>
    <x v="8"/>
    <n v="812432"/>
    <n v="80636"/>
    <n v="58638"/>
    <n v="5406"/>
    <n v="693"/>
    <n v="200"/>
    <n v="1070"/>
    <n v="1056"/>
    <n v="0.12566936116511476"/>
    <x v="0"/>
  </r>
  <r>
    <x v="0"/>
    <x v="14"/>
    <n v="46471"/>
    <n v="23176"/>
    <n v="17297"/>
    <n v="1185"/>
    <n v="137"/>
    <n v="118"/>
    <n v="6"/>
    <n v="357"/>
    <n v="8.3598311845984846E-2"/>
    <x v="0"/>
  </r>
  <r>
    <x v="0"/>
    <x v="1"/>
    <n v="344902"/>
    <n v="98422"/>
    <n v="88326"/>
    <n v="4181"/>
    <n v="716"/>
    <n v="243"/>
    <n v="1"/>
    <n v="965"/>
    <n v="5.8204832099268619E-2"/>
    <x v="0"/>
  </r>
  <r>
    <x v="0"/>
    <x v="3"/>
    <n v="619710"/>
    <n v="2081478"/>
    <n v="1863825"/>
    <n v="140688"/>
    <n v="16208"/>
    <n v="20937"/>
    <n v="7453"/>
    <n v="55356"/>
    <n v="9.941169369441874E-2"/>
    <x v="1"/>
  </r>
  <r>
    <x v="0"/>
    <x v="12"/>
    <n v="464301"/>
    <n v="192146"/>
    <n v="149716"/>
    <n v="15087"/>
    <n v="903"/>
    <n v="858"/>
    <n v="14"/>
    <n v="6064"/>
    <n v="0.11262657297817201"/>
    <x v="1"/>
  </r>
  <r>
    <x v="0"/>
    <x v="16"/>
    <n v="108605"/>
    <n v="493993"/>
    <n v="416965"/>
    <n v="36111"/>
    <n v="2916"/>
    <n v="1709"/>
    <n v="5100"/>
    <n v="7947"/>
    <n v="0.10992769177269075"/>
    <x v="0"/>
  </r>
  <r>
    <x v="0"/>
    <x v="5"/>
    <n v="527679"/>
    <n v="228238"/>
    <n v="202618"/>
    <n v="15542"/>
    <n v="1489"/>
    <n v="1574"/>
    <n v="4"/>
    <n v="5038"/>
    <n v="9.1842778035515105E-2"/>
    <x v="0"/>
  </r>
  <r>
    <x v="0"/>
    <x v="11"/>
    <n v="662535"/>
    <n v="382630"/>
    <n v="349358"/>
    <n v="27989"/>
    <n v="1718"/>
    <n v="855"/>
    <n v="4034"/>
    <n v="9529"/>
    <n v="9.9027358755202397E-2"/>
    <x v="0"/>
  </r>
  <r>
    <x v="0"/>
    <x v="14"/>
    <n v="113053"/>
    <n v="20256"/>
    <n v="17547"/>
    <n v="915"/>
    <n v="36"/>
    <n v="91"/>
    <n v="7"/>
    <n v="124"/>
    <n v="5.9782298968484644E-2"/>
    <x v="1"/>
  </r>
  <r>
    <x v="0"/>
    <x v="13"/>
    <n v="231712"/>
    <n v="135913"/>
    <n v="99839"/>
    <n v="9588"/>
    <n v="653"/>
    <n v="297"/>
    <n v="1920"/>
    <n v="1882"/>
    <n v="0.12478089724456375"/>
    <x v="0"/>
  </r>
  <r>
    <x v="0"/>
    <x v="3"/>
    <n v="547573"/>
    <n v="107569"/>
    <n v="75881"/>
    <n v="5415"/>
    <n v="479"/>
    <n v="760"/>
    <n v="595"/>
    <n v="2098"/>
    <n v="9.5531160633096565E-2"/>
    <x v="0"/>
  </r>
  <r>
    <x v="0"/>
    <x v="5"/>
    <n v="822911"/>
    <n v="270761"/>
    <n v="220899"/>
    <n v="16691"/>
    <n v="1762"/>
    <n v="1820"/>
    <n v="22"/>
    <n v="5158"/>
    <n v="9.1874567109855629E-2"/>
    <x v="0"/>
  </r>
  <r>
    <x v="0"/>
    <x v="16"/>
    <n v="11448"/>
    <n v="2754"/>
    <n v="2402"/>
    <n v="121"/>
    <n v="10"/>
    <n v="11"/>
    <n v="21"/>
    <n v="52"/>
    <n v="6.7860116569525397E-2"/>
    <x v="0"/>
  </r>
  <r>
    <x v="0"/>
    <x v="2"/>
    <n v="479828"/>
    <n v="41869"/>
    <n v="33249"/>
    <n v="889"/>
    <n v="156"/>
    <n v="119"/>
    <n v="74"/>
    <n v="1164"/>
    <n v="3.7234202532406988E-2"/>
    <x v="0"/>
  </r>
  <r>
    <x v="0"/>
    <x v="0"/>
    <n v="826395"/>
    <n v="366119"/>
    <n v="304314"/>
    <n v="23443"/>
    <n v="1034"/>
    <n v="2002"/>
    <n v="4456"/>
    <n v="7067"/>
    <n v="0.10165486964122585"/>
    <x v="0"/>
  </r>
  <r>
    <x v="0"/>
    <x v="1"/>
    <n v="705569"/>
    <n v="385629"/>
    <n v="311311"/>
    <n v="15589"/>
    <n v="2371"/>
    <n v="1855"/>
    <n v="32"/>
    <n v="11859"/>
    <n v="6.3752967289944784E-2"/>
    <x v="1"/>
  </r>
  <r>
    <x v="0"/>
    <x v="6"/>
    <n v="259734"/>
    <n v="118039"/>
    <n v="86393"/>
    <n v="4587"/>
    <n v="144"/>
    <n v="502"/>
    <n v="886"/>
    <n v="1347"/>
    <n v="7.0827497598185032E-2"/>
    <x v="0"/>
  </r>
  <r>
    <x v="0"/>
    <x v="5"/>
    <n v="347188"/>
    <n v="95539"/>
    <n v="77098"/>
    <n v="5936"/>
    <n v="602"/>
    <n v="333"/>
    <n v="2"/>
    <n v="2039"/>
    <n v="8.9146281356196011E-2"/>
    <x v="2"/>
  </r>
  <r>
    <x v="0"/>
    <x v="6"/>
    <n v="173166"/>
    <n v="20300"/>
    <n v="14259"/>
    <n v="1513"/>
    <n v="87"/>
    <n v="69"/>
    <n v="356"/>
    <n v="247"/>
    <n v="0.14201556911424362"/>
    <x v="0"/>
  </r>
  <r>
    <x v="0"/>
    <x v="13"/>
    <n v="470894"/>
    <n v="248519"/>
    <n v="218503"/>
    <n v="6657"/>
    <n v="626"/>
    <n v="762"/>
    <n v="525"/>
    <n v="3651"/>
    <n v="3.9221429454057842E-2"/>
    <x v="0"/>
  </r>
  <r>
    <x v="0"/>
    <x v="16"/>
    <n v="657606"/>
    <n v="183195"/>
    <n v="139162"/>
    <n v="9151"/>
    <n v="781"/>
    <n v="498"/>
    <n v="2117"/>
    <n v="5305"/>
    <n v="9.0161107198804269E-2"/>
    <x v="1"/>
  </r>
  <r>
    <x v="0"/>
    <x v="3"/>
    <n v="237928"/>
    <n v="148665"/>
    <n v="106560"/>
    <n v="5950"/>
    <n v="500"/>
    <n v="834"/>
    <n v="398"/>
    <n v="936"/>
    <n v="7.2090840840840845E-2"/>
    <x v="0"/>
  </r>
  <r>
    <x v="0"/>
    <x v="6"/>
    <n v="42109"/>
    <n v="84894"/>
    <n v="65535"/>
    <n v="5511"/>
    <n v="566"/>
    <n v="159"/>
    <n v="880"/>
    <n v="1041"/>
    <n v="0.10858319981689174"/>
    <x v="2"/>
  </r>
  <r>
    <x v="0"/>
    <x v="13"/>
    <n v="767415"/>
    <n v="184766"/>
    <n v="135958"/>
    <n v="5665"/>
    <n v="504"/>
    <n v="560"/>
    <n v="361"/>
    <n v="1323"/>
    <n v="5.214845761190956E-2"/>
    <x v="0"/>
  </r>
  <r>
    <x v="0"/>
    <x v="4"/>
    <n v="289965"/>
    <n v="44507"/>
    <n v="40513"/>
    <n v="1052"/>
    <n v="185"/>
    <n v="47"/>
    <n v="25"/>
    <n v="883"/>
    <n v="3.2310616345370621E-2"/>
    <x v="0"/>
  </r>
  <r>
    <x v="0"/>
    <x v="15"/>
    <n v="441027"/>
    <n v="98763"/>
    <n v="87677"/>
    <n v="7348"/>
    <n v="1295"/>
    <n v="1001"/>
    <n v="1026"/>
    <n v="2619"/>
    <n v="0.12169668214012797"/>
    <x v="2"/>
  </r>
  <r>
    <x v="0"/>
    <x v="13"/>
    <n v="743277"/>
    <n v="103127"/>
    <n v="83585"/>
    <n v="3183"/>
    <n v="569"/>
    <n v="308"/>
    <n v="563"/>
    <n v="1225"/>
    <n v="5.5308966919901899E-2"/>
    <x v="0"/>
  </r>
  <r>
    <x v="0"/>
    <x v="10"/>
    <n v="510211"/>
    <n v="245187"/>
    <n v="202454"/>
    <n v="6366"/>
    <n v="251"/>
    <n v="879"/>
    <n v="1330"/>
    <n v="2585"/>
    <n v="4.3595088266964351E-2"/>
    <x v="1"/>
  </r>
  <r>
    <x v="0"/>
    <x v="16"/>
    <n v="701240"/>
    <n v="190043"/>
    <n v="171164"/>
    <n v="8919"/>
    <n v="951"/>
    <n v="1038"/>
    <n v="1343"/>
    <n v="4967"/>
    <n v="7.1574630179243301E-2"/>
    <x v="0"/>
  </r>
  <r>
    <x v="0"/>
    <x v="10"/>
    <n v="796529"/>
    <n v="99766"/>
    <n v="78056"/>
    <n v="3770"/>
    <n v="198"/>
    <n v="175"/>
    <n v="217"/>
    <n v="3262"/>
    <n v="5.5857333196679307E-2"/>
    <x v="0"/>
  </r>
  <r>
    <x v="0"/>
    <x v="14"/>
    <n v="231232"/>
    <n v="44286"/>
    <n v="31089"/>
    <n v="2814"/>
    <n v="327"/>
    <n v="304"/>
    <n v="9"/>
    <n v="721"/>
    <n v="0.11110038920518511"/>
    <x v="2"/>
  </r>
  <r>
    <x v="0"/>
    <x v="13"/>
    <n v="765229"/>
    <n v="490589"/>
    <n v="441884"/>
    <n v="14497"/>
    <n v="481"/>
    <n v="1029"/>
    <n v="1949"/>
    <n v="9420"/>
    <n v="4.063509880421106E-2"/>
    <x v="0"/>
  </r>
  <r>
    <x v="0"/>
    <x v="17"/>
    <n v="417015"/>
    <n v="2225037"/>
    <n v="1628358"/>
    <n v="170378"/>
    <n v="26507"/>
    <n v="14478"/>
    <n v="29"/>
    <n v="20965"/>
    <n v="0.12981911840025351"/>
    <x v="0"/>
  </r>
  <r>
    <x v="0"/>
    <x v="15"/>
    <n v="15436"/>
    <n v="2047"/>
    <n v="1845"/>
    <n v="89"/>
    <n v="10"/>
    <n v="12"/>
    <n v="13"/>
    <n v="21"/>
    <n v="6.7208672086720864E-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54083-D8DA-47A6-9894-C42C3E9E7E54}"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4" firstHeaderRow="0" firstDataRow="1" firstDataCol="0"/>
  <pivotFields count="12">
    <pivotField showAll="0">
      <items count="2">
        <item x="0"/>
        <item t="default"/>
      </items>
    </pivotField>
    <pivotField showAll="0">
      <items count="19">
        <item x="9"/>
        <item x="4"/>
        <item x="15"/>
        <item x="6"/>
        <item x="7"/>
        <item x="8"/>
        <item x="12"/>
        <item x="3"/>
        <item x="0"/>
        <item x="17"/>
        <item x="2"/>
        <item x="10"/>
        <item x="11"/>
        <item x="16"/>
        <item x="14"/>
        <item x="1"/>
        <item x="13"/>
        <item x="5"/>
        <item t="default"/>
      </items>
    </pivotField>
    <pivotField dataField="1" showAll="0"/>
    <pivotField dataField="1" showAll="0"/>
    <pivotField dataField="1" showAll="0"/>
    <pivotField dataField="1" showAll="0"/>
    <pivotField dataField="1" showAll="0"/>
    <pivotField dataField="1" showAll="0"/>
    <pivotField showAll="0"/>
    <pivotField showAll="0"/>
    <pivotField dataField="1" showAll="0"/>
    <pivotField showAll="0">
      <items count="4">
        <item x="2"/>
        <item x="1"/>
        <item x="0"/>
        <item t="default"/>
      </items>
    </pivotField>
  </pivotFields>
  <rowItems count="1">
    <i/>
  </rowItems>
  <colFields count="1">
    <field x="-2"/>
  </colFields>
  <colItems count="7">
    <i>
      <x/>
    </i>
    <i i="1">
      <x v="1"/>
    </i>
    <i i="2">
      <x v="2"/>
    </i>
    <i i="3">
      <x v="3"/>
    </i>
    <i i="4">
      <x v="4"/>
    </i>
    <i i="5">
      <x v="5"/>
    </i>
    <i i="6">
      <x v="6"/>
    </i>
  </colItems>
  <dataFields count="7">
    <dataField name="Sum of Reach" fld="4" baseField="0" baseItem="0"/>
    <dataField name="Sum of Follower Count" fld="2" baseField="0" baseItem="0"/>
    <dataField name="Sum of Shares / Retweets" fld="7" baseField="0" baseItem="0"/>
    <dataField name="Sum of Engagement Rate (%)" fld="10" baseField="0" baseItem="0"/>
    <dataField name="Sum of Likes" fld="5" baseField="0" baseItem="0"/>
    <dataField name="Sum of Comments" fld="6" baseField="0" baseItem="0"/>
    <dataField name="Sum of Impr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361FA0-9C3E-4403-AB51-066930EC4F0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7" firstHeaderRow="1" firstDataRow="1" firstDataCol="1"/>
  <pivotFields count="16">
    <pivotField showAll="0"/>
    <pivotField showAll="0"/>
    <pivotField showAll="0">
      <items count="6">
        <item x="4"/>
        <item x="1"/>
        <item x="0"/>
        <item x="2"/>
        <item x="3"/>
        <item t="default"/>
      </items>
    </pivotField>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10" showAll="0"/>
    <pivotField axis="axisRow" dataField="1" showAll="0">
      <items count="4">
        <item x="2"/>
        <item x="1"/>
        <item x="0"/>
        <item t="default"/>
      </items>
    </pivotField>
  </pivotFields>
  <rowFields count="1">
    <field x="15"/>
  </rowFields>
  <rowItems count="4">
    <i>
      <x/>
    </i>
    <i>
      <x v="1"/>
    </i>
    <i>
      <x v="2"/>
    </i>
    <i t="grand">
      <x/>
    </i>
  </rowItems>
  <colItems count="1">
    <i/>
  </colItems>
  <dataFields count="1">
    <dataField name="Count of Sentiment" fld="15" subtotal="count" baseField="0"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048408-3D5E-4133-B7E9-86106AF50E82}"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9" firstHeaderRow="1" firstDataRow="1" firstDataCol="1"/>
  <pivotFields count="16">
    <pivotField showAll="0"/>
    <pivotField showAll="0">
      <items count="3001">
        <item x="2869"/>
        <item x="1096"/>
        <item x="229"/>
        <item x="1337"/>
        <item x="2567"/>
        <item x="1409"/>
        <item x="2369"/>
        <item x="49"/>
        <item x="1619"/>
        <item x="1372"/>
        <item x="2681"/>
        <item x="610"/>
        <item x="2511"/>
        <item x="2787"/>
        <item x="2111"/>
        <item x="1967"/>
        <item x="2125"/>
        <item x="2553"/>
        <item x="481"/>
        <item x="2243"/>
        <item x="1456"/>
        <item x="701"/>
        <item x="177"/>
        <item x="577"/>
        <item x="1568"/>
        <item x="2134"/>
        <item x="1073"/>
        <item x="933"/>
        <item x="1531"/>
        <item x="1794"/>
        <item x="2159"/>
        <item x="2470"/>
        <item x="2632"/>
        <item x="2233"/>
        <item x="593"/>
        <item x="170"/>
        <item x="1635"/>
        <item x="2481"/>
        <item x="2738"/>
        <item x="910"/>
        <item x="752"/>
        <item x="1778"/>
        <item x="2601"/>
        <item x="1443"/>
        <item x="284"/>
        <item x="327"/>
        <item x="2471"/>
        <item x="85"/>
        <item x="502"/>
        <item x="976"/>
        <item x="1454"/>
        <item x="1783"/>
        <item x="965"/>
        <item x="2820"/>
        <item x="2777"/>
        <item x="377"/>
        <item x="535"/>
        <item x="879"/>
        <item x="2216"/>
        <item x="602"/>
        <item x="1630"/>
        <item x="1151"/>
        <item x="1412"/>
        <item x="1453"/>
        <item x="653"/>
        <item x="1929"/>
        <item x="34"/>
        <item x="506"/>
        <item x="2032"/>
        <item x="2116"/>
        <item x="1898"/>
        <item x="2956"/>
        <item x="2773"/>
        <item x="400"/>
        <item x="197"/>
        <item x="2386"/>
        <item x="1804"/>
        <item x="329"/>
        <item x="2951"/>
        <item x="459"/>
        <item x="2727"/>
        <item x="2865"/>
        <item x="2313"/>
        <item x="575"/>
        <item x="935"/>
        <item x="1027"/>
        <item x="707"/>
        <item x="1591"/>
        <item x="1874"/>
        <item x="411"/>
        <item x="1378"/>
        <item x="1147"/>
        <item x="1806"/>
        <item x="844"/>
        <item x="1260"/>
        <item x="1532"/>
        <item x="1271"/>
        <item x="1482"/>
        <item x="2942"/>
        <item x="1003"/>
        <item x="2532"/>
        <item x="2327"/>
        <item x="1361"/>
        <item x="2249"/>
        <item x="1461"/>
        <item x="189"/>
        <item x="732"/>
        <item x="118"/>
        <item x="538"/>
        <item x="2239"/>
        <item x="554"/>
        <item x="2402"/>
        <item x="1163"/>
        <item x="1318"/>
        <item x="2016"/>
        <item x="2638"/>
        <item x="1664"/>
        <item x="298"/>
        <item x="548"/>
        <item x="899"/>
        <item x="703"/>
        <item x="1390"/>
        <item x="2649"/>
        <item x="355"/>
        <item x="988"/>
        <item x="1413"/>
        <item x="873"/>
        <item x="519"/>
        <item x="963"/>
        <item x="2948"/>
        <item x="2814"/>
        <item x="1884"/>
        <item x="2118"/>
        <item x="730"/>
        <item x="2298"/>
        <item x="1367"/>
        <item x="1121"/>
        <item x="2474"/>
        <item x="2324"/>
        <item x="2490"/>
        <item x="365"/>
        <item x="667"/>
        <item x="2648"/>
        <item x="798"/>
        <item x="1528"/>
        <item x="1576"/>
        <item x="1733"/>
        <item x="2382"/>
        <item x="1666"/>
        <item x="2520"/>
        <item x="2482"/>
        <item x="746"/>
        <item x="1054"/>
        <item x="6"/>
        <item x="948"/>
        <item x="1507"/>
        <item x="2444"/>
        <item x="1349"/>
        <item x="2339"/>
        <item x="1074"/>
        <item x="2036"/>
        <item x="2981"/>
        <item x="2368"/>
        <item x="767"/>
        <item x="1479"/>
        <item x="1339"/>
        <item x="142"/>
        <item x="2150"/>
        <item x="693"/>
        <item x="980"/>
        <item x="2289"/>
        <item x="2896"/>
        <item x="1657"/>
        <item x="1722"/>
        <item x="83"/>
        <item x="958"/>
        <item x="2161"/>
        <item x="264"/>
        <item x="578"/>
        <item x="1578"/>
        <item x="1866"/>
        <item x="81"/>
        <item x="896"/>
        <item x="1128"/>
        <item x="373"/>
        <item x="1624"/>
        <item x="382"/>
        <item x="563"/>
        <item x="383"/>
        <item x="2143"/>
        <item x="2084"/>
        <item x="1274"/>
        <item x="1517"/>
        <item x="1462"/>
        <item x="1053"/>
        <item x="1555"/>
        <item x="463"/>
        <item x="2377"/>
        <item x="2493"/>
        <item x="1811"/>
        <item x="2717"/>
        <item x="769"/>
        <item x="82"/>
        <item x="2392"/>
        <item x="409"/>
        <item x="2940"/>
        <item x="2103"/>
        <item x="1132"/>
        <item x="973"/>
        <item x="2889"/>
        <item x="1837"/>
        <item x="1438"/>
        <item x="2588"/>
        <item x="812"/>
        <item x="1548"/>
        <item x="1268"/>
        <item x="493"/>
        <item x="2146"/>
        <item x="1750"/>
        <item x="1032"/>
        <item x="2492"/>
        <item x="1012"/>
        <item x="2832"/>
        <item x="2110"/>
        <item x="325"/>
        <item x="2222"/>
        <item x="1353"/>
        <item x="1067"/>
        <item x="2969"/>
        <item x="559"/>
        <item x="1239"/>
        <item x="1258"/>
        <item x="24"/>
        <item x="2462"/>
        <item x="805"/>
        <item x="1076"/>
        <item x="1764"/>
        <item x="1565"/>
        <item x="1493"/>
        <item x="666"/>
        <item x="2453"/>
        <item x="132"/>
        <item x="294"/>
        <item x="336"/>
        <item x="244"/>
        <item x="109"/>
        <item x="2314"/>
        <item x="2730"/>
        <item x="2398"/>
        <item x="682"/>
        <item x="1359"/>
        <item x="243"/>
        <item x="1467"/>
        <item x="650"/>
        <item x="2873"/>
        <item x="2658"/>
        <item x="166"/>
        <item x="613"/>
        <item x="2619"/>
        <item x="2544"/>
        <item x="2284"/>
        <item x="2645"/>
        <item x="195"/>
        <item x="136"/>
        <item x="2094"/>
        <item x="2433"/>
        <item x="2793"/>
        <item x="1023"/>
        <item x="943"/>
        <item x="30"/>
        <item x="15"/>
        <item x="2107"/>
        <item x="3"/>
        <item x="1153"/>
        <item x="510"/>
        <item x="1562"/>
        <item x="2669"/>
        <item x="2174"/>
        <item x="2038"/>
        <item x="1616"/>
        <item x="694"/>
        <item x="1381"/>
        <item x="1087"/>
        <item x="346"/>
        <item x="601"/>
        <item x="1177"/>
        <item x="1017"/>
        <item x="488"/>
        <item x="1466"/>
        <item x="448"/>
        <item x="1762"/>
        <item x="2483"/>
        <item x="2169"/>
        <item x="2054"/>
        <item x="143"/>
        <item x="2153"/>
        <item x="1627"/>
        <item x="2724"/>
        <item x="2075"/>
        <item x="1469"/>
        <item x="1463"/>
        <item x="1620"/>
        <item x="2137"/>
        <item x="1523"/>
        <item x="2945"/>
        <item x="1345"/>
        <item x="1754"/>
        <item x="139"/>
        <item x="760"/>
        <item x="565"/>
        <item x="2104"/>
        <item x="1506"/>
        <item x="2160"/>
        <item x="1674"/>
        <item x="1949"/>
        <item x="2652"/>
        <item x="1294"/>
        <item x="2656"/>
        <item x="789"/>
        <item x="690"/>
        <item x="364"/>
        <item x="765"/>
        <item x="2069"/>
        <item x="2980"/>
        <item x="860"/>
        <item x="41"/>
        <item x="2230"/>
        <item x="350"/>
        <item x="888"/>
        <item x="1485"/>
        <item x="709"/>
        <item x="2625"/>
        <item x="2439"/>
        <item x="56"/>
        <item x="978"/>
        <item x="595"/>
        <item x="1020"/>
        <item x="1768"/>
        <item x="1206"/>
        <item x="20"/>
        <item x="1947"/>
        <item x="2966"/>
        <item x="2488"/>
        <item x="2823"/>
        <item x="2034"/>
        <item x="1300"/>
        <item x="2639"/>
        <item x="2408"/>
        <item x="1535"/>
        <item x="2543"/>
        <item x="261"/>
        <item x="997"/>
        <item x="429"/>
        <item x="2051"/>
        <item x="2311"/>
        <item x="640"/>
        <item x="2763"/>
        <item x="35"/>
        <item x="2237"/>
        <item x="606"/>
        <item x="153"/>
        <item x="2342"/>
        <item x="1280"/>
        <item x="574"/>
        <item x="624"/>
        <item x="547"/>
        <item x="1245"/>
        <item x="2976"/>
        <item x="1647"/>
        <item x="756"/>
        <item x="1047"/>
        <item x="679"/>
        <item x="2513"/>
        <item x="2817"/>
        <item x="1445"/>
        <item x="2798"/>
        <item x="1363"/>
        <item x="1902"/>
        <item x="79"/>
        <item x="1302"/>
        <item x="374"/>
        <item x="152"/>
        <item x="1099"/>
        <item x="173"/>
        <item x="1241"/>
        <item x="2303"/>
        <item x="1120"/>
        <item x="352"/>
        <item x="2903"/>
        <item x="854"/>
        <item x="160"/>
        <item x="1278"/>
        <item x="672"/>
        <item x="2621"/>
        <item x="1828"/>
        <item x="1540"/>
        <item x="599"/>
        <item x="2900"/>
        <item x="50"/>
        <item x="2624"/>
        <item x="1880"/>
        <item x="413"/>
        <item x="452"/>
        <item x="912"/>
        <item x="771"/>
        <item x="1052"/>
        <item x="1988"/>
        <item x="2223"/>
        <item x="271"/>
        <item x="552"/>
        <item x="2533"/>
        <item x="1348"/>
        <item x="1741"/>
        <item x="864"/>
        <item x="1259"/>
        <item x="1640"/>
        <item x="1022"/>
        <item x="1474"/>
        <item x="144"/>
        <item x="1937"/>
        <item x="183"/>
        <item x="371"/>
        <item x="818"/>
        <item x="2617"/>
        <item x="2017"/>
        <item x="1464"/>
        <item x="1500"/>
        <item x="2112"/>
        <item x="2296"/>
        <item x="928"/>
        <item x="2061"/>
        <item x="368"/>
        <item x="2776"/>
        <item x="2688"/>
        <item x="2089"/>
        <item x="217"/>
        <item x="1522"/>
        <item x="2255"/>
        <item x="2499"/>
        <item x="1858"/>
        <item x="2575"/>
        <item x="2364"/>
        <item x="168"/>
        <item x="1765"/>
        <item x="157"/>
        <item x="2260"/>
        <item x="1308"/>
        <item x="88"/>
        <item x="2221"/>
        <item x="1082"/>
        <item x="1198"/>
        <item x="500"/>
        <item x="2247"/>
        <item x="1777"/>
        <item x="1152"/>
        <item x="1208"/>
        <item x="2267"/>
        <item x="2628"/>
        <item x="2464"/>
        <item x="1139"/>
        <item x="1502"/>
        <item x="1229"/>
        <item x="2329"/>
        <item x="354"/>
        <item x="74"/>
        <item x="2993"/>
        <item x="1488"/>
        <item x="2600"/>
        <item x="514"/>
        <item x="1028"/>
        <item x="2559"/>
        <item x="733"/>
        <item x="588"/>
        <item x="1158"/>
        <item x="252"/>
        <item x="1254"/>
        <item x="1802"/>
        <item x="2307"/>
        <item x="1989"/>
        <item x="881"/>
        <item x="1761"/>
        <item x="2234"/>
        <item x="618"/>
        <item x="113"/>
        <item x="1200"/>
        <item x="2743"/>
        <item x="661"/>
        <item x="2847"/>
        <item x="2991"/>
        <item x="1492"/>
        <item x="75"/>
        <item x="2365"/>
        <item x="2637"/>
        <item x="2096"/>
        <item x="309"/>
        <item x="1181"/>
        <item x="2759"/>
        <item x="806"/>
        <item x="98"/>
        <item x="529"/>
        <item x="304"/>
        <item x="1721"/>
        <item x="2995"/>
        <item x="1626"/>
        <item x="959"/>
        <item x="2953"/>
        <item x="2990"/>
        <item x="107"/>
        <item x="1078"/>
        <item x="17"/>
        <item x="1899"/>
        <item x="1219"/>
        <item x="226"/>
        <item x="1979"/>
        <item x="2911"/>
        <item x="2165"/>
        <item x="2219"/>
        <item x="2154"/>
        <item x="1840"/>
        <item x="2279"/>
        <item x="2252"/>
        <item x="875"/>
        <item x="455"/>
        <item x="410"/>
        <item x="1194"/>
        <item x="2068"/>
        <item x="263"/>
        <item x="238"/>
        <item x="1103"/>
        <item x="1175"/>
        <item x="518"/>
        <item x="158"/>
        <item x="1959"/>
        <item x="1905"/>
        <item x="2035"/>
        <item x="914"/>
        <item x="2558"/>
        <item x="1860"/>
        <item x="1710"/>
        <item x="1956"/>
        <item x="2646"/>
        <item x="1869"/>
        <item x="2278"/>
        <item x="1771"/>
        <item x="734"/>
        <item x="2926"/>
        <item x="483"/>
        <item x="2933"/>
        <item x="2190"/>
        <item x="1839"/>
        <item x="1072"/>
        <item x="846"/>
        <item x="2002"/>
        <item x="2415"/>
        <item x="790"/>
        <item x="2071"/>
        <item x="2148"/>
        <item x="810"/>
        <item x="755"/>
        <item x="2929"/>
        <item x="1472"/>
        <item x="1060"/>
        <item x="120"/>
        <item x="1573"/>
        <item x="2274"/>
        <item x="1005"/>
        <item x="1917"/>
        <item x="435"/>
        <item x="822"/>
        <item x="836"/>
        <item x="714"/>
        <item x="2123"/>
        <item x="2349"/>
        <item x="1491"/>
        <item x="1857"/>
        <item x="2515"/>
        <item x="1580"/>
        <item x="536"/>
        <item x="1788"/>
        <item x="2450"/>
        <item x="1173"/>
        <item x="2236"/>
        <item x="1161"/>
        <item x="2663"/>
        <item x="1127"/>
        <item x="1263"/>
        <item x="1926"/>
        <item x="800"/>
        <item x="2812"/>
        <item x="587"/>
        <item x="2526"/>
        <item x="2124"/>
        <item x="2913"/>
        <item x="2782"/>
        <item x="2659"/>
        <item x="2321"/>
        <item x="2147"/>
        <item x="1234"/>
        <item x="803"/>
        <item x="1634"/>
        <item x="762"/>
        <item x="915"/>
        <item x="2643"/>
        <item x="397"/>
        <item x="1801"/>
        <item x="315"/>
        <item x="1159"/>
        <item x="2238"/>
        <item x="2531"/>
        <item x="779"/>
        <item x="726"/>
        <item x="1199"/>
        <item x="2248"/>
        <item x="324"/>
        <item x="961"/>
        <item x="2647"/>
        <item x="1133"/>
        <item x="605"/>
        <item x="2556"/>
        <item x="649"/>
        <item x="869"/>
        <item x="2370"/>
        <item x="469"/>
        <item x="1595"/>
        <item x="2844"/>
        <item x="2849"/>
        <item x="8"/>
        <item x="2878"/>
        <item x="2858"/>
        <item x="680"/>
        <item x="977"/>
        <item x="2259"/>
        <item x="939"/>
        <item x="2184"/>
        <item x="1134"/>
        <item x="2675"/>
        <item x="517"/>
        <item x="955"/>
        <item x="859"/>
        <item x="1547"/>
        <item x="1358"/>
        <item x="2768"/>
        <item x="2191"/>
        <item x="1972"/>
        <item x="1757"/>
        <item x="1776"/>
        <item x="683"/>
        <item x="2765"/>
        <item x="2244"/>
        <item x="357"/>
        <item x="768"/>
        <item x="220"/>
        <item x="736"/>
        <item x="116"/>
        <item x="1122"/>
        <item x="834"/>
        <item x="2015"/>
        <item x="134"/>
        <item x="870"/>
        <item x="843"/>
        <item x="1891"/>
        <item x="1692"/>
        <item x="2666"/>
        <item x="877"/>
        <item x="615"/>
        <item x="320"/>
        <item x="2269"/>
        <item x="1526"/>
        <item x="2958"/>
        <item x="1176"/>
        <item x="738"/>
        <item x="1808"/>
        <item x="830"/>
        <item x="2792"/>
        <item x="2715"/>
        <item x="2704"/>
        <item x="557"/>
        <item x="1699"/>
        <item x="1384"/>
        <item x="2861"/>
        <item x="233"/>
        <item x="2242"/>
        <item x="18"/>
        <item x="1952"/>
        <item x="2751"/>
        <item x="1233"/>
        <item x="2867"/>
        <item x="2106"/>
        <item x="1411"/>
        <item x="1563"/>
        <item x="2359"/>
        <item x="604"/>
        <item x="2322"/>
        <item x="827"/>
        <item x="754"/>
        <item x="2912"/>
        <item x="2586"/>
        <item x="1663"/>
        <item x="2914"/>
        <item x="269"/>
        <item x="1694"/>
        <item x="1863"/>
        <item x="2363"/>
        <item x="1571"/>
        <item x="1470"/>
        <item x="1160"/>
        <item x="1484"/>
        <item x="1610"/>
        <item x="1114"/>
        <item x="1920"/>
        <item x="2025"/>
        <item x="390"/>
        <item x="2263"/>
        <item x="781"/>
        <item x="1432"/>
        <item x="257"/>
        <item x="1973"/>
        <item x="1256"/>
        <item x="975"/>
        <item x="268"/>
        <item x="1582"/>
        <item x="1297"/>
        <item x="313"/>
        <item x="620"/>
        <item x="2728"/>
        <item x="2590"/>
        <item x="2366"/>
        <item x="2885"/>
        <item x="1711"/>
        <item x="735"/>
        <item x="103"/>
        <item x="2205"/>
        <item x="1551"/>
        <item x="936"/>
        <item x="2545"/>
        <item x="2651"/>
        <item x="1549"/>
        <item x="1897"/>
        <item x="487"/>
        <item x="1755"/>
        <item x="2522"/>
        <item x="2595"/>
        <item x="2947"/>
        <item x="1681"/>
        <item x="924"/>
        <item x="45"/>
        <item x="2662"/>
        <item x="1723"/>
        <item x="1914"/>
        <item x="786"/>
        <item x="2393"/>
        <item x="2328"/>
        <item x="2358"/>
        <item x="656"/>
        <item x="1010"/>
        <item x="443"/>
        <item x="2461"/>
        <item x="897"/>
        <item x="65"/>
        <item x="1015"/>
        <item x="635"/>
        <item x="2705"/>
        <item x="2073"/>
        <item x="1430"/>
        <item x="1970"/>
        <item x="156"/>
        <item x="947"/>
        <item x="1107"/>
        <item x="2589"/>
        <item x="2092"/>
        <item x="1465"/>
        <item x="972"/>
        <item x="2192"/>
        <item x="1008"/>
        <item x="883"/>
        <item x="1986"/>
        <item x="1590"/>
        <item x="404"/>
        <item x="663"/>
        <item x="1242"/>
        <item x="1521"/>
        <item x="1403"/>
        <item x="1490"/>
        <item x="2297"/>
        <item x="1650"/>
        <item x="185"/>
        <item x="728"/>
        <item x="1567"/>
        <item x="1775"/>
        <item x="474"/>
        <item x="1975"/>
        <item x="2755"/>
        <item x="216"/>
        <item x="1945"/>
        <item x="1864"/>
        <item x="1875"/>
        <item x="1980"/>
        <item x="1834"/>
        <item x="2815"/>
        <item x="1749"/>
        <item x="2361"/>
        <item x="146"/>
        <item x="2004"/>
        <item x="2992"/>
        <item x="2325"/>
        <item x="262"/>
        <item x="1115"/>
        <item x="1682"/>
        <item x="556"/>
        <item x="287"/>
        <item x="1752"/>
        <item x="696"/>
        <item x="773"/>
        <item x="2052"/>
        <item x="2293"/>
        <item x="278"/>
        <item x="1724"/>
        <item x="2403"/>
        <item x="2710"/>
        <item x="2333"/>
        <item x="2822"/>
        <item x="416"/>
        <item x="962"/>
        <item x="308"/>
        <item x="1091"/>
        <item x="2598"/>
        <item x="1677"/>
        <item x="513"/>
        <item x="2436"/>
        <item x="1385"/>
        <item x="1320"/>
        <item x="941"/>
        <item x="1732"/>
        <item x="2266"/>
        <item x="1940"/>
        <item x="2012"/>
        <item x="2642"/>
        <item x="1383"/>
        <item x="1374"/>
        <item x="2547"/>
        <item x="16"/>
        <item x="862"/>
        <item x="1006"/>
        <item x="1446"/>
        <item x="2813"/>
        <item x="2804"/>
        <item x="2677"/>
        <item x="2177"/>
        <item x="551"/>
        <item x="1235"/>
        <item x="1323"/>
        <item x="2009"/>
        <item x="2008"/>
        <item x="784"/>
        <item x="1877"/>
        <item x="2484"/>
        <item x="2935"/>
        <item x="176"/>
        <item x="95"/>
        <item x="1407"/>
        <item x="61"/>
        <item x="2504"/>
        <item x="1405"/>
        <item x="1994"/>
        <item x="1939"/>
        <item x="1255"/>
        <item x="1449"/>
        <item x="385"/>
        <item x="2746"/>
        <item x="2476"/>
        <item x="541"/>
        <item x="2086"/>
        <item x="1767"/>
        <item x="1315"/>
        <item x="2998"/>
        <item x="720"/>
        <item x="2829"/>
        <item x="265"/>
        <item x="1617"/>
        <item x="2908"/>
        <item x="2438"/>
        <item x="1879"/>
        <item x="934"/>
        <item x="700"/>
        <item x="1758"/>
        <item x="2099"/>
        <item x="97"/>
        <item x="2797"/>
        <item x="1429"/>
        <item x="1216"/>
        <item x="179"/>
        <item x="974"/>
        <item x="553"/>
        <item x="1125"/>
        <item x="1455"/>
        <item x="2964"/>
        <item x="2210"/>
        <item x="1725"/>
        <item x="2273"/>
        <item x="1459"/>
        <item x="1184"/>
        <item x="2128"/>
        <item x="902"/>
        <item x="1995"/>
        <item x="1998"/>
        <item x="874"/>
        <item x="2570"/>
        <item x="2037"/>
        <item x="1735"/>
        <item x="2713"/>
        <item x="723"/>
        <item x="1392"/>
        <item x="1460"/>
        <item x="297"/>
        <item x="52"/>
        <item x="376"/>
        <item x="627"/>
        <item x="384"/>
        <item x="670"/>
        <item x="1021"/>
        <item x="2151"/>
        <item x="90"/>
        <item x="2732"/>
        <item x="1558"/>
        <item x="2895"/>
        <item x="441"/>
        <item x="1476"/>
        <item x="1357"/>
        <item x="1057"/>
        <item x="456"/>
        <item x="2437"/>
        <item x="1011"/>
        <item x="1545"/>
        <item x="1329"/>
        <item x="772"/>
        <item x="180"/>
        <item x="2218"/>
        <item x="944"/>
        <item x="636"/>
        <item x="1197"/>
        <item x="794"/>
        <item x="2441"/>
        <item x="247"/>
        <item x="498"/>
        <item x="1154"/>
        <item x="2622"/>
        <item x="1589"/>
        <item x="1519"/>
        <item x="2000"/>
        <item x="122"/>
        <item x="2077"/>
        <item x="2430"/>
        <item x="1760"/>
        <item x="1772"/>
        <item x="886"/>
        <item x="2795"/>
        <item x="167"/>
        <item x="210"/>
        <item x="1836"/>
        <item x="2509"/>
        <item x="1743"/>
        <item x="462"/>
        <item x="2048"/>
        <item x="2571"/>
        <item x="1092"/>
        <item x="630"/>
        <item x="1596"/>
        <item x="1389"/>
        <item x="637"/>
        <item x="555"/>
        <item x="1950"/>
        <item x="2762"/>
        <item x="1415"/>
        <item x="1552"/>
        <item x="718"/>
        <item x="2175"/>
        <item x="1157"/>
        <item x="2970"/>
        <item x="121"/>
        <item x="1769"/>
        <item x="360"/>
        <item x="2195"/>
        <item x="2591"/>
        <item x="742"/>
        <item x="597"/>
        <item x="766"/>
        <item x="1958"/>
        <item x="657"/>
        <item x="1798"/>
        <item x="2060"/>
        <item x="2550"/>
        <item x="1269"/>
        <item x="1214"/>
        <item x="2220"/>
        <item x="2133"/>
        <item x="1625"/>
        <item x="2149"/>
        <item x="967"/>
        <item x="478"/>
        <item x="2671"/>
        <item x="331"/>
        <item x="402"/>
        <item x="616"/>
        <item x="1183"/>
        <item x="658"/>
        <item x="2319"/>
        <item x="2058"/>
        <item x="2548"/>
        <item x="1414"/>
        <item x="1223"/>
        <item x="702"/>
        <item x="540"/>
        <item x="1204"/>
        <item x="426"/>
        <item x="2158"/>
        <item x="2668"/>
        <item x="611"/>
        <item x="1753"/>
        <item x="2576"/>
        <item x="475"/>
        <item x="954"/>
        <item x="2181"/>
        <item x="1536"/>
        <item x="1480"/>
        <item x="1222"/>
        <item x="2043"/>
        <item x="2955"/>
        <item x="2281"/>
        <item x="609"/>
        <item x="2391"/>
        <item x="1478"/>
        <item x="1178"/>
        <item x="1509"/>
        <item x="678"/>
        <item x="419"/>
        <item x="2667"/>
        <item x="2082"/>
        <item x="741"/>
        <item x="2275"/>
        <item x="425"/>
        <item x="1916"/>
        <item x="608"/>
        <item x="1451"/>
        <item x="2928"/>
        <item x="857"/>
        <item x="467"/>
        <item x="1420"/>
        <item x="2031"/>
        <item x="745"/>
        <item x="942"/>
        <item x="1561"/>
        <item x="1770"/>
        <item x="2679"/>
        <item x="2781"/>
        <item x="290"/>
        <item x="1094"/>
        <item x="1433"/>
        <item x="2870"/>
        <item x="78"/>
        <item x="2341"/>
        <item x="841"/>
        <item x="2007"/>
        <item x="1419"/>
        <item x="2525"/>
        <item x="2380"/>
        <item x="1748"/>
        <item x="969"/>
        <item x="11"/>
        <item x="776"/>
        <item x="1376"/>
        <item x="2748"/>
        <item x="938"/>
        <item x="1789"/>
        <item x="2564"/>
        <item x="2840"/>
        <item x="2485"/>
        <item x="2117"/>
        <item x="446"/>
        <item x="66"/>
        <item x="1962"/>
        <item x="1436"/>
        <item x="1805"/>
        <item x="2546"/>
        <item x="623"/>
        <item x="852"/>
        <item x="1312"/>
        <item x="1442"/>
        <item x="38"/>
        <item x="2997"/>
        <item x="2214"/>
        <item x="2552"/>
        <item x="33"/>
        <item x="1602"/>
        <item x="2199"/>
        <item x="482"/>
        <item x="2108"/>
        <item x="2451"/>
        <item x="1746"/>
        <item x="277"/>
        <item x="1720"/>
        <item x="2254"/>
        <item x="603"/>
        <item x="444"/>
        <item x="780"/>
        <item x="337"/>
        <item x="2939"/>
        <item x="1785"/>
        <item x="2836"/>
        <item x="1089"/>
        <item x="2114"/>
        <item x="479"/>
        <item x="1497"/>
        <item x="2848"/>
        <item x="1350"/>
        <item x="1501"/>
        <item x="2519"/>
        <item x="2723"/>
        <item x="2960"/>
        <item x="1613"/>
        <item x="2918"/>
        <item x="1697"/>
        <item x="1026"/>
        <item x="2563"/>
        <item x="1327"/>
        <item x="1982"/>
        <item x="1217"/>
        <item x="2374"/>
        <item x="332"/>
        <item x="2894"/>
        <item x="1790"/>
        <item x="2332"/>
        <item x="1729"/>
        <item x="2687"/>
        <item x="403"/>
        <item x="1881"/>
        <item x="2807"/>
        <item x="2640"/>
        <item x="622"/>
        <item x="2922"/>
        <item x="1993"/>
        <item x="1135"/>
        <item x="1098"/>
        <item x="2144"/>
        <item x="705"/>
        <item x="2965"/>
        <item x="2226"/>
        <item x="1693"/>
        <item x="931"/>
        <item x="2383"/>
        <item x="388"/>
        <item x="181"/>
        <item x="2862"/>
        <item x="249"/>
        <item x="1226"/>
        <item x="2771"/>
        <item x="1201"/>
        <item x="2952"/>
        <item x="2839"/>
        <item x="187"/>
        <item x="224"/>
        <item x="2557"/>
        <item x="1583"/>
        <item x="2428"/>
        <item x="999"/>
        <item x="391"/>
        <item x="1985"/>
        <item x="2198"/>
        <item x="1437"/>
        <item x="837"/>
        <item x="275"/>
        <item x="2610"/>
        <item x="341"/>
        <item x="2989"/>
        <item x="2569"/>
        <item x="1321"/>
        <item x="1029"/>
        <item x="387"/>
        <item x="579"/>
        <item x="222"/>
        <item x="1856"/>
        <item x="1410"/>
        <item x="62"/>
        <item x="903"/>
        <item x="584"/>
        <item x="303"/>
        <item x="281"/>
        <item x="159"/>
        <item x="1960"/>
        <item x="1852"/>
        <item x="2788"/>
        <item x="2699"/>
        <item x="2602"/>
        <item x="1793"/>
        <item x="2041"/>
        <item x="1166"/>
        <item x="1909"/>
        <item x="1317"/>
        <item x="2946"/>
        <item x="2852"/>
        <item x="2376"/>
        <item x="1421"/>
        <item x="2789"/>
        <item x="64"/>
        <item x="1129"/>
        <item x="1299"/>
        <item x="2138"/>
        <item x="2880"/>
        <item x="2932"/>
        <item x="1283"/>
        <item x="964"/>
        <item x="2425"/>
        <item x="1999"/>
        <item x="1179"/>
        <item x="1444"/>
        <item x="1250"/>
        <item x="1815"/>
        <item x="799"/>
        <item x="952"/>
        <item x="984"/>
        <item x="2740"/>
        <item x="949"/>
        <item x="600"/>
        <item x="1035"/>
        <item x="2686"/>
        <item x="1238"/>
        <item x="4"/>
        <item x="1964"/>
        <item x="126"/>
        <item x="272"/>
        <item x="2044"/>
        <item x="1594"/>
        <item x="2722"/>
        <item x="207"/>
        <item x="1744"/>
        <item x="2607"/>
        <item x="1045"/>
        <item x="53"/>
        <item x="1275"/>
        <item x="494"/>
        <item x="629"/>
        <item x="1747"/>
        <item x="286"/>
        <item x="2549"/>
        <item x="1272"/>
        <item x="2197"/>
        <item x="431"/>
        <item x="991"/>
        <item x="432"/>
        <item x="638"/>
        <item x="2551"/>
        <item x="2834"/>
        <item x="1796"/>
        <item x="1963"/>
        <item x="84"/>
        <item x="333"/>
        <item x="992"/>
        <item x="230"/>
        <item x="2395"/>
        <item x="598"/>
        <item x="1388"/>
        <item x="2565"/>
        <item x="148"/>
        <item x="684"/>
        <item x="530"/>
        <item x="1118"/>
        <item x="2059"/>
        <item x="906"/>
        <item x="1277"/>
        <item x="2760"/>
        <item x="607"/>
        <item x="1751"/>
        <item x="1614"/>
        <item x="182"/>
        <item x="2739"/>
        <item x="201"/>
        <item x="2618"/>
        <item x="206"/>
        <item x="1867"/>
        <item x="466"/>
        <item x="688"/>
        <item x="1332"/>
        <item x="1835"/>
        <item x="106"/>
        <item x="1305"/>
        <item x="22"/>
        <item x="2921"/>
        <item x="223"/>
        <item x="706"/>
        <item x="1818"/>
        <item x="724"/>
        <item x="1422"/>
        <item x="1936"/>
        <item x="1124"/>
        <item x="1695"/>
        <item x="1577"/>
        <item x="449"/>
        <item x="2819"/>
        <item x="1739"/>
        <item x="1369"/>
        <item x="878"/>
        <item x="2920"/>
        <item x="764"/>
        <item x="1330"/>
        <item x="1609"/>
        <item x="985"/>
        <item x="2394"/>
        <item x="2634"/>
        <item x="1906"/>
        <item x="2702"/>
        <item x="2033"/>
        <item x="32"/>
        <item x="178"/>
        <item x="1192"/>
        <item x="1371"/>
        <item x="2378"/>
        <item x="1843"/>
        <item x="2725"/>
        <item x="2555"/>
        <item x="1400"/>
        <item x="950"/>
        <item x="1894"/>
        <item x="2373"/>
        <item x="2635"/>
        <item x="1264"/>
        <item x="1185"/>
        <item x="1542"/>
        <item x="1604"/>
        <item x="351"/>
        <item x="2241"/>
        <item x="946"/>
        <item x="847"/>
        <item x="1257"/>
        <item x="2020"/>
        <item x="1615"/>
        <item x="2692"/>
        <item x="2612"/>
        <item x="343"/>
        <item x="1340"/>
        <item x="2179"/>
        <item x="370"/>
        <item x="905"/>
        <item x="2506"/>
        <item x="2517"/>
        <item x="2657"/>
        <item x="1913"/>
        <item x="1049"/>
        <item x="1000"/>
        <item x="2088"/>
        <item x="2410"/>
        <item x="1631"/>
        <item x="1341"/>
        <item x="131"/>
        <item x="1116"/>
        <item x="2690"/>
        <item x="2585"/>
        <item x="712"/>
        <item x="2331"/>
        <item x="2535"/>
        <item x="631"/>
        <item x="2468"/>
        <item x="199"/>
        <item x="91"/>
        <item x="1996"/>
        <item x="2345"/>
        <item x="2919"/>
        <item x="1428"/>
        <item x="260"/>
        <item x="882"/>
        <item x="2572"/>
        <item x="1512"/>
        <item x="2846"/>
        <item x="1386"/>
        <item x="2040"/>
        <item x="392"/>
        <item x="2733"/>
        <item x="1637"/>
        <item x="72"/>
        <item x="2931"/>
        <item x="2127"/>
        <item x="2282"/>
        <item x="2449"/>
        <item x="1144"/>
        <item x="2091"/>
        <item x="594"/>
        <item x="1355"/>
        <item x="570"/>
        <item x="1543"/>
        <item x="73"/>
        <item x="2630"/>
        <item x="1188"/>
        <item x="2280"/>
        <item x="2429"/>
        <item x="2719"/>
        <item x="2440"/>
        <item x="2986"/>
        <item x="1331"/>
        <item x="1119"/>
        <item x="472"/>
        <item x="1024"/>
        <item x="986"/>
        <item x="2053"/>
        <item x="349"/>
        <item x="1253"/>
        <item x="1031"/>
        <item x="2426"/>
        <item x="1145"/>
        <item x="2650"/>
        <item x="406"/>
        <item x="1943"/>
        <item x="1394"/>
        <item x="1646"/>
        <item x="1636"/>
        <item x="655"/>
        <item x="945"/>
        <item x="421"/>
        <item x="876"/>
        <item x="2405"/>
        <item x="2208"/>
        <item x="2063"/>
        <item x="1284"/>
        <item x="2530"/>
        <item x="1165"/>
        <item x="46"/>
        <item x="2251"/>
        <item x="1169"/>
        <item x="1823"/>
        <item x="1273"/>
        <item x="198"/>
        <item x="1628"/>
        <item x="814"/>
        <item x="2605"/>
        <item x="2891"/>
        <item x="2566"/>
        <item x="2350"/>
        <item x="280"/>
        <item x="2183"/>
        <item x="204"/>
        <item x="1807"/>
        <item x="641"/>
        <item x="2720"/>
        <item x="1529"/>
        <item x="2561"/>
        <item x="2655"/>
        <item x="1662"/>
        <item x="507"/>
        <item x="2871"/>
        <item x="2458"/>
        <item x="2608"/>
        <item x="227"/>
        <item x="200"/>
        <item x="2019"/>
        <item x="2831"/>
        <item x="2959"/>
        <item x="1401"/>
        <item x="1824"/>
        <item x="1287"/>
        <item x="1093"/>
        <item x="2155"/>
        <item x="1698"/>
        <item x="2115"/>
        <item x="301"/>
        <item x="1534"/>
        <item x="2105"/>
        <item x="2186"/>
        <item x="2211"/>
        <item x="1684"/>
        <item x="1779"/>
        <item x="273"/>
        <item x="2188"/>
        <item x="102"/>
        <item x="2121"/>
        <item x="154"/>
        <item x="1473"/>
        <item x="458"/>
        <item x="2864"/>
        <item x="2943"/>
        <item x="1822"/>
        <item x="480"/>
        <item x="2887"/>
        <item x="2109"/>
        <item x="1600"/>
        <item x="40"/>
        <item x="1209"/>
        <item x="2299"/>
        <item x="1106"/>
        <item x="1494"/>
        <item x="2067"/>
        <item x="335"/>
        <item x="2132"/>
        <item x="2337"/>
        <item x="1654"/>
        <item x="2245"/>
        <item x="2022"/>
        <item x="2021"/>
        <item x="2518"/>
        <item x="94"/>
        <item x="1612"/>
        <item x="708"/>
        <item x="330"/>
        <item x="1081"/>
        <item x="184"/>
        <item x="1335"/>
        <item x="1319"/>
        <item x="1240"/>
        <item x="884"/>
        <item x="2726"/>
        <item x="2090"/>
        <item x="1207"/>
        <item x="251"/>
        <item x="1903"/>
        <item x="285"/>
        <item x="1168"/>
        <item x="2463"/>
        <item x="2232"/>
        <item x="2401"/>
        <item x="2512"/>
        <item x="751"/>
        <item x="1941"/>
        <item x="2085"/>
        <item x="12"/>
        <item x="1338"/>
        <item x="1892"/>
        <item x="322"/>
        <item x="1110"/>
        <item x="2207"/>
        <item x="729"/>
        <item x="1244"/>
        <item x="42"/>
        <item x="2228"/>
        <item x="367"/>
        <item x="2206"/>
        <item x="576"/>
        <item x="326"/>
        <item x="71"/>
        <item x="2982"/>
        <item x="788"/>
        <item x="558"/>
        <item x="719"/>
        <item x="395"/>
        <item x="1065"/>
        <item x="2882"/>
        <item x="399"/>
        <item x="288"/>
        <item x="2434"/>
        <item x="2312"/>
        <item x="1730"/>
        <item x="2855"/>
        <item x="1644"/>
        <item x="1712"/>
        <item x="1495"/>
        <item x="1653"/>
        <item x="1313"/>
        <item x="1203"/>
        <item x="1675"/>
        <item x="1559"/>
        <item x="1285"/>
        <item x="996"/>
        <item x="2180"/>
        <item x="681"/>
        <item x="9"/>
        <item x="2514"/>
        <item x="2944"/>
        <item x="2678"/>
        <item x="1043"/>
        <item x="163"/>
        <item x="2209"/>
        <item x="1448"/>
        <item x="2779"/>
        <item x="2447"/>
        <item x="2235"/>
        <item x="2949"/>
        <item x="276"/>
        <item x="457"/>
        <item x="2876"/>
        <item x="2070"/>
        <item x="926"/>
        <item x="868"/>
        <item x="816"/>
        <item x="2633"/>
        <item x="358"/>
        <item x="2994"/>
        <item x="2907"/>
        <item x="2265"/>
        <item x="675"/>
        <item x="1773"/>
        <item x="676"/>
        <item x="2735"/>
        <item x="2534"/>
        <item x="427"/>
        <item x="221"/>
        <item x="1267"/>
        <item x="1946"/>
        <item x="2654"/>
        <item x="1237"/>
        <item x="1360"/>
        <item x="725"/>
        <item x="1351"/>
        <item x="2613"/>
        <item x="1643"/>
        <item x="433"/>
        <item x="916"/>
        <item x="2452"/>
        <item x="108"/>
        <item x="1944"/>
        <item x="1829"/>
        <item x="990"/>
        <item x="1030"/>
        <item x="1570"/>
        <item x="866"/>
        <item x="2999"/>
        <item x="2574"/>
        <item x="2962"/>
        <item x="2963"/>
        <item x="319"/>
        <item x="1632"/>
        <item x="1702"/>
        <item x="1525"/>
        <item x="110"/>
        <item x="2411"/>
        <item x="802"/>
        <item x="1968"/>
        <item x="956"/>
        <item x="2400"/>
        <item x="2135"/>
        <item x="2413"/>
        <item x="1728"/>
        <item x="2825"/>
        <item x="1859"/>
        <item x="2752"/>
        <item x="2806"/>
        <item x="2472"/>
        <item x="2164"/>
        <item x="665"/>
        <item x="889"/>
        <item x="1983"/>
        <item x="2703"/>
        <item x="2459"/>
        <item x="2246"/>
        <item x="2422"/>
        <item x="1282"/>
        <item x="1736"/>
        <item x="1170"/>
        <item x="1406"/>
        <item x="1850"/>
        <item x="1825"/>
        <item x="1048"/>
        <item x="1810"/>
        <item x="2407"/>
        <item x="485"/>
        <item x="2013"/>
        <item x="1799"/>
        <item x="111"/>
        <item x="209"/>
        <item x="560"/>
        <item x="1873"/>
        <item x="1991"/>
        <item x="1062"/>
        <item x="1673"/>
        <item x="1514"/>
        <item x="1951"/>
        <item x="68"/>
        <item x="1213"/>
        <item x="1246"/>
        <item x="2156"/>
        <item x="1921"/>
        <item x="2318"/>
        <item x="801"/>
        <item x="1974"/>
        <item x="644"/>
        <item x="1515"/>
        <item x="241"/>
        <item x="254"/>
        <item x="619"/>
        <item x="743"/>
        <item x="2892"/>
        <item x="890"/>
        <item x="1740"/>
        <item x="2295"/>
        <item x="1328"/>
        <item x="1668"/>
        <item x="2145"/>
        <item x="2387"/>
        <item x="1538"/>
        <item x="614"/>
        <item x="344"/>
        <item x="2065"/>
        <item x="292"/>
        <item x="1344"/>
        <item x="2736"/>
        <item x="2603"/>
        <item x="2417"/>
        <item x="2538"/>
        <item x="2113"/>
        <item x="1953"/>
        <item x="2258"/>
        <item x="2277"/>
        <item x="2497"/>
        <item x="1701"/>
        <item x="1971"/>
        <item x="918"/>
        <item x="1113"/>
        <item x="908"/>
        <item x="1061"/>
        <item x="461"/>
        <item x="1774"/>
        <item x="1019"/>
        <item x="1202"/>
        <item x="1069"/>
        <item x="549"/>
        <item x="155"/>
        <item x="2074"/>
        <item x="1314"/>
        <item x="2653"/>
        <item x="2412"/>
        <item x="1901"/>
        <item x="2120"/>
        <item x="114"/>
        <item x="137"/>
        <item x="1146"/>
        <item x="2196"/>
        <item x="1642"/>
        <item x="1220"/>
        <item x="468"/>
        <item x="1955"/>
        <item x="2521"/>
        <item x="2045"/>
        <item x="1574"/>
        <item x="1707"/>
        <item x="919"/>
        <item x="1040"/>
        <item x="1037"/>
        <item x="380"/>
        <item x="1218"/>
        <item x="1086"/>
        <item x="2799"/>
        <item x="1354"/>
        <item x="2203"/>
        <item x="1105"/>
        <item x="2983"/>
        <item x="2140"/>
        <item x="2987"/>
        <item x="150"/>
        <item x="2215"/>
        <item x="2268"/>
        <item x="2599"/>
        <item x="119"/>
        <item x="1066"/>
        <item x="1676"/>
        <item x="1397"/>
        <item x="1150"/>
        <item x="1900"/>
        <item x="983"/>
        <item x="2399"/>
        <item x="2427"/>
        <item x="1276"/>
        <item x="1845"/>
        <item x="1322"/>
        <item x="1440"/>
        <item x="2973"/>
        <item x="2843"/>
        <item x="1813"/>
        <item x="29"/>
        <item x="305"/>
        <item x="1706"/>
        <item x="1649"/>
        <item x="2620"/>
        <item x="434"/>
        <item x="1112"/>
        <item x="1931"/>
        <item x="1215"/>
        <item x="2985"/>
        <item x="596"/>
        <item x="930"/>
        <item x="1786"/>
        <item x="1611"/>
        <item x="659"/>
        <item x="2508"/>
        <item x="721"/>
        <item x="1704"/>
        <item x="1987"/>
        <item x="43"/>
        <item x="2486"/>
        <item x="1763"/>
        <item x="2442"/>
        <item x="1912"/>
        <item x="2747"/>
        <item x="289"/>
        <item x="861"/>
        <item x="19"/>
        <item x="228"/>
        <item x="1685"/>
        <item x="1142"/>
        <item x="63"/>
        <item x="722"/>
        <item x="2684"/>
        <item x="2680"/>
        <item x="1868"/>
        <item x="813"/>
        <item x="1324"/>
        <item x="240"/>
        <item x="2445"/>
        <item x="36"/>
        <item x="202"/>
        <item x="2737"/>
        <item x="2083"/>
        <item x="848"/>
        <item x="1265"/>
        <item x="2631"/>
        <item x="80"/>
        <item x="1826"/>
        <item x="2348"/>
        <item x="2523"/>
        <item x="2213"/>
        <item x="59"/>
        <item x="1408"/>
        <item x="1678"/>
        <item x="2778"/>
        <item x="2902"/>
        <item x="471"/>
        <item x="1380"/>
        <item x="892"/>
        <item x="464"/>
        <item x="1014"/>
        <item x="871"/>
        <item x="2614"/>
        <item x="407"/>
        <item x="2978"/>
        <item x="580"/>
        <item x="1922"/>
        <item x="1738"/>
        <item x="1468"/>
        <item x="2262"/>
        <item x="2587"/>
        <item x="842"/>
        <item x="473"/>
        <item x="1247"/>
        <item x="1679"/>
        <item x="256"/>
        <item x="851"/>
        <item x="211"/>
        <item x="2119"/>
        <item x="1196"/>
        <item x="101"/>
        <item x="2356"/>
        <item x="534"/>
        <item x="1109"/>
        <item x="2877"/>
        <item x="2139"/>
        <item x="2636"/>
        <item x="1908"/>
        <item x="1550"/>
        <item x="1101"/>
        <item x="1230"/>
        <item x="1780"/>
        <item x="1700"/>
        <item x="2938"/>
        <item x="531"/>
        <item x="994"/>
        <item x="1016"/>
        <item x="267"/>
        <item x="1155"/>
        <item x="2477"/>
        <item x="1498"/>
        <item x="1131"/>
        <item x="1689"/>
        <item x="1293"/>
        <item x="692"/>
        <item x="525"/>
        <item x="1792"/>
        <item x="1398"/>
        <item x="2465"/>
        <item x="2202"/>
        <item x="125"/>
        <item x="1911"/>
        <item x="2055"/>
        <item x="2301"/>
        <item x="2287"/>
        <item x="1893"/>
        <item x="2899"/>
        <item x="2700"/>
        <item x="782"/>
        <item x="1861"/>
        <item x="1846"/>
        <item x="1957"/>
        <item x="1334"/>
        <item x="213"/>
        <item x="1441"/>
        <item x="1882"/>
        <item x="2170"/>
        <item x="1167"/>
        <item x="1487"/>
        <item x="248"/>
        <item x="1435"/>
        <item x="1878"/>
        <item x="2500"/>
        <item x="1301"/>
        <item x="872"/>
        <item x="2988"/>
        <item x="124"/>
        <item x="863"/>
        <item x="1036"/>
        <item x="880"/>
        <item x="633"/>
        <item x="1683"/>
        <item x="2802"/>
        <item x="47"/>
        <item x="1918"/>
        <item x="2304"/>
        <item x="1895"/>
        <item x="58"/>
        <item x="1990"/>
        <item x="674"/>
        <item x="1418"/>
        <item x="1402"/>
        <item x="2250"/>
        <item x="477"/>
        <item x="2097"/>
        <item x="1077"/>
        <item x="1416"/>
        <item x="1787"/>
        <item x="2811"/>
        <item x="2767"/>
        <item x="2516"/>
        <item x="2674"/>
        <item x="128"/>
        <item x="123"/>
        <item x="716"/>
        <item x="2539"/>
        <item x="1126"/>
        <item x="282"/>
        <item x="2968"/>
        <item x="1819"/>
        <item x="2404"/>
        <item x="1227"/>
        <item x="1290"/>
        <item x="2863"/>
        <item x="2309"/>
        <item x="511"/>
        <item x="208"/>
        <item x="1393"/>
        <item x="2330"/>
        <item x="1599"/>
        <item x="1718"/>
        <item x="1648"/>
        <item x="2372"/>
        <item x="2294"/>
        <item x="1938"/>
        <item x="686"/>
        <item x="739"/>
        <item x="2423"/>
        <item x="2835"/>
        <item x="476"/>
        <item x="129"/>
        <item x="2466"/>
        <item x="1148"/>
        <item x="2623"/>
        <item x="2448"/>
        <item x="2930"/>
        <item x="664"/>
        <item x="496"/>
        <item x="689"/>
        <item x="1458"/>
        <item x="2"/>
        <item x="436"/>
        <item x="867"/>
        <item x="1044"/>
        <item x="2838"/>
        <item x="2996"/>
        <item x="2927"/>
        <item x="133"/>
        <item x="583"/>
        <item x="1111"/>
        <item x="2264"/>
        <item x="470"/>
        <item x="266"/>
        <item x="1404"/>
        <item x="1382"/>
        <item x="522"/>
        <item x="2827"/>
        <item x="774"/>
        <item x="2536"/>
        <item x="2446"/>
        <item x="697"/>
        <item x="639"/>
        <item x="2276"/>
        <item x="520"/>
        <item x="647"/>
        <item x="445"/>
        <item x="1833"/>
        <item x="2335"/>
        <item x="394"/>
        <item x="1085"/>
        <item x="1481"/>
        <item x="57"/>
        <item x="2379"/>
        <item x="811"/>
        <item x="1046"/>
        <item x="989"/>
        <item x="2609"/>
        <item x="2503"/>
        <item x="1395"/>
        <item x="2757"/>
        <item x="2936"/>
        <item x="437"/>
        <item x="1055"/>
        <item x="215"/>
        <item x="1814"/>
        <item x="2424"/>
        <item x="1452"/>
        <item x="893"/>
        <item x="1225"/>
        <item x="913"/>
        <item x="2456"/>
        <item x="1966"/>
        <item x="2225"/>
        <item x="2498"/>
        <item x="2204"/>
        <item x="1195"/>
        <item x="758"/>
        <item x="2670"/>
        <item x="2431"/>
        <item x="138"/>
        <item x="1832"/>
        <item x="1172"/>
        <item x="2883"/>
        <item x="1933"/>
        <item x="817"/>
        <item x="1593"/>
        <item x="1848"/>
        <item x="2977"/>
        <item x="2491"/>
        <item x="1475"/>
        <item x="2961"/>
        <item x="2173"/>
        <item x="2897"/>
        <item x="2803"/>
        <item x="2316"/>
        <item x="652"/>
        <item x="2420"/>
        <item x="2821"/>
        <item x="2047"/>
        <item x="2592"/>
        <item x="634"/>
        <item x="2039"/>
        <item x="2014"/>
        <item x="60"/>
        <item x="1248"/>
        <item x="2064"/>
        <item x="2354"/>
        <item x="44"/>
        <item x="503"/>
        <item x="2826"/>
        <item x="372"/>
        <item x="1976"/>
        <item x="568"/>
        <item x="438"/>
        <item x="567"/>
        <item x="408"/>
        <item x="1713"/>
        <item x="2193"/>
        <item x="1140"/>
        <item x="740"/>
        <item x="1138"/>
        <item x="1544"/>
        <item x="1342"/>
        <item x="829"/>
        <item x="2257"/>
        <item x="2347"/>
        <item x="951"/>
        <item x="1307"/>
        <item x="1606"/>
        <item x="1080"/>
        <item x="505"/>
        <item x="673"/>
        <item x="1236"/>
        <item x="2744"/>
        <item x="451"/>
        <item x="2080"/>
        <item x="589"/>
        <item x="2860"/>
        <item x="1373"/>
        <item x="1705"/>
        <item x="1791"/>
        <item x="2283"/>
        <item x="855"/>
        <item x="172"/>
        <item x="839"/>
        <item x="2672"/>
        <item x="2984"/>
        <item x="0"/>
        <item x="625"/>
        <item x="1661"/>
        <item x="2271"/>
        <item x="2157"/>
        <item x="363"/>
        <item x="218"/>
        <item x="823"/>
        <item x="543"/>
        <item x="2691"/>
        <item x="1886"/>
        <item x="2742"/>
        <item x="295"/>
        <item x="797"/>
        <item x="1447"/>
        <item x="1505"/>
        <item x="2390"/>
        <item x="698"/>
        <item x="562"/>
        <item x="105"/>
        <item x="1816"/>
        <item x="749"/>
        <item x="2810"/>
        <item x="1539"/>
        <item x="2845"/>
        <item x="2596"/>
        <item x="925"/>
        <item x="2874"/>
        <item x="2801"/>
        <item x="566"/>
        <item x="1847"/>
        <item x="885"/>
        <item x="2784"/>
        <item x="420"/>
        <item x="1071"/>
        <item x="2163"/>
        <item x="486"/>
        <item x="662"/>
        <item x="2029"/>
        <item x="2317"/>
        <item x="2568"/>
        <item x="1853"/>
        <item x="37"/>
        <item x="887"/>
        <item x="253"/>
        <item x="191"/>
        <item x="10"/>
        <item x="2583"/>
        <item x="1618"/>
        <item x="2573"/>
        <item x="809"/>
        <item x="1063"/>
        <item x="1587"/>
        <item x="921"/>
        <item x="147"/>
        <item x="504"/>
        <item x="1130"/>
        <item x="1"/>
        <item x="1691"/>
        <item x="845"/>
        <item x="2315"/>
        <item x="1088"/>
        <item x="1417"/>
        <item x="465"/>
        <item x="2126"/>
        <item x="2352"/>
        <item x="279"/>
        <item x="2769"/>
        <item x="5"/>
        <item x="2524"/>
        <item x="2770"/>
        <item x="2578"/>
        <item x="112"/>
        <item x="2443"/>
        <item x="713"/>
        <item x="2182"/>
        <item x="537"/>
        <item x="2824"/>
        <item x="2189"/>
        <item x="2217"/>
        <item x="2286"/>
        <item x="306"/>
        <item x="654"/>
        <item x="2510"/>
        <item x="2721"/>
        <item x="460"/>
        <item x="792"/>
        <item x="2809"/>
        <item x="677"/>
        <item x="2627"/>
        <item x="2741"/>
        <item x="255"/>
        <item x="1854"/>
        <item x="2853"/>
        <item x="270"/>
        <item x="1051"/>
        <item x="1803"/>
        <item x="1496"/>
        <item x="2231"/>
        <item x="508"/>
        <item x="76"/>
        <item x="699"/>
        <item x="2837"/>
        <item x="2389"/>
        <item x="2916"/>
        <item x="2310"/>
        <item x="1533"/>
        <item x="1243"/>
        <item x="2756"/>
        <item x="92"/>
        <item x="1041"/>
        <item x="48"/>
        <item x="2162"/>
        <item x="815"/>
        <item x="225"/>
        <item x="130"/>
        <item x="1669"/>
        <item x="1156"/>
        <item x="1719"/>
        <item x="2095"/>
        <item x="242"/>
        <item x="2421"/>
        <item x="412"/>
        <item x="761"/>
        <item x="1182"/>
        <item x="1851"/>
        <item x="1457"/>
        <item x="1499"/>
        <item x="2435"/>
        <item x="1965"/>
        <item x="1821"/>
        <item x="1336"/>
        <item x="1477"/>
        <item x="2661"/>
        <item x="1471"/>
        <item x="2909"/>
        <item x="1876"/>
        <item x="1954"/>
        <item x="442"/>
        <item x="1817"/>
        <item x="2496"/>
        <item x="499"/>
        <item x="127"/>
        <item x="2875"/>
        <item x="1660"/>
        <item x="1347"/>
        <item x="532"/>
        <item x="1289"/>
        <item x="2290"/>
        <item x="2078"/>
        <item x="2136"/>
        <item x="1781"/>
        <item x="2886"/>
        <item x="539"/>
        <item x="545"/>
        <item x="359"/>
        <item x="2305"/>
        <item x="2611"/>
        <item x="2881"/>
        <item x="1379"/>
        <item x="1690"/>
        <item x="1800"/>
        <item x="2979"/>
        <item x="117"/>
        <item x="585"/>
        <item x="2001"/>
        <item x="785"/>
        <item x="2200"/>
        <item x="2923"/>
        <item x="1645"/>
        <item x="1727"/>
        <item x="1508"/>
        <item x="135"/>
        <item x="1205"/>
        <item x="2024"/>
        <item x="569"/>
        <item x="856"/>
        <item x="361"/>
        <item x="219"/>
        <item x="1883"/>
        <item x="521"/>
        <item x="1564"/>
        <item x="2796"/>
        <item x="1575"/>
        <item x="1123"/>
        <item x="621"/>
        <item x="1004"/>
        <item x="2357"/>
        <item x="2270"/>
        <item x="957"/>
        <item x="533"/>
        <item x="299"/>
        <item x="1186"/>
        <item x="1288"/>
        <item x="232"/>
        <item x="1136"/>
        <item x="2750"/>
        <item x="2087"/>
        <item x="423"/>
        <item x="1932"/>
        <item x="2761"/>
        <item x="2541"/>
        <item x="2507"/>
        <item x="1174"/>
        <item x="970"/>
        <item x="2480"/>
        <item x="236"/>
        <item x="917"/>
        <item x="1651"/>
        <item x="1672"/>
        <item x="1171"/>
        <item x="491"/>
        <item x="1228"/>
        <item x="405"/>
        <item x="28"/>
        <item x="1439"/>
        <item x="342"/>
        <item x="898"/>
        <item x="998"/>
        <item x="14"/>
        <item x="968"/>
        <item x="687"/>
        <item x="414"/>
        <item x="70"/>
        <item x="1104"/>
        <item x="347"/>
        <item x="783"/>
        <item x="2056"/>
        <item x="1541"/>
        <item x="1210"/>
        <item x="321"/>
        <item x="581"/>
        <item x="2707"/>
        <item x="1033"/>
        <item x="2397"/>
        <item x="2941"/>
        <item x="190"/>
        <item x="1633"/>
        <item x="1510"/>
        <item x="77"/>
        <item x="161"/>
        <item x="323"/>
        <item x="1396"/>
        <item x="328"/>
        <item x="1286"/>
        <item x="2467"/>
        <item x="2010"/>
        <item x="835"/>
        <item x="1425"/>
        <item x="651"/>
        <item x="100"/>
        <item x="2505"/>
        <item x="1656"/>
        <item x="2049"/>
        <item x="1025"/>
        <item x="2830"/>
        <item x="1855"/>
        <item x="239"/>
        <item x="904"/>
        <item x="1608"/>
        <item x="2731"/>
        <item x="205"/>
        <item x="375"/>
        <item x="807"/>
        <item x="793"/>
        <item x="1865"/>
        <item x="193"/>
        <item x="379"/>
        <item x="307"/>
        <item x="1731"/>
        <item x="1872"/>
        <item x="2385"/>
        <item x="1520"/>
        <item x="141"/>
        <item x="69"/>
        <item x="1224"/>
        <item x="2615"/>
        <item x="1270"/>
        <item x="940"/>
        <item x="524"/>
        <item x="293"/>
        <item x="821"/>
        <item x="2501"/>
        <item x="1759"/>
        <item x="2791"/>
        <item x="1516"/>
        <item x="214"/>
        <item x="1102"/>
        <item x="1766"/>
        <item x="582"/>
        <item x="2772"/>
        <item x="523"/>
        <item x="453"/>
        <item x="2098"/>
        <item x="987"/>
        <item x="317"/>
        <item x="1887"/>
        <item x="2758"/>
        <item x="2185"/>
        <item x="778"/>
        <item x="2676"/>
        <item x="804"/>
        <item x="115"/>
        <item x="2560"/>
        <item x="2967"/>
        <item x="2696"/>
        <item x="1756"/>
        <item x="561"/>
        <item x="104"/>
        <item x="2644"/>
        <item x="891"/>
        <item x="1889"/>
        <item x="2664"/>
        <item x="1090"/>
        <item x="953"/>
        <item x="1904"/>
        <item x="2240"/>
        <item x="2178"/>
        <item x="1546"/>
        <item x="246"/>
        <item x="2893"/>
        <item x="1745"/>
        <item x="808"/>
        <item x="1907"/>
        <item x="2375"/>
        <item x="1603"/>
        <item x="591"/>
        <item x="2905"/>
        <item x="770"/>
        <item x="2130"/>
        <item x="1164"/>
        <item x="787"/>
        <item x="691"/>
        <item x="23"/>
        <item x="710"/>
        <item x="196"/>
        <item x="2460"/>
        <item x="2689"/>
        <item x="1070"/>
        <item x="422"/>
        <item x="512"/>
        <item x="643"/>
        <item x="2898"/>
        <item x="1084"/>
        <item x="1064"/>
        <item x="2808"/>
        <item x="1193"/>
        <item x="1584"/>
        <item x="1262"/>
        <item x="348"/>
        <item x="747"/>
        <item x="1659"/>
        <item x="2925"/>
        <item x="2176"/>
        <item x="2018"/>
        <item x="231"/>
        <item x="750"/>
        <item x="26"/>
        <item x="2972"/>
        <item x="1782"/>
        <item x="1820"/>
        <item x="2711"/>
        <item x="849"/>
        <item x="1511"/>
        <item x="2850"/>
        <item x="920"/>
        <item x="2915"/>
        <item x="737"/>
        <item x="2028"/>
        <item x="1325"/>
        <item x="1716"/>
        <item x="2129"/>
        <item x="2340"/>
        <item x="175"/>
        <item x="2594"/>
        <item x="526"/>
        <item x="2336"/>
        <item x="2100"/>
        <item x="2229"/>
        <item x="1910"/>
        <item x="1352"/>
        <item x="2786"/>
        <item x="2102"/>
        <item x="1896"/>
        <item x="825"/>
        <item x="314"/>
        <item x="2673"/>
        <item x="311"/>
        <item x="424"/>
        <item x="960"/>
        <item x="1189"/>
        <item x="2346"/>
        <item x="2764"/>
        <item x="25"/>
        <item x="516"/>
        <item x="1007"/>
        <item x="1431"/>
        <item x="2201"/>
        <item x="2046"/>
        <item x="1622"/>
        <item x="528"/>
        <item x="2616"/>
        <item x="1013"/>
        <item x="2753"/>
        <item x="853"/>
        <item x="590"/>
        <item x="2971"/>
        <item x="2455"/>
        <item x="711"/>
        <item x="1075"/>
        <item x="447"/>
        <item x="1038"/>
        <item x="1018"/>
        <item x="2872"/>
        <item x="2854"/>
        <item x="393"/>
        <item x="2285"/>
        <item x="1303"/>
        <item x="1919"/>
        <item x="1346"/>
        <item x="1232"/>
        <item x="237"/>
        <item x="381"/>
        <item x="2906"/>
        <item x="1292"/>
        <item x="490"/>
        <item x="1655"/>
        <item x="1364"/>
        <item x="39"/>
        <item x="1572"/>
        <item x="1671"/>
        <item x="982"/>
        <item x="1641"/>
        <item x="1530"/>
        <item x="1888"/>
        <item x="966"/>
        <item x="2475"/>
        <item x="162"/>
        <item x="2323"/>
        <item x="819"/>
        <item x="2910"/>
        <item x="302"/>
        <item x="937"/>
        <item x="212"/>
        <item x="2924"/>
        <item x="911"/>
        <item x="396"/>
        <item x="2754"/>
        <item x="744"/>
        <item x="492"/>
        <item x="927"/>
        <item x="27"/>
        <item x="777"/>
        <item x="1658"/>
        <item x="572"/>
        <item x="2954"/>
        <item x="1928"/>
        <item x="2343"/>
        <item x="86"/>
        <item x="7"/>
        <item x="1978"/>
        <item x="909"/>
        <item x="489"/>
        <item x="2362"/>
        <item x="1607"/>
        <item x="753"/>
        <item x="310"/>
        <item x="2272"/>
        <item x="704"/>
        <item x="2320"/>
        <item x="300"/>
        <item x="2396"/>
        <item x="353"/>
        <item x="1586"/>
        <item x="1566"/>
        <item x="1890"/>
        <item x="192"/>
        <item x="93"/>
        <item x="695"/>
        <item x="2683"/>
        <item x="2641"/>
        <item x="2384"/>
        <item x="2562"/>
        <item x="2879"/>
        <item x="1930"/>
        <item x="1997"/>
        <item x="922"/>
        <item x="648"/>
        <item x="2606"/>
        <item x="99"/>
        <item x="2527"/>
        <item x="259"/>
        <item x="2171"/>
        <item x="1513"/>
        <item x="2141"/>
        <item x="1726"/>
        <item x="2934"/>
        <item x="2166"/>
        <item x="832"/>
        <item x="1665"/>
        <item x="2917"/>
        <item x="1680"/>
        <item x="1842"/>
        <item x="2884"/>
        <item x="1489"/>
        <item x="865"/>
        <item x="2487"/>
        <item x="312"/>
        <item x="2745"/>
        <item x="1569"/>
        <item x="2167"/>
        <item x="2856"/>
        <item x="1556"/>
        <item x="235"/>
        <item x="1056"/>
        <item x="87"/>
        <item x="1296"/>
        <item x="1503"/>
        <item x="1068"/>
        <item x="1797"/>
        <item x="1554"/>
        <item x="1935"/>
        <item x="186"/>
        <item x="1714"/>
        <item x="1137"/>
        <item x="1304"/>
        <item x="164"/>
        <item x="2152"/>
        <item x="2714"/>
        <item x="1885"/>
        <item x="1001"/>
        <item x="386"/>
        <item x="907"/>
        <item x="2495"/>
        <item x="2416"/>
        <item x="378"/>
        <item x="2011"/>
        <item x="171"/>
        <item x="1143"/>
        <item x="1709"/>
        <item x="2866"/>
        <item x="2344"/>
        <item x="418"/>
        <item x="362"/>
        <item x="2581"/>
        <item x="2579"/>
        <item x="1306"/>
        <item x="527"/>
        <item x="1831"/>
        <item x="1281"/>
        <item x="1737"/>
        <item x="2818"/>
        <item x="1362"/>
        <item x="1427"/>
        <item x="151"/>
        <item x="149"/>
        <item x="731"/>
        <item x="2904"/>
        <item x="2409"/>
        <item x="1784"/>
        <item x="1923"/>
        <item x="2833"/>
        <item x="2371"/>
        <item x="1252"/>
        <item x="415"/>
        <item x="67"/>
        <item x="1141"/>
        <item x="1961"/>
        <item x="345"/>
        <item x="763"/>
        <item x="2888"/>
        <item x="430"/>
        <item x="283"/>
        <item x="1686"/>
        <item x="1827"/>
        <item x="1537"/>
        <item x="1670"/>
        <item x="2868"/>
        <item x="1002"/>
        <item x="1108"/>
        <item x="1605"/>
        <item x="858"/>
        <item x="1592"/>
        <item x="1079"/>
        <item x="2050"/>
        <item x="1423"/>
        <item x="334"/>
        <item x="1095"/>
        <item x="1934"/>
        <item x="1948"/>
        <item x="174"/>
        <item x="2706"/>
        <item x="1524"/>
        <item x="2685"/>
        <item x="1597"/>
        <item x="2042"/>
        <item x="401"/>
        <item x="2418"/>
        <item x="2360"/>
        <item x="1424"/>
        <item x="894"/>
        <item x="1039"/>
        <item x="2288"/>
        <item x="831"/>
        <item x="1059"/>
        <item x="901"/>
        <item x="2172"/>
        <item x="775"/>
        <item x="2066"/>
        <item x="642"/>
        <item x="2168"/>
        <item x="250"/>
        <item x="1279"/>
        <item x="1310"/>
        <item x="338"/>
        <item x="1298"/>
        <item x="824"/>
        <item x="1981"/>
        <item x="791"/>
        <item x="89"/>
        <item x="356"/>
        <item x="440"/>
        <item x="1862"/>
        <item x="2212"/>
        <item x="2785"/>
        <item x="2291"/>
        <item x="2306"/>
        <item x="96"/>
        <item x="1426"/>
        <item x="573"/>
        <item x="1117"/>
        <item x="2937"/>
        <item x="2093"/>
        <item x="2187"/>
        <item x="340"/>
        <item x="1034"/>
        <item x="586"/>
        <item x="2665"/>
        <item x="1083"/>
        <item x="1365"/>
        <item x="660"/>
        <item x="1518"/>
        <item x="2528"/>
        <item x="1703"/>
        <item x="1621"/>
        <item x="2030"/>
        <item x="2890"/>
        <item x="2006"/>
        <item x="2693"/>
        <item x="1212"/>
        <item x="2227"/>
        <item x="1211"/>
        <item x="389"/>
        <item x="717"/>
        <item x="795"/>
        <item x="971"/>
        <item x="509"/>
        <item x="1585"/>
        <item x="2261"/>
        <item x="2766"/>
        <item x="2256"/>
        <item x="439"/>
        <item x="515"/>
        <item x="2388"/>
        <item x="1927"/>
        <item x="2081"/>
        <item x="1977"/>
        <item x="2597"/>
        <item x="592"/>
        <item x="1527"/>
        <item x="2694"/>
        <item x="2353"/>
        <item x="1734"/>
        <item x="51"/>
        <item x="1483"/>
        <item x="1050"/>
        <item x="626"/>
        <item x="1715"/>
        <item x="1009"/>
        <item x="1809"/>
        <item x="2473"/>
        <item x="2142"/>
        <item x="2775"/>
        <item x="2292"/>
        <item x="550"/>
        <item x="1844"/>
        <item x="2708"/>
        <item x="1343"/>
        <item x="1149"/>
        <item x="1309"/>
        <item x="1553"/>
        <item x="2131"/>
        <item x="1266"/>
        <item x="759"/>
        <item x="417"/>
        <item x="1391"/>
        <item x="2478"/>
        <item x="2457"/>
        <item x="2584"/>
        <item x="1849"/>
        <item x="2859"/>
        <item x="1717"/>
        <item x="188"/>
        <item x="1924"/>
        <item x="296"/>
        <item x="632"/>
        <item x="2381"/>
        <item x="669"/>
        <item x="2701"/>
        <item x="1326"/>
        <item x="2580"/>
        <item x="2005"/>
        <item x="2604"/>
        <item x="497"/>
        <item x="1180"/>
        <item x="2709"/>
        <item x="2540"/>
        <item x="2502"/>
        <item x="2582"/>
        <item x="2079"/>
        <item x="1042"/>
        <item x="2950"/>
        <item x="245"/>
        <item x="995"/>
        <item x="2367"/>
        <item x="2857"/>
        <item x="2076"/>
        <item x="2326"/>
        <item x="828"/>
        <item x="2577"/>
        <item x="900"/>
        <item x="1830"/>
        <item x="55"/>
        <item x="2851"/>
        <item x="2974"/>
        <item x="2626"/>
        <item x="645"/>
        <item x="484"/>
        <item x="1598"/>
        <item x="1601"/>
        <item x="2489"/>
        <item x="2072"/>
        <item x="1249"/>
        <item x="1486"/>
        <item x="544"/>
        <item x="1251"/>
        <item x="1708"/>
        <item x="2749"/>
        <item x="2479"/>
        <item x="1560"/>
        <item x="1667"/>
        <item x="1742"/>
        <item x="2253"/>
        <item x="1688"/>
        <item x="291"/>
        <item x="2800"/>
        <item x="2957"/>
        <item x="1399"/>
        <item x="369"/>
        <item x="1639"/>
        <item x="628"/>
        <item x="13"/>
        <item x="1557"/>
        <item x="1231"/>
        <item x="1291"/>
        <item x="1387"/>
        <item x="571"/>
        <item x="2432"/>
        <item x="1925"/>
        <item x="1696"/>
        <item x="2300"/>
        <item x="2414"/>
        <item x="1221"/>
        <item x="1375"/>
        <item x="2062"/>
        <item x="1838"/>
        <item x="258"/>
        <item x="2975"/>
        <item x="2783"/>
        <item x="2406"/>
        <item x="612"/>
        <item x="2629"/>
        <item x="2716"/>
        <item x="1841"/>
        <item x="1377"/>
        <item x="495"/>
        <item x="1366"/>
        <item x="1368"/>
        <item x="1333"/>
        <item x="685"/>
        <item x="1370"/>
        <item x="2469"/>
        <item x="2729"/>
        <item x="21"/>
        <item x="1870"/>
        <item x="54"/>
        <item x="1638"/>
        <item x="2794"/>
        <item x="838"/>
        <item x="2454"/>
        <item x="1795"/>
        <item x="1434"/>
        <item x="2023"/>
        <item x="826"/>
        <item x="715"/>
        <item x="1504"/>
        <item x="2774"/>
        <item x="617"/>
        <item x="564"/>
        <item x="748"/>
        <item x="2712"/>
        <item x="165"/>
        <item x="2194"/>
        <item x="796"/>
        <item x="820"/>
        <item x="2027"/>
        <item x="318"/>
        <item x="2805"/>
        <item x="169"/>
        <item x="1261"/>
        <item x="339"/>
        <item x="1097"/>
        <item x="757"/>
        <item x="981"/>
        <item x="1871"/>
        <item x="2660"/>
        <item x="1450"/>
        <item x="2351"/>
        <item x="1356"/>
        <item x="895"/>
        <item x="1311"/>
        <item x="1812"/>
        <item x="2698"/>
        <item x="203"/>
        <item x="1652"/>
        <item x="840"/>
        <item x="194"/>
        <item x="1058"/>
        <item x="546"/>
        <item x="31"/>
        <item x="1100"/>
        <item x="2338"/>
        <item x="2334"/>
        <item x="2554"/>
        <item x="929"/>
        <item x="850"/>
        <item x="2695"/>
        <item x="2494"/>
        <item x="2101"/>
        <item x="1629"/>
        <item x="1969"/>
        <item x="1187"/>
        <item x="833"/>
        <item x="2542"/>
        <item x="727"/>
        <item x="1992"/>
        <item x="646"/>
        <item x="1295"/>
        <item x="2734"/>
        <item x="923"/>
        <item x="454"/>
        <item x="2003"/>
        <item x="2816"/>
        <item x="1581"/>
        <item x="450"/>
        <item x="2842"/>
        <item x="2057"/>
        <item x="1579"/>
        <item x="2419"/>
        <item x="2697"/>
        <item x="398"/>
        <item x="1588"/>
        <item x="2122"/>
        <item x="1915"/>
        <item x="1316"/>
        <item x="234"/>
        <item x="671"/>
        <item x="2529"/>
        <item x="2224"/>
        <item x="2828"/>
        <item x="274"/>
        <item x="501"/>
        <item x="979"/>
        <item x="428"/>
        <item x="316"/>
        <item x="2682"/>
        <item x="668"/>
        <item x="542"/>
        <item x="932"/>
        <item x="2780"/>
        <item x="366"/>
        <item x="1687"/>
        <item x="2308"/>
        <item x="1191"/>
        <item x="2593"/>
        <item x="2790"/>
        <item x="2302"/>
        <item x="2355"/>
        <item x="2901"/>
        <item x="1190"/>
        <item x="2026"/>
        <item x="1984"/>
        <item x="2718"/>
        <item x="1623"/>
        <item x="2537"/>
        <item x="145"/>
        <item x="993"/>
        <item x="1162"/>
        <item x="2841"/>
        <item x="140"/>
        <item x="1942"/>
        <item t="default"/>
      </items>
    </pivotField>
    <pivotField axis="axisRow" showAll="0">
      <items count="6">
        <item x="4"/>
        <item x="1"/>
        <item x="0"/>
        <item x="2"/>
        <item x="3"/>
        <item t="default"/>
      </items>
    </pivotField>
    <pivotField showAll="0">
      <items count="26">
        <item x="3"/>
        <item x="23"/>
        <item x="2"/>
        <item x="20"/>
        <item x="21"/>
        <item x="6"/>
        <item x="14"/>
        <item x="13"/>
        <item x="12"/>
        <item x="5"/>
        <item x="0"/>
        <item x="16"/>
        <item x="19"/>
        <item x="10"/>
        <item x="22"/>
        <item x="1"/>
        <item x="15"/>
        <item x="4"/>
        <item x="7"/>
        <item x="9"/>
        <item x="8"/>
        <item x="24"/>
        <item x="18"/>
        <item x="17"/>
        <item x="11"/>
        <item t="default"/>
      </items>
    </pivotField>
    <pivotField showAll="0">
      <items count="7">
        <item x="0"/>
        <item x="4"/>
        <item x="3"/>
        <item x="1"/>
        <item x="5"/>
        <item x="2"/>
        <item t="default"/>
      </items>
    </pivotField>
    <pivotField showAll="0">
      <items count="19">
        <item x="17"/>
        <item x="14"/>
        <item x="16"/>
        <item x="7"/>
        <item x="3"/>
        <item x="10"/>
        <item x="4"/>
        <item x="12"/>
        <item x="0"/>
        <item x="9"/>
        <item x="11"/>
        <item x="13"/>
        <item x="6"/>
        <item x="1"/>
        <item x="5"/>
        <item x="15"/>
        <item x="8"/>
        <item x="2"/>
        <item t="default"/>
      </items>
    </pivotField>
    <pivotField dataField="1" numFmtId="3" showAll="0"/>
    <pivotField numFmtId="3" showAll="0"/>
    <pivotField numFmtId="3" showAll="0"/>
    <pivotField numFmtId="3" showAll="0"/>
    <pivotField numFmtId="3" showAll="0"/>
    <pivotField numFmtId="3" showAll="0"/>
    <pivotField numFmtId="3" showAll="0"/>
    <pivotField numFmtId="3" showAll="0"/>
    <pivotField numFmtId="10" showAll="0"/>
    <pivotField showAll="0"/>
  </pivotFields>
  <rowFields count="1">
    <field x="2"/>
  </rowFields>
  <rowItems count="6">
    <i>
      <x/>
    </i>
    <i>
      <x v="1"/>
    </i>
    <i>
      <x v="2"/>
    </i>
    <i>
      <x v="3"/>
    </i>
    <i>
      <x v="4"/>
    </i>
    <i t="grand">
      <x/>
    </i>
  </rowItems>
  <colItems count="1">
    <i/>
  </colItems>
  <dataFields count="1">
    <dataField name="Sum of Follower Count" fld="6" baseField="0" baseItem="0"/>
  </dataFields>
  <chartFormats count="14">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2"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2" count="1" selected="0">
            <x v="0"/>
          </reference>
        </references>
      </pivotArea>
    </chartFormat>
    <chartFormat chart="6" format="20">
      <pivotArea type="data" outline="0" fieldPosition="0">
        <references count="2">
          <reference field="4294967294" count="1" selected="0">
            <x v="0"/>
          </reference>
          <reference field="2" count="1" selected="0">
            <x v="1"/>
          </reference>
        </references>
      </pivotArea>
    </chartFormat>
    <chartFormat chart="6" format="21">
      <pivotArea type="data" outline="0" fieldPosition="0">
        <references count="2">
          <reference field="4294967294" count="1" selected="0">
            <x v="0"/>
          </reference>
          <reference field="2" count="1" selected="0">
            <x v="2"/>
          </reference>
        </references>
      </pivotArea>
    </chartFormat>
    <chartFormat chart="6" format="22">
      <pivotArea type="data" outline="0" fieldPosition="0">
        <references count="2">
          <reference field="4294967294" count="1" selected="0">
            <x v="0"/>
          </reference>
          <reference field="2" count="1" selected="0">
            <x v="3"/>
          </reference>
        </references>
      </pivotArea>
    </chartFormat>
    <chartFormat chart="6" format="2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194DC-36FF-47A2-8F60-DC3345E5BD92}"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22" firstHeaderRow="0" firstDataRow="1" firstDataCol="1"/>
  <pivotFields count="16">
    <pivotField showAll="0"/>
    <pivotField showAll="0">
      <items count="3001">
        <item x="2869"/>
        <item x="1096"/>
        <item x="229"/>
        <item x="1337"/>
        <item x="2567"/>
        <item x="1409"/>
        <item x="2369"/>
        <item x="49"/>
        <item x="1619"/>
        <item x="1372"/>
        <item x="2681"/>
        <item x="610"/>
        <item x="2511"/>
        <item x="2787"/>
        <item x="2111"/>
        <item x="1967"/>
        <item x="2125"/>
        <item x="2553"/>
        <item x="481"/>
        <item x="2243"/>
        <item x="1456"/>
        <item x="701"/>
        <item x="177"/>
        <item x="577"/>
        <item x="1568"/>
        <item x="2134"/>
        <item x="1073"/>
        <item x="933"/>
        <item x="1531"/>
        <item x="1794"/>
        <item x="2159"/>
        <item x="2470"/>
        <item x="2632"/>
        <item x="2233"/>
        <item x="593"/>
        <item x="170"/>
        <item x="1635"/>
        <item x="2481"/>
        <item x="2738"/>
        <item x="910"/>
        <item x="752"/>
        <item x="1778"/>
        <item x="2601"/>
        <item x="1443"/>
        <item x="284"/>
        <item x="327"/>
        <item x="2471"/>
        <item x="85"/>
        <item x="502"/>
        <item x="976"/>
        <item x="1454"/>
        <item x="1783"/>
        <item x="965"/>
        <item x="2820"/>
        <item x="2777"/>
        <item x="377"/>
        <item x="535"/>
        <item x="879"/>
        <item x="2216"/>
        <item x="602"/>
        <item x="1630"/>
        <item x="1151"/>
        <item x="1412"/>
        <item x="1453"/>
        <item x="653"/>
        <item x="1929"/>
        <item x="34"/>
        <item x="506"/>
        <item x="2032"/>
        <item x="2116"/>
        <item x="1898"/>
        <item x="2956"/>
        <item x="2773"/>
        <item x="400"/>
        <item x="197"/>
        <item x="2386"/>
        <item x="1804"/>
        <item x="329"/>
        <item x="2951"/>
        <item x="459"/>
        <item x="2727"/>
        <item x="2865"/>
        <item x="2313"/>
        <item x="575"/>
        <item x="935"/>
        <item x="1027"/>
        <item x="707"/>
        <item x="1591"/>
        <item x="1874"/>
        <item x="411"/>
        <item x="1378"/>
        <item x="1147"/>
        <item x="1806"/>
        <item x="844"/>
        <item x="1260"/>
        <item x="1532"/>
        <item x="1271"/>
        <item x="1482"/>
        <item x="2942"/>
        <item x="1003"/>
        <item x="2532"/>
        <item x="2327"/>
        <item x="1361"/>
        <item x="2249"/>
        <item x="1461"/>
        <item x="189"/>
        <item x="732"/>
        <item x="118"/>
        <item x="538"/>
        <item x="2239"/>
        <item x="554"/>
        <item x="2402"/>
        <item x="1163"/>
        <item x="1318"/>
        <item x="2016"/>
        <item x="2638"/>
        <item x="1664"/>
        <item x="298"/>
        <item x="548"/>
        <item x="899"/>
        <item x="703"/>
        <item x="1390"/>
        <item x="2649"/>
        <item x="355"/>
        <item x="988"/>
        <item x="1413"/>
        <item x="873"/>
        <item x="519"/>
        <item x="963"/>
        <item x="2948"/>
        <item x="2814"/>
        <item x="1884"/>
        <item x="2118"/>
        <item x="730"/>
        <item x="2298"/>
        <item x="1367"/>
        <item x="1121"/>
        <item x="2474"/>
        <item x="2324"/>
        <item x="2490"/>
        <item x="365"/>
        <item x="667"/>
        <item x="2648"/>
        <item x="798"/>
        <item x="1528"/>
        <item x="1576"/>
        <item x="1733"/>
        <item x="2382"/>
        <item x="1666"/>
        <item x="2520"/>
        <item x="2482"/>
        <item x="746"/>
        <item x="1054"/>
        <item x="6"/>
        <item x="948"/>
        <item x="1507"/>
        <item x="2444"/>
        <item x="1349"/>
        <item x="2339"/>
        <item x="1074"/>
        <item x="2036"/>
        <item x="2981"/>
        <item x="2368"/>
        <item x="767"/>
        <item x="1479"/>
        <item x="1339"/>
        <item x="142"/>
        <item x="2150"/>
        <item x="693"/>
        <item x="980"/>
        <item x="2289"/>
        <item x="2896"/>
        <item x="1657"/>
        <item x="1722"/>
        <item x="83"/>
        <item x="958"/>
        <item x="2161"/>
        <item x="264"/>
        <item x="578"/>
        <item x="1578"/>
        <item x="1866"/>
        <item x="81"/>
        <item x="896"/>
        <item x="1128"/>
        <item x="373"/>
        <item x="1624"/>
        <item x="382"/>
        <item x="563"/>
        <item x="383"/>
        <item x="2143"/>
        <item x="2084"/>
        <item x="1274"/>
        <item x="1517"/>
        <item x="1462"/>
        <item x="1053"/>
        <item x="1555"/>
        <item x="463"/>
        <item x="2377"/>
        <item x="2493"/>
        <item x="1811"/>
        <item x="2717"/>
        <item x="769"/>
        <item x="82"/>
        <item x="2392"/>
        <item x="409"/>
        <item x="2940"/>
        <item x="2103"/>
        <item x="1132"/>
        <item x="973"/>
        <item x="2889"/>
        <item x="1837"/>
        <item x="1438"/>
        <item x="2588"/>
        <item x="812"/>
        <item x="1548"/>
        <item x="1268"/>
        <item x="493"/>
        <item x="2146"/>
        <item x="1750"/>
        <item x="1032"/>
        <item x="2492"/>
        <item x="1012"/>
        <item x="2832"/>
        <item x="2110"/>
        <item x="325"/>
        <item x="2222"/>
        <item x="1353"/>
        <item x="1067"/>
        <item x="2969"/>
        <item x="559"/>
        <item x="1239"/>
        <item x="1258"/>
        <item x="24"/>
        <item x="2462"/>
        <item x="805"/>
        <item x="1076"/>
        <item x="1764"/>
        <item x="1565"/>
        <item x="1493"/>
        <item x="666"/>
        <item x="2453"/>
        <item x="132"/>
        <item x="294"/>
        <item x="336"/>
        <item x="244"/>
        <item x="109"/>
        <item x="2314"/>
        <item x="2730"/>
        <item x="2398"/>
        <item x="682"/>
        <item x="1359"/>
        <item x="243"/>
        <item x="1467"/>
        <item x="650"/>
        <item x="2873"/>
        <item x="2658"/>
        <item x="166"/>
        <item x="613"/>
        <item x="2619"/>
        <item x="2544"/>
        <item x="2284"/>
        <item x="2645"/>
        <item x="195"/>
        <item x="136"/>
        <item x="2094"/>
        <item x="2433"/>
        <item x="2793"/>
        <item x="1023"/>
        <item x="943"/>
        <item x="30"/>
        <item x="15"/>
        <item x="2107"/>
        <item x="3"/>
        <item x="1153"/>
        <item x="510"/>
        <item x="1562"/>
        <item x="2669"/>
        <item x="2174"/>
        <item x="2038"/>
        <item x="1616"/>
        <item x="694"/>
        <item x="1381"/>
        <item x="1087"/>
        <item x="346"/>
        <item x="601"/>
        <item x="1177"/>
        <item x="1017"/>
        <item x="488"/>
        <item x="1466"/>
        <item x="448"/>
        <item x="1762"/>
        <item x="2483"/>
        <item x="2169"/>
        <item x="2054"/>
        <item x="143"/>
        <item x="2153"/>
        <item x="1627"/>
        <item x="2724"/>
        <item x="2075"/>
        <item x="1469"/>
        <item x="1463"/>
        <item x="1620"/>
        <item x="2137"/>
        <item x="1523"/>
        <item x="2945"/>
        <item x="1345"/>
        <item x="1754"/>
        <item x="139"/>
        <item x="760"/>
        <item x="565"/>
        <item x="2104"/>
        <item x="1506"/>
        <item x="2160"/>
        <item x="1674"/>
        <item x="1949"/>
        <item x="2652"/>
        <item x="1294"/>
        <item x="2656"/>
        <item x="789"/>
        <item x="690"/>
        <item x="364"/>
        <item x="765"/>
        <item x="2069"/>
        <item x="2980"/>
        <item x="860"/>
        <item x="41"/>
        <item x="2230"/>
        <item x="350"/>
        <item x="888"/>
        <item x="1485"/>
        <item x="709"/>
        <item x="2625"/>
        <item x="2439"/>
        <item x="56"/>
        <item x="978"/>
        <item x="595"/>
        <item x="1020"/>
        <item x="1768"/>
        <item x="1206"/>
        <item x="20"/>
        <item x="1947"/>
        <item x="2966"/>
        <item x="2488"/>
        <item x="2823"/>
        <item x="2034"/>
        <item x="1300"/>
        <item x="2639"/>
        <item x="2408"/>
        <item x="1535"/>
        <item x="2543"/>
        <item x="261"/>
        <item x="997"/>
        <item x="429"/>
        <item x="2051"/>
        <item x="2311"/>
        <item x="640"/>
        <item x="2763"/>
        <item x="35"/>
        <item x="2237"/>
        <item x="606"/>
        <item x="153"/>
        <item x="2342"/>
        <item x="1280"/>
        <item x="574"/>
        <item x="624"/>
        <item x="547"/>
        <item x="1245"/>
        <item x="2976"/>
        <item x="1647"/>
        <item x="756"/>
        <item x="1047"/>
        <item x="679"/>
        <item x="2513"/>
        <item x="2817"/>
        <item x="1445"/>
        <item x="2798"/>
        <item x="1363"/>
        <item x="1902"/>
        <item x="79"/>
        <item x="1302"/>
        <item x="374"/>
        <item x="152"/>
        <item x="1099"/>
        <item x="173"/>
        <item x="1241"/>
        <item x="2303"/>
        <item x="1120"/>
        <item x="352"/>
        <item x="2903"/>
        <item x="854"/>
        <item x="160"/>
        <item x="1278"/>
        <item x="672"/>
        <item x="2621"/>
        <item x="1828"/>
        <item x="1540"/>
        <item x="599"/>
        <item x="2900"/>
        <item x="50"/>
        <item x="2624"/>
        <item x="1880"/>
        <item x="413"/>
        <item x="452"/>
        <item x="912"/>
        <item x="771"/>
        <item x="1052"/>
        <item x="1988"/>
        <item x="2223"/>
        <item x="271"/>
        <item x="552"/>
        <item x="2533"/>
        <item x="1348"/>
        <item x="1741"/>
        <item x="864"/>
        <item x="1259"/>
        <item x="1640"/>
        <item x="1022"/>
        <item x="1474"/>
        <item x="144"/>
        <item x="1937"/>
        <item x="183"/>
        <item x="371"/>
        <item x="818"/>
        <item x="2617"/>
        <item x="2017"/>
        <item x="1464"/>
        <item x="1500"/>
        <item x="2112"/>
        <item x="2296"/>
        <item x="928"/>
        <item x="2061"/>
        <item x="368"/>
        <item x="2776"/>
        <item x="2688"/>
        <item x="2089"/>
        <item x="217"/>
        <item x="1522"/>
        <item x="2255"/>
        <item x="2499"/>
        <item x="1858"/>
        <item x="2575"/>
        <item x="2364"/>
        <item x="168"/>
        <item x="1765"/>
        <item x="157"/>
        <item x="2260"/>
        <item x="1308"/>
        <item x="88"/>
        <item x="2221"/>
        <item x="1082"/>
        <item x="1198"/>
        <item x="500"/>
        <item x="2247"/>
        <item x="1777"/>
        <item x="1152"/>
        <item x="1208"/>
        <item x="2267"/>
        <item x="2628"/>
        <item x="2464"/>
        <item x="1139"/>
        <item x="1502"/>
        <item x="1229"/>
        <item x="2329"/>
        <item x="354"/>
        <item x="74"/>
        <item x="2993"/>
        <item x="1488"/>
        <item x="2600"/>
        <item x="514"/>
        <item x="1028"/>
        <item x="2559"/>
        <item x="733"/>
        <item x="588"/>
        <item x="1158"/>
        <item x="252"/>
        <item x="1254"/>
        <item x="1802"/>
        <item x="2307"/>
        <item x="1989"/>
        <item x="881"/>
        <item x="1761"/>
        <item x="2234"/>
        <item x="618"/>
        <item x="113"/>
        <item x="1200"/>
        <item x="2743"/>
        <item x="661"/>
        <item x="2847"/>
        <item x="2991"/>
        <item x="1492"/>
        <item x="75"/>
        <item x="2365"/>
        <item x="2637"/>
        <item x="2096"/>
        <item x="309"/>
        <item x="1181"/>
        <item x="2759"/>
        <item x="806"/>
        <item x="98"/>
        <item x="529"/>
        <item x="304"/>
        <item x="1721"/>
        <item x="2995"/>
        <item x="1626"/>
        <item x="959"/>
        <item x="2953"/>
        <item x="2990"/>
        <item x="107"/>
        <item x="1078"/>
        <item x="17"/>
        <item x="1899"/>
        <item x="1219"/>
        <item x="226"/>
        <item x="1979"/>
        <item x="2911"/>
        <item x="2165"/>
        <item x="2219"/>
        <item x="2154"/>
        <item x="1840"/>
        <item x="2279"/>
        <item x="2252"/>
        <item x="875"/>
        <item x="455"/>
        <item x="410"/>
        <item x="1194"/>
        <item x="2068"/>
        <item x="263"/>
        <item x="238"/>
        <item x="1103"/>
        <item x="1175"/>
        <item x="518"/>
        <item x="158"/>
        <item x="1959"/>
        <item x="1905"/>
        <item x="2035"/>
        <item x="914"/>
        <item x="2558"/>
        <item x="1860"/>
        <item x="1710"/>
        <item x="1956"/>
        <item x="2646"/>
        <item x="1869"/>
        <item x="2278"/>
        <item x="1771"/>
        <item x="734"/>
        <item x="2926"/>
        <item x="483"/>
        <item x="2933"/>
        <item x="2190"/>
        <item x="1839"/>
        <item x="1072"/>
        <item x="846"/>
        <item x="2002"/>
        <item x="2415"/>
        <item x="790"/>
        <item x="2071"/>
        <item x="2148"/>
        <item x="810"/>
        <item x="755"/>
        <item x="2929"/>
        <item x="1472"/>
        <item x="1060"/>
        <item x="120"/>
        <item x="1573"/>
        <item x="2274"/>
        <item x="1005"/>
        <item x="1917"/>
        <item x="435"/>
        <item x="822"/>
        <item x="836"/>
        <item x="714"/>
        <item x="2123"/>
        <item x="2349"/>
        <item x="1491"/>
        <item x="1857"/>
        <item x="2515"/>
        <item x="1580"/>
        <item x="536"/>
        <item x="1788"/>
        <item x="2450"/>
        <item x="1173"/>
        <item x="2236"/>
        <item x="1161"/>
        <item x="2663"/>
        <item x="1127"/>
        <item x="1263"/>
        <item x="1926"/>
        <item x="800"/>
        <item x="2812"/>
        <item x="587"/>
        <item x="2526"/>
        <item x="2124"/>
        <item x="2913"/>
        <item x="2782"/>
        <item x="2659"/>
        <item x="2321"/>
        <item x="2147"/>
        <item x="1234"/>
        <item x="803"/>
        <item x="1634"/>
        <item x="762"/>
        <item x="915"/>
        <item x="2643"/>
        <item x="397"/>
        <item x="1801"/>
        <item x="315"/>
        <item x="1159"/>
        <item x="2238"/>
        <item x="2531"/>
        <item x="779"/>
        <item x="726"/>
        <item x="1199"/>
        <item x="2248"/>
        <item x="324"/>
        <item x="961"/>
        <item x="2647"/>
        <item x="1133"/>
        <item x="605"/>
        <item x="2556"/>
        <item x="649"/>
        <item x="869"/>
        <item x="2370"/>
        <item x="469"/>
        <item x="1595"/>
        <item x="2844"/>
        <item x="2849"/>
        <item x="8"/>
        <item x="2878"/>
        <item x="2858"/>
        <item x="680"/>
        <item x="977"/>
        <item x="2259"/>
        <item x="939"/>
        <item x="2184"/>
        <item x="1134"/>
        <item x="2675"/>
        <item x="517"/>
        <item x="955"/>
        <item x="859"/>
        <item x="1547"/>
        <item x="1358"/>
        <item x="2768"/>
        <item x="2191"/>
        <item x="1972"/>
        <item x="1757"/>
        <item x="1776"/>
        <item x="683"/>
        <item x="2765"/>
        <item x="2244"/>
        <item x="357"/>
        <item x="768"/>
        <item x="220"/>
        <item x="736"/>
        <item x="116"/>
        <item x="1122"/>
        <item x="834"/>
        <item x="2015"/>
        <item x="134"/>
        <item x="870"/>
        <item x="843"/>
        <item x="1891"/>
        <item x="1692"/>
        <item x="2666"/>
        <item x="877"/>
        <item x="615"/>
        <item x="320"/>
        <item x="2269"/>
        <item x="1526"/>
        <item x="2958"/>
        <item x="1176"/>
        <item x="738"/>
        <item x="1808"/>
        <item x="830"/>
        <item x="2792"/>
        <item x="2715"/>
        <item x="2704"/>
        <item x="557"/>
        <item x="1699"/>
        <item x="1384"/>
        <item x="2861"/>
        <item x="233"/>
        <item x="2242"/>
        <item x="18"/>
        <item x="1952"/>
        <item x="2751"/>
        <item x="1233"/>
        <item x="2867"/>
        <item x="2106"/>
        <item x="1411"/>
        <item x="1563"/>
        <item x="2359"/>
        <item x="604"/>
        <item x="2322"/>
        <item x="827"/>
        <item x="754"/>
        <item x="2912"/>
        <item x="2586"/>
        <item x="1663"/>
        <item x="2914"/>
        <item x="269"/>
        <item x="1694"/>
        <item x="1863"/>
        <item x="2363"/>
        <item x="1571"/>
        <item x="1470"/>
        <item x="1160"/>
        <item x="1484"/>
        <item x="1610"/>
        <item x="1114"/>
        <item x="1920"/>
        <item x="2025"/>
        <item x="390"/>
        <item x="2263"/>
        <item x="781"/>
        <item x="1432"/>
        <item x="257"/>
        <item x="1973"/>
        <item x="1256"/>
        <item x="975"/>
        <item x="268"/>
        <item x="1582"/>
        <item x="1297"/>
        <item x="313"/>
        <item x="620"/>
        <item x="2728"/>
        <item x="2590"/>
        <item x="2366"/>
        <item x="2885"/>
        <item x="1711"/>
        <item x="735"/>
        <item x="103"/>
        <item x="2205"/>
        <item x="1551"/>
        <item x="936"/>
        <item x="2545"/>
        <item x="2651"/>
        <item x="1549"/>
        <item x="1897"/>
        <item x="487"/>
        <item x="1755"/>
        <item x="2522"/>
        <item x="2595"/>
        <item x="2947"/>
        <item x="1681"/>
        <item x="924"/>
        <item x="45"/>
        <item x="2662"/>
        <item x="1723"/>
        <item x="1914"/>
        <item x="786"/>
        <item x="2393"/>
        <item x="2328"/>
        <item x="2358"/>
        <item x="656"/>
        <item x="1010"/>
        <item x="443"/>
        <item x="2461"/>
        <item x="897"/>
        <item x="65"/>
        <item x="1015"/>
        <item x="635"/>
        <item x="2705"/>
        <item x="2073"/>
        <item x="1430"/>
        <item x="1970"/>
        <item x="156"/>
        <item x="947"/>
        <item x="1107"/>
        <item x="2589"/>
        <item x="2092"/>
        <item x="1465"/>
        <item x="972"/>
        <item x="2192"/>
        <item x="1008"/>
        <item x="883"/>
        <item x="1986"/>
        <item x="1590"/>
        <item x="404"/>
        <item x="663"/>
        <item x="1242"/>
        <item x="1521"/>
        <item x="1403"/>
        <item x="1490"/>
        <item x="2297"/>
        <item x="1650"/>
        <item x="185"/>
        <item x="728"/>
        <item x="1567"/>
        <item x="1775"/>
        <item x="474"/>
        <item x="1975"/>
        <item x="2755"/>
        <item x="216"/>
        <item x="1945"/>
        <item x="1864"/>
        <item x="1875"/>
        <item x="1980"/>
        <item x="1834"/>
        <item x="2815"/>
        <item x="1749"/>
        <item x="2361"/>
        <item x="146"/>
        <item x="2004"/>
        <item x="2992"/>
        <item x="2325"/>
        <item x="262"/>
        <item x="1115"/>
        <item x="1682"/>
        <item x="556"/>
        <item x="287"/>
        <item x="1752"/>
        <item x="696"/>
        <item x="773"/>
        <item x="2052"/>
        <item x="2293"/>
        <item x="278"/>
        <item x="1724"/>
        <item x="2403"/>
        <item x="2710"/>
        <item x="2333"/>
        <item x="2822"/>
        <item x="416"/>
        <item x="962"/>
        <item x="308"/>
        <item x="1091"/>
        <item x="2598"/>
        <item x="1677"/>
        <item x="513"/>
        <item x="2436"/>
        <item x="1385"/>
        <item x="1320"/>
        <item x="941"/>
        <item x="1732"/>
        <item x="2266"/>
        <item x="1940"/>
        <item x="2012"/>
        <item x="2642"/>
        <item x="1383"/>
        <item x="1374"/>
        <item x="2547"/>
        <item x="16"/>
        <item x="862"/>
        <item x="1006"/>
        <item x="1446"/>
        <item x="2813"/>
        <item x="2804"/>
        <item x="2677"/>
        <item x="2177"/>
        <item x="551"/>
        <item x="1235"/>
        <item x="1323"/>
        <item x="2009"/>
        <item x="2008"/>
        <item x="784"/>
        <item x="1877"/>
        <item x="2484"/>
        <item x="2935"/>
        <item x="176"/>
        <item x="95"/>
        <item x="1407"/>
        <item x="61"/>
        <item x="2504"/>
        <item x="1405"/>
        <item x="1994"/>
        <item x="1939"/>
        <item x="1255"/>
        <item x="1449"/>
        <item x="385"/>
        <item x="2746"/>
        <item x="2476"/>
        <item x="541"/>
        <item x="2086"/>
        <item x="1767"/>
        <item x="1315"/>
        <item x="2998"/>
        <item x="720"/>
        <item x="2829"/>
        <item x="265"/>
        <item x="1617"/>
        <item x="2908"/>
        <item x="2438"/>
        <item x="1879"/>
        <item x="934"/>
        <item x="700"/>
        <item x="1758"/>
        <item x="2099"/>
        <item x="97"/>
        <item x="2797"/>
        <item x="1429"/>
        <item x="1216"/>
        <item x="179"/>
        <item x="974"/>
        <item x="553"/>
        <item x="1125"/>
        <item x="1455"/>
        <item x="2964"/>
        <item x="2210"/>
        <item x="1725"/>
        <item x="2273"/>
        <item x="1459"/>
        <item x="1184"/>
        <item x="2128"/>
        <item x="902"/>
        <item x="1995"/>
        <item x="1998"/>
        <item x="874"/>
        <item x="2570"/>
        <item x="2037"/>
        <item x="1735"/>
        <item x="2713"/>
        <item x="723"/>
        <item x="1392"/>
        <item x="1460"/>
        <item x="297"/>
        <item x="52"/>
        <item x="376"/>
        <item x="627"/>
        <item x="384"/>
        <item x="670"/>
        <item x="1021"/>
        <item x="2151"/>
        <item x="90"/>
        <item x="2732"/>
        <item x="1558"/>
        <item x="2895"/>
        <item x="441"/>
        <item x="1476"/>
        <item x="1357"/>
        <item x="1057"/>
        <item x="456"/>
        <item x="2437"/>
        <item x="1011"/>
        <item x="1545"/>
        <item x="1329"/>
        <item x="772"/>
        <item x="180"/>
        <item x="2218"/>
        <item x="944"/>
        <item x="636"/>
        <item x="1197"/>
        <item x="794"/>
        <item x="2441"/>
        <item x="247"/>
        <item x="498"/>
        <item x="1154"/>
        <item x="2622"/>
        <item x="1589"/>
        <item x="1519"/>
        <item x="2000"/>
        <item x="122"/>
        <item x="2077"/>
        <item x="2430"/>
        <item x="1760"/>
        <item x="1772"/>
        <item x="886"/>
        <item x="2795"/>
        <item x="167"/>
        <item x="210"/>
        <item x="1836"/>
        <item x="2509"/>
        <item x="1743"/>
        <item x="462"/>
        <item x="2048"/>
        <item x="2571"/>
        <item x="1092"/>
        <item x="630"/>
        <item x="1596"/>
        <item x="1389"/>
        <item x="637"/>
        <item x="555"/>
        <item x="1950"/>
        <item x="2762"/>
        <item x="1415"/>
        <item x="1552"/>
        <item x="718"/>
        <item x="2175"/>
        <item x="1157"/>
        <item x="2970"/>
        <item x="121"/>
        <item x="1769"/>
        <item x="360"/>
        <item x="2195"/>
        <item x="2591"/>
        <item x="742"/>
        <item x="597"/>
        <item x="766"/>
        <item x="1958"/>
        <item x="657"/>
        <item x="1798"/>
        <item x="2060"/>
        <item x="2550"/>
        <item x="1269"/>
        <item x="1214"/>
        <item x="2220"/>
        <item x="2133"/>
        <item x="1625"/>
        <item x="2149"/>
        <item x="967"/>
        <item x="478"/>
        <item x="2671"/>
        <item x="331"/>
        <item x="402"/>
        <item x="616"/>
        <item x="1183"/>
        <item x="658"/>
        <item x="2319"/>
        <item x="2058"/>
        <item x="2548"/>
        <item x="1414"/>
        <item x="1223"/>
        <item x="702"/>
        <item x="540"/>
        <item x="1204"/>
        <item x="426"/>
        <item x="2158"/>
        <item x="2668"/>
        <item x="611"/>
        <item x="1753"/>
        <item x="2576"/>
        <item x="475"/>
        <item x="954"/>
        <item x="2181"/>
        <item x="1536"/>
        <item x="1480"/>
        <item x="1222"/>
        <item x="2043"/>
        <item x="2955"/>
        <item x="2281"/>
        <item x="609"/>
        <item x="2391"/>
        <item x="1478"/>
        <item x="1178"/>
        <item x="1509"/>
        <item x="678"/>
        <item x="419"/>
        <item x="2667"/>
        <item x="2082"/>
        <item x="741"/>
        <item x="2275"/>
        <item x="425"/>
        <item x="1916"/>
        <item x="608"/>
        <item x="1451"/>
        <item x="2928"/>
        <item x="857"/>
        <item x="467"/>
        <item x="1420"/>
        <item x="2031"/>
        <item x="745"/>
        <item x="942"/>
        <item x="1561"/>
        <item x="1770"/>
        <item x="2679"/>
        <item x="2781"/>
        <item x="290"/>
        <item x="1094"/>
        <item x="1433"/>
        <item x="2870"/>
        <item x="78"/>
        <item x="2341"/>
        <item x="841"/>
        <item x="2007"/>
        <item x="1419"/>
        <item x="2525"/>
        <item x="2380"/>
        <item x="1748"/>
        <item x="969"/>
        <item x="11"/>
        <item x="776"/>
        <item x="1376"/>
        <item x="2748"/>
        <item x="938"/>
        <item x="1789"/>
        <item x="2564"/>
        <item x="2840"/>
        <item x="2485"/>
        <item x="2117"/>
        <item x="446"/>
        <item x="66"/>
        <item x="1962"/>
        <item x="1436"/>
        <item x="1805"/>
        <item x="2546"/>
        <item x="623"/>
        <item x="852"/>
        <item x="1312"/>
        <item x="1442"/>
        <item x="38"/>
        <item x="2997"/>
        <item x="2214"/>
        <item x="2552"/>
        <item x="33"/>
        <item x="1602"/>
        <item x="2199"/>
        <item x="482"/>
        <item x="2108"/>
        <item x="2451"/>
        <item x="1746"/>
        <item x="277"/>
        <item x="1720"/>
        <item x="2254"/>
        <item x="603"/>
        <item x="444"/>
        <item x="780"/>
        <item x="337"/>
        <item x="2939"/>
        <item x="1785"/>
        <item x="2836"/>
        <item x="1089"/>
        <item x="2114"/>
        <item x="479"/>
        <item x="1497"/>
        <item x="2848"/>
        <item x="1350"/>
        <item x="1501"/>
        <item x="2519"/>
        <item x="2723"/>
        <item x="2960"/>
        <item x="1613"/>
        <item x="2918"/>
        <item x="1697"/>
        <item x="1026"/>
        <item x="2563"/>
        <item x="1327"/>
        <item x="1982"/>
        <item x="1217"/>
        <item x="2374"/>
        <item x="332"/>
        <item x="2894"/>
        <item x="1790"/>
        <item x="2332"/>
        <item x="1729"/>
        <item x="2687"/>
        <item x="403"/>
        <item x="1881"/>
        <item x="2807"/>
        <item x="2640"/>
        <item x="622"/>
        <item x="2922"/>
        <item x="1993"/>
        <item x="1135"/>
        <item x="1098"/>
        <item x="2144"/>
        <item x="705"/>
        <item x="2965"/>
        <item x="2226"/>
        <item x="1693"/>
        <item x="931"/>
        <item x="2383"/>
        <item x="388"/>
        <item x="181"/>
        <item x="2862"/>
        <item x="249"/>
        <item x="1226"/>
        <item x="2771"/>
        <item x="1201"/>
        <item x="2952"/>
        <item x="2839"/>
        <item x="187"/>
        <item x="224"/>
        <item x="2557"/>
        <item x="1583"/>
        <item x="2428"/>
        <item x="999"/>
        <item x="391"/>
        <item x="1985"/>
        <item x="2198"/>
        <item x="1437"/>
        <item x="837"/>
        <item x="275"/>
        <item x="2610"/>
        <item x="341"/>
        <item x="2989"/>
        <item x="2569"/>
        <item x="1321"/>
        <item x="1029"/>
        <item x="387"/>
        <item x="579"/>
        <item x="222"/>
        <item x="1856"/>
        <item x="1410"/>
        <item x="62"/>
        <item x="903"/>
        <item x="584"/>
        <item x="303"/>
        <item x="281"/>
        <item x="159"/>
        <item x="1960"/>
        <item x="1852"/>
        <item x="2788"/>
        <item x="2699"/>
        <item x="2602"/>
        <item x="1793"/>
        <item x="2041"/>
        <item x="1166"/>
        <item x="1909"/>
        <item x="1317"/>
        <item x="2946"/>
        <item x="2852"/>
        <item x="2376"/>
        <item x="1421"/>
        <item x="2789"/>
        <item x="64"/>
        <item x="1129"/>
        <item x="1299"/>
        <item x="2138"/>
        <item x="2880"/>
        <item x="2932"/>
        <item x="1283"/>
        <item x="964"/>
        <item x="2425"/>
        <item x="1999"/>
        <item x="1179"/>
        <item x="1444"/>
        <item x="1250"/>
        <item x="1815"/>
        <item x="799"/>
        <item x="952"/>
        <item x="984"/>
        <item x="2740"/>
        <item x="949"/>
        <item x="600"/>
        <item x="1035"/>
        <item x="2686"/>
        <item x="1238"/>
        <item x="4"/>
        <item x="1964"/>
        <item x="126"/>
        <item x="272"/>
        <item x="2044"/>
        <item x="1594"/>
        <item x="2722"/>
        <item x="207"/>
        <item x="1744"/>
        <item x="2607"/>
        <item x="1045"/>
        <item x="53"/>
        <item x="1275"/>
        <item x="494"/>
        <item x="629"/>
        <item x="1747"/>
        <item x="286"/>
        <item x="2549"/>
        <item x="1272"/>
        <item x="2197"/>
        <item x="431"/>
        <item x="991"/>
        <item x="432"/>
        <item x="638"/>
        <item x="2551"/>
        <item x="2834"/>
        <item x="1796"/>
        <item x="1963"/>
        <item x="84"/>
        <item x="333"/>
        <item x="992"/>
        <item x="230"/>
        <item x="2395"/>
        <item x="598"/>
        <item x="1388"/>
        <item x="2565"/>
        <item x="148"/>
        <item x="684"/>
        <item x="530"/>
        <item x="1118"/>
        <item x="2059"/>
        <item x="906"/>
        <item x="1277"/>
        <item x="2760"/>
        <item x="607"/>
        <item x="1751"/>
        <item x="1614"/>
        <item x="182"/>
        <item x="2739"/>
        <item x="201"/>
        <item x="2618"/>
        <item x="206"/>
        <item x="1867"/>
        <item x="466"/>
        <item x="688"/>
        <item x="1332"/>
        <item x="1835"/>
        <item x="106"/>
        <item x="1305"/>
        <item x="22"/>
        <item x="2921"/>
        <item x="223"/>
        <item x="706"/>
        <item x="1818"/>
        <item x="724"/>
        <item x="1422"/>
        <item x="1936"/>
        <item x="1124"/>
        <item x="1695"/>
        <item x="1577"/>
        <item x="449"/>
        <item x="2819"/>
        <item x="1739"/>
        <item x="1369"/>
        <item x="878"/>
        <item x="2920"/>
        <item x="764"/>
        <item x="1330"/>
        <item x="1609"/>
        <item x="985"/>
        <item x="2394"/>
        <item x="2634"/>
        <item x="1906"/>
        <item x="2702"/>
        <item x="2033"/>
        <item x="32"/>
        <item x="178"/>
        <item x="1192"/>
        <item x="1371"/>
        <item x="2378"/>
        <item x="1843"/>
        <item x="2725"/>
        <item x="2555"/>
        <item x="1400"/>
        <item x="950"/>
        <item x="1894"/>
        <item x="2373"/>
        <item x="2635"/>
        <item x="1264"/>
        <item x="1185"/>
        <item x="1542"/>
        <item x="1604"/>
        <item x="351"/>
        <item x="2241"/>
        <item x="946"/>
        <item x="847"/>
        <item x="1257"/>
        <item x="2020"/>
        <item x="1615"/>
        <item x="2692"/>
        <item x="2612"/>
        <item x="343"/>
        <item x="1340"/>
        <item x="2179"/>
        <item x="370"/>
        <item x="905"/>
        <item x="2506"/>
        <item x="2517"/>
        <item x="2657"/>
        <item x="1913"/>
        <item x="1049"/>
        <item x="1000"/>
        <item x="2088"/>
        <item x="2410"/>
        <item x="1631"/>
        <item x="1341"/>
        <item x="131"/>
        <item x="1116"/>
        <item x="2690"/>
        <item x="2585"/>
        <item x="712"/>
        <item x="2331"/>
        <item x="2535"/>
        <item x="631"/>
        <item x="2468"/>
        <item x="199"/>
        <item x="91"/>
        <item x="1996"/>
        <item x="2345"/>
        <item x="2919"/>
        <item x="1428"/>
        <item x="260"/>
        <item x="882"/>
        <item x="2572"/>
        <item x="1512"/>
        <item x="2846"/>
        <item x="1386"/>
        <item x="2040"/>
        <item x="392"/>
        <item x="2733"/>
        <item x="1637"/>
        <item x="72"/>
        <item x="2931"/>
        <item x="2127"/>
        <item x="2282"/>
        <item x="2449"/>
        <item x="1144"/>
        <item x="2091"/>
        <item x="594"/>
        <item x="1355"/>
        <item x="570"/>
        <item x="1543"/>
        <item x="73"/>
        <item x="2630"/>
        <item x="1188"/>
        <item x="2280"/>
        <item x="2429"/>
        <item x="2719"/>
        <item x="2440"/>
        <item x="2986"/>
        <item x="1331"/>
        <item x="1119"/>
        <item x="472"/>
        <item x="1024"/>
        <item x="986"/>
        <item x="2053"/>
        <item x="349"/>
        <item x="1253"/>
        <item x="1031"/>
        <item x="2426"/>
        <item x="1145"/>
        <item x="2650"/>
        <item x="406"/>
        <item x="1943"/>
        <item x="1394"/>
        <item x="1646"/>
        <item x="1636"/>
        <item x="655"/>
        <item x="945"/>
        <item x="421"/>
        <item x="876"/>
        <item x="2405"/>
        <item x="2208"/>
        <item x="2063"/>
        <item x="1284"/>
        <item x="2530"/>
        <item x="1165"/>
        <item x="46"/>
        <item x="2251"/>
        <item x="1169"/>
        <item x="1823"/>
        <item x="1273"/>
        <item x="198"/>
        <item x="1628"/>
        <item x="814"/>
        <item x="2605"/>
        <item x="2891"/>
        <item x="2566"/>
        <item x="2350"/>
        <item x="280"/>
        <item x="2183"/>
        <item x="204"/>
        <item x="1807"/>
        <item x="641"/>
        <item x="2720"/>
        <item x="1529"/>
        <item x="2561"/>
        <item x="2655"/>
        <item x="1662"/>
        <item x="507"/>
        <item x="2871"/>
        <item x="2458"/>
        <item x="2608"/>
        <item x="227"/>
        <item x="200"/>
        <item x="2019"/>
        <item x="2831"/>
        <item x="2959"/>
        <item x="1401"/>
        <item x="1824"/>
        <item x="1287"/>
        <item x="1093"/>
        <item x="2155"/>
        <item x="1698"/>
        <item x="2115"/>
        <item x="301"/>
        <item x="1534"/>
        <item x="2105"/>
        <item x="2186"/>
        <item x="2211"/>
        <item x="1684"/>
        <item x="1779"/>
        <item x="273"/>
        <item x="2188"/>
        <item x="102"/>
        <item x="2121"/>
        <item x="154"/>
        <item x="1473"/>
        <item x="458"/>
        <item x="2864"/>
        <item x="2943"/>
        <item x="1822"/>
        <item x="480"/>
        <item x="2887"/>
        <item x="2109"/>
        <item x="1600"/>
        <item x="40"/>
        <item x="1209"/>
        <item x="2299"/>
        <item x="1106"/>
        <item x="1494"/>
        <item x="2067"/>
        <item x="335"/>
        <item x="2132"/>
        <item x="2337"/>
        <item x="1654"/>
        <item x="2245"/>
        <item x="2022"/>
        <item x="2021"/>
        <item x="2518"/>
        <item x="94"/>
        <item x="1612"/>
        <item x="708"/>
        <item x="330"/>
        <item x="1081"/>
        <item x="184"/>
        <item x="1335"/>
        <item x="1319"/>
        <item x="1240"/>
        <item x="884"/>
        <item x="2726"/>
        <item x="2090"/>
        <item x="1207"/>
        <item x="251"/>
        <item x="1903"/>
        <item x="285"/>
        <item x="1168"/>
        <item x="2463"/>
        <item x="2232"/>
        <item x="2401"/>
        <item x="2512"/>
        <item x="751"/>
        <item x="1941"/>
        <item x="2085"/>
        <item x="12"/>
        <item x="1338"/>
        <item x="1892"/>
        <item x="322"/>
        <item x="1110"/>
        <item x="2207"/>
        <item x="729"/>
        <item x="1244"/>
        <item x="42"/>
        <item x="2228"/>
        <item x="367"/>
        <item x="2206"/>
        <item x="576"/>
        <item x="326"/>
        <item x="71"/>
        <item x="2982"/>
        <item x="788"/>
        <item x="558"/>
        <item x="719"/>
        <item x="395"/>
        <item x="1065"/>
        <item x="2882"/>
        <item x="399"/>
        <item x="288"/>
        <item x="2434"/>
        <item x="2312"/>
        <item x="1730"/>
        <item x="2855"/>
        <item x="1644"/>
        <item x="1712"/>
        <item x="1495"/>
        <item x="1653"/>
        <item x="1313"/>
        <item x="1203"/>
        <item x="1675"/>
        <item x="1559"/>
        <item x="1285"/>
        <item x="996"/>
        <item x="2180"/>
        <item x="681"/>
        <item x="9"/>
        <item x="2514"/>
        <item x="2944"/>
        <item x="2678"/>
        <item x="1043"/>
        <item x="163"/>
        <item x="2209"/>
        <item x="1448"/>
        <item x="2779"/>
        <item x="2447"/>
        <item x="2235"/>
        <item x="2949"/>
        <item x="276"/>
        <item x="457"/>
        <item x="2876"/>
        <item x="2070"/>
        <item x="926"/>
        <item x="868"/>
        <item x="816"/>
        <item x="2633"/>
        <item x="358"/>
        <item x="2994"/>
        <item x="2907"/>
        <item x="2265"/>
        <item x="675"/>
        <item x="1773"/>
        <item x="676"/>
        <item x="2735"/>
        <item x="2534"/>
        <item x="427"/>
        <item x="221"/>
        <item x="1267"/>
        <item x="1946"/>
        <item x="2654"/>
        <item x="1237"/>
        <item x="1360"/>
        <item x="725"/>
        <item x="1351"/>
        <item x="2613"/>
        <item x="1643"/>
        <item x="433"/>
        <item x="916"/>
        <item x="2452"/>
        <item x="108"/>
        <item x="1944"/>
        <item x="1829"/>
        <item x="990"/>
        <item x="1030"/>
        <item x="1570"/>
        <item x="866"/>
        <item x="2999"/>
        <item x="2574"/>
        <item x="2962"/>
        <item x="2963"/>
        <item x="319"/>
        <item x="1632"/>
        <item x="1702"/>
        <item x="1525"/>
        <item x="110"/>
        <item x="2411"/>
        <item x="802"/>
        <item x="1968"/>
        <item x="956"/>
        <item x="2400"/>
        <item x="2135"/>
        <item x="2413"/>
        <item x="1728"/>
        <item x="2825"/>
        <item x="1859"/>
        <item x="2752"/>
        <item x="2806"/>
        <item x="2472"/>
        <item x="2164"/>
        <item x="665"/>
        <item x="889"/>
        <item x="1983"/>
        <item x="2703"/>
        <item x="2459"/>
        <item x="2246"/>
        <item x="2422"/>
        <item x="1282"/>
        <item x="1736"/>
        <item x="1170"/>
        <item x="1406"/>
        <item x="1850"/>
        <item x="1825"/>
        <item x="1048"/>
        <item x="1810"/>
        <item x="2407"/>
        <item x="485"/>
        <item x="2013"/>
        <item x="1799"/>
        <item x="111"/>
        <item x="209"/>
        <item x="560"/>
        <item x="1873"/>
        <item x="1991"/>
        <item x="1062"/>
        <item x="1673"/>
        <item x="1514"/>
        <item x="1951"/>
        <item x="68"/>
        <item x="1213"/>
        <item x="1246"/>
        <item x="2156"/>
        <item x="1921"/>
        <item x="2318"/>
        <item x="801"/>
        <item x="1974"/>
        <item x="644"/>
        <item x="1515"/>
        <item x="241"/>
        <item x="254"/>
        <item x="619"/>
        <item x="743"/>
        <item x="2892"/>
        <item x="890"/>
        <item x="1740"/>
        <item x="2295"/>
        <item x="1328"/>
        <item x="1668"/>
        <item x="2145"/>
        <item x="2387"/>
        <item x="1538"/>
        <item x="614"/>
        <item x="344"/>
        <item x="2065"/>
        <item x="292"/>
        <item x="1344"/>
        <item x="2736"/>
        <item x="2603"/>
        <item x="2417"/>
        <item x="2538"/>
        <item x="2113"/>
        <item x="1953"/>
        <item x="2258"/>
        <item x="2277"/>
        <item x="2497"/>
        <item x="1701"/>
        <item x="1971"/>
        <item x="918"/>
        <item x="1113"/>
        <item x="908"/>
        <item x="1061"/>
        <item x="461"/>
        <item x="1774"/>
        <item x="1019"/>
        <item x="1202"/>
        <item x="1069"/>
        <item x="549"/>
        <item x="155"/>
        <item x="2074"/>
        <item x="1314"/>
        <item x="2653"/>
        <item x="2412"/>
        <item x="1901"/>
        <item x="2120"/>
        <item x="114"/>
        <item x="137"/>
        <item x="1146"/>
        <item x="2196"/>
        <item x="1642"/>
        <item x="1220"/>
        <item x="468"/>
        <item x="1955"/>
        <item x="2521"/>
        <item x="2045"/>
        <item x="1574"/>
        <item x="1707"/>
        <item x="919"/>
        <item x="1040"/>
        <item x="1037"/>
        <item x="380"/>
        <item x="1218"/>
        <item x="1086"/>
        <item x="2799"/>
        <item x="1354"/>
        <item x="2203"/>
        <item x="1105"/>
        <item x="2983"/>
        <item x="2140"/>
        <item x="2987"/>
        <item x="150"/>
        <item x="2215"/>
        <item x="2268"/>
        <item x="2599"/>
        <item x="119"/>
        <item x="1066"/>
        <item x="1676"/>
        <item x="1397"/>
        <item x="1150"/>
        <item x="1900"/>
        <item x="983"/>
        <item x="2399"/>
        <item x="2427"/>
        <item x="1276"/>
        <item x="1845"/>
        <item x="1322"/>
        <item x="1440"/>
        <item x="2973"/>
        <item x="2843"/>
        <item x="1813"/>
        <item x="29"/>
        <item x="305"/>
        <item x="1706"/>
        <item x="1649"/>
        <item x="2620"/>
        <item x="434"/>
        <item x="1112"/>
        <item x="1931"/>
        <item x="1215"/>
        <item x="2985"/>
        <item x="596"/>
        <item x="930"/>
        <item x="1786"/>
        <item x="1611"/>
        <item x="659"/>
        <item x="2508"/>
        <item x="721"/>
        <item x="1704"/>
        <item x="1987"/>
        <item x="43"/>
        <item x="2486"/>
        <item x="1763"/>
        <item x="2442"/>
        <item x="1912"/>
        <item x="2747"/>
        <item x="289"/>
        <item x="861"/>
        <item x="19"/>
        <item x="228"/>
        <item x="1685"/>
        <item x="1142"/>
        <item x="63"/>
        <item x="722"/>
        <item x="2684"/>
        <item x="2680"/>
        <item x="1868"/>
        <item x="813"/>
        <item x="1324"/>
        <item x="240"/>
        <item x="2445"/>
        <item x="36"/>
        <item x="202"/>
        <item x="2737"/>
        <item x="2083"/>
        <item x="848"/>
        <item x="1265"/>
        <item x="2631"/>
        <item x="80"/>
        <item x="1826"/>
        <item x="2348"/>
        <item x="2523"/>
        <item x="2213"/>
        <item x="59"/>
        <item x="1408"/>
        <item x="1678"/>
        <item x="2778"/>
        <item x="2902"/>
        <item x="471"/>
        <item x="1380"/>
        <item x="892"/>
        <item x="464"/>
        <item x="1014"/>
        <item x="871"/>
        <item x="2614"/>
        <item x="407"/>
        <item x="2978"/>
        <item x="580"/>
        <item x="1922"/>
        <item x="1738"/>
        <item x="1468"/>
        <item x="2262"/>
        <item x="2587"/>
        <item x="842"/>
        <item x="473"/>
        <item x="1247"/>
        <item x="1679"/>
        <item x="256"/>
        <item x="851"/>
        <item x="211"/>
        <item x="2119"/>
        <item x="1196"/>
        <item x="101"/>
        <item x="2356"/>
        <item x="534"/>
        <item x="1109"/>
        <item x="2877"/>
        <item x="2139"/>
        <item x="2636"/>
        <item x="1908"/>
        <item x="1550"/>
        <item x="1101"/>
        <item x="1230"/>
        <item x="1780"/>
        <item x="1700"/>
        <item x="2938"/>
        <item x="531"/>
        <item x="994"/>
        <item x="1016"/>
        <item x="267"/>
        <item x="1155"/>
        <item x="2477"/>
        <item x="1498"/>
        <item x="1131"/>
        <item x="1689"/>
        <item x="1293"/>
        <item x="692"/>
        <item x="525"/>
        <item x="1792"/>
        <item x="1398"/>
        <item x="2465"/>
        <item x="2202"/>
        <item x="125"/>
        <item x="1911"/>
        <item x="2055"/>
        <item x="2301"/>
        <item x="2287"/>
        <item x="1893"/>
        <item x="2899"/>
        <item x="2700"/>
        <item x="782"/>
        <item x="1861"/>
        <item x="1846"/>
        <item x="1957"/>
        <item x="1334"/>
        <item x="213"/>
        <item x="1441"/>
        <item x="1882"/>
        <item x="2170"/>
        <item x="1167"/>
        <item x="1487"/>
        <item x="248"/>
        <item x="1435"/>
        <item x="1878"/>
        <item x="2500"/>
        <item x="1301"/>
        <item x="872"/>
        <item x="2988"/>
        <item x="124"/>
        <item x="863"/>
        <item x="1036"/>
        <item x="880"/>
        <item x="633"/>
        <item x="1683"/>
        <item x="2802"/>
        <item x="47"/>
        <item x="1918"/>
        <item x="2304"/>
        <item x="1895"/>
        <item x="58"/>
        <item x="1990"/>
        <item x="674"/>
        <item x="1418"/>
        <item x="1402"/>
        <item x="2250"/>
        <item x="477"/>
        <item x="2097"/>
        <item x="1077"/>
        <item x="1416"/>
        <item x="1787"/>
        <item x="2811"/>
        <item x="2767"/>
        <item x="2516"/>
        <item x="2674"/>
        <item x="128"/>
        <item x="123"/>
        <item x="716"/>
        <item x="2539"/>
        <item x="1126"/>
        <item x="282"/>
        <item x="2968"/>
        <item x="1819"/>
        <item x="2404"/>
        <item x="1227"/>
        <item x="1290"/>
        <item x="2863"/>
        <item x="2309"/>
        <item x="511"/>
        <item x="208"/>
        <item x="1393"/>
        <item x="2330"/>
        <item x="1599"/>
        <item x="1718"/>
        <item x="1648"/>
        <item x="2372"/>
        <item x="2294"/>
        <item x="1938"/>
        <item x="686"/>
        <item x="739"/>
        <item x="2423"/>
        <item x="2835"/>
        <item x="476"/>
        <item x="129"/>
        <item x="2466"/>
        <item x="1148"/>
        <item x="2623"/>
        <item x="2448"/>
        <item x="2930"/>
        <item x="664"/>
        <item x="496"/>
        <item x="689"/>
        <item x="1458"/>
        <item x="2"/>
        <item x="436"/>
        <item x="867"/>
        <item x="1044"/>
        <item x="2838"/>
        <item x="2996"/>
        <item x="2927"/>
        <item x="133"/>
        <item x="583"/>
        <item x="1111"/>
        <item x="2264"/>
        <item x="470"/>
        <item x="266"/>
        <item x="1404"/>
        <item x="1382"/>
        <item x="522"/>
        <item x="2827"/>
        <item x="774"/>
        <item x="2536"/>
        <item x="2446"/>
        <item x="697"/>
        <item x="639"/>
        <item x="2276"/>
        <item x="520"/>
        <item x="647"/>
        <item x="445"/>
        <item x="1833"/>
        <item x="2335"/>
        <item x="394"/>
        <item x="1085"/>
        <item x="1481"/>
        <item x="57"/>
        <item x="2379"/>
        <item x="811"/>
        <item x="1046"/>
        <item x="989"/>
        <item x="2609"/>
        <item x="2503"/>
        <item x="1395"/>
        <item x="2757"/>
        <item x="2936"/>
        <item x="437"/>
        <item x="1055"/>
        <item x="215"/>
        <item x="1814"/>
        <item x="2424"/>
        <item x="1452"/>
        <item x="893"/>
        <item x="1225"/>
        <item x="913"/>
        <item x="2456"/>
        <item x="1966"/>
        <item x="2225"/>
        <item x="2498"/>
        <item x="2204"/>
        <item x="1195"/>
        <item x="758"/>
        <item x="2670"/>
        <item x="2431"/>
        <item x="138"/>
        <item x="1832"/>
        <item x="1172"/>
        <item x="2883"/>
        <item x="1933"/>
        <item x="817"/>
        <item x="1593"/>
        <item x="1848"/>
        <item x="2977"/>
        <item x="2491"/>
        <item x="1475"/>
        <item x="2961"/>
        <item x="2173"/>
        <item x="2897"/>
        <item x="2803"/>
        <item x="2316"/>
        <item x="652"/>
        <item x="2420"/>
        <item x="2821"/>
        <item x="2047"/>
        <item x="2592"/>
        <item x="634"/>
        <item x="2039"/>
        <item x="2014"/>
        <item x="60"/>
        <item x="1248"/>
        <item x="2064"/>
        <item x="2354"/>
        <item x="44"/>
        <item x="503"/>
        <item x="2826"/>
        <item x="372"/>
        <item x="1976"/>
        <item x="568"/>
        <item x="438"/>
        <item x="567"/>
        <item x="408"/>
        <item x="1713"/>
        <item x="2193"/>
        <item x="1140"/>
        <item x="740"/>
        <item x="1138"/>
        <item x="1544"/>
        <item x="1342"/>
        <item x="829"/>
        <item x="2257"/>
        <item x="2347"/>
        <item x="951"/>
        <item x="1307"/>
        <item x="1606"/>
        <item x="1080"/>
        <item x="505"/>
        <item x="673"/>
        <item x="1236"/>
        <item x="2744"/>
        <item x="451"/>
        <item x="2080"/>
        <item x="589"/>
        <item x="2860"/>
        <item x="1373"/>
        <item x="1705"/>
        <item x="1791"/>
        <item x="2283"/>
        <item x="855"/>
        <item x="172"/>
        <item x="839"/>
        <item x="2672"/>
        <item x="2984"/>
        <item x="0"/>
        <item x="625"/>
        <item x="1661"/>
        <item x="2271"/>
        <item x="2157"/>
        <item x="363"/>
        <item x="218"/>
        <item x="823"/>
        <item x="543"/>
        <item x="2691"/>
        <item x="1886"/>
        <item x="2742"/>
        <item x="295"/>
        <item x="797"/>
        <item x="1447"/>
        <item x="1505"/>
        <item x="2390"/>
        <item x="698"/>
        <item x="562"/>
        <item x="105"/>
        <item x="1816"/>
        <item x="749"/>
        <item x="2810"/>
        <item x="1539"/>
        <item x="2845"/>
        <item x="2596"/>
        <item x="925"/>
        <item x="2874"/>
        <item x="2801"/>
        <item x="566"/>
        <item x="1847"/>
        <item x="885"/>
        <item x="2784"/>
        <item x="420"/>
        <item x="1071"/>
        <item x="2163"/>
        <item x="486"/>
        <item x="662"/>
        <item x="2029"/>
        <item x="2317"/>
        <item x="2568"/>
        <item x="1853"/>
        <item x="37"/>
        <item x="887"/>
        <item x="253"/>
        <item x="191"/>
        <item x="10"/>
        <item x="2583"/>
        <item x="1618"/>
        <item x="2573"/>
        <item x="809"/>
        <item x="1063"/>
        <item x="1587"/>
        <item x="921"/>
        <item x="147"/>
        <item x="504"/>
        <item x="1130"/>
        <item x="1"/>
        <item x="1691"/>
        <item x="845"/>
        <item x="2315"/>
        <item x="1088"/>
        <item x="1417"/>
        <item x="465"/>
        <item x="2126"/>
        <item x="2352"/>
        <item x="279"/>
        <item x="2769"/>
        <item x="5"/>
        <item x="2524"/>
        <item x="2770"/>
        <item x="2578"/>
        <item x="112"/>
        <item x="2443"/>
        <item x="713"/>
        <item x="2182"/>
        <item x="537"/>
        <item x="2824"/>
        <item x="2189"/>
        <item x="2217"/>
        <item x="2286"/>
        <item x="306"/>
        <item x="654"/>
        <item x="2510"/>
        <item x="2721"/>
        <item x="460"/>
        <item x="792"/>
        <item x="2809"/>
        <item x="677"/>
        <item x="2627"/>
        <item x="2741"/>
        <item x="255"/>
        <item x="1854"/>
        <item x="2853"/>
        <item x="270"/>
        <item x="1051"/>
        <item x="1803"/>
        <item x="1496"/>
        <item x="2231"/>
        <item x="508"/>
        <item x="76"/>
        <item x="699"/>
        <item x="2837"/>
        <item x="2389"/>
        <item x="2916"/>
        <item x="2310"/>
        <item x="1533"/>
        <item x="1243"/>
        <item x="2756"/>
        <item x="92"/>
        <item x="1041"/>
        <item x="48"/>
        <item x="2162"/>
        <item x="815"/>
        <item x="225"/>
        <item x="130"/>
        <item x="1669"/>
        <item x="1156"/>
        <item x="1719"/>
        <item x="2095"/>
        <item x="242"/>
        <item x="2421"/>
        <item x="412"/>
        <item x="761"/>
        <item x="1182"/>
        <item x="1851"/>
        <item x="1457"/>
        <item x="1499"/>
        <item x="2435"/>
        <item x="1965"/>
        <item x="1821"/>
        <item x="1336"/>
        <item x="1477"/>
        <item x="2661"/>
        <item x="1471"/>
        <item x="2909"/>
        <item x="1876"/>
        <item x="1954"/>
        <item x="442"/>
        <item x="1817"/>
        <item x="2496"/>
        <item x="499"/>
        <item x="127"/>
        <item x="2875"/>
        <item x="1660"/>
        <item x="1347"/>
        <item x="532"/>
        <item x="1289"/>
        <item x="2290"/>
        <item x="2078"/>
        <item x="2136"/>
        <item x="1781"/>
        <item x="2886"/>
        <item x="539"/>
        <item x="545"/>
        <item x="359"/>
        <item x="2305"/>
        <item x="2611"/>
        <item x="2881"/>
        <item x="1379"/>
        <item x="1690"/>
        <item x="1800"/>
        <item x="2979"/>
        <item x="117"/>
        <item x="585"/>
        <item x="2001"/>
        <item x="785"/>
        <item x="2200"/>
        <item x="2923"/>
        <item x="1645"/>
        <item x="1727"/>
        <item x="1508"/>
        <item x="135"/>
        <item x="1205"/>
        <item x="2024"/>
        <item x="569"/>
        <item x="856"/>
        <item x="361"/>
        <item x="219"/>
        <item x="1883"/>
        <item x="521"/>
        <item x="1564"/>
        <item x="2796"/>
        <item x="1575"/>
        <item x="1123"/>
        <item x="621"/>
        <item x="1004"/>
        <item x="2357"/>
        <item x="2270"/>
        <item x="957"/>
        <item x="533"/>
        <item x="299"/>
        <item x="1186"/>
        <item x="1288"/>
        <item x="232"/>
        <item x="1136"/>
        <item x="2750"/>
        <item x="2087"/>
        <item x="423"/>
        <item x="1932"/>
        <item x="2761"/>
        <item x="2541"/>
        <item x="2507"/>
        <item x="1174"/>
        <item x="970"/>
        <item x="2480"/>
        <item x="236"/>
        <item x="917"/>
        <item x="1651"/>
        <item x="1672"/>
        <item x="1171"/>
        <item x="491"/>
        <item x="1228"/>
        <item x="405"/>
        <item x="28"/>
        <item x="1439"/>
        <item x="342"/>
        <item x="898"/>
        <item x="998"/>
        <item x="14"/>
        <item x="968"/>
        <item x="687"/>
        <item x="414"/>
        <item x="70"/>
        <item x="1104"/>
        <item x="347"/>
        <item x="783"/>
        <item x="2056"/>
        <item x="1541"/>
        <item x="1210"/>
        <item x="321"/>
        <item x="581"/>
        <item x="2707"/>
        <item x="1033"/>
        <item x="2397"/>
        <item x="2941"/>
        <item x="190"/>
        <item x="1633"/>
        <item x="1510"/>
        <item x="77"/>
        <item x="161"/>
        <item x="323"/>
        <item x="1396"/>
        <item x="328"/>
        <item x="1286"/>
        <item x="2467"/>
        <item x="2010"/>
        <item x="835"/>
        <item x="1425"/>
        <item x="651"/>
        <item x="100"/>
        <item x="2505"/>
        <item x="1656"/>
        <item x="2049"/>
        <item x="1025"/>
        <item x="2830"/>
        <item x="1855"/>
        <item x="239"/>
        <item x="904"/>
        <item x="1608"/>
        <item x="2731"/>
        <item x="205"/>
        <item x="375"/>
        <item x="807"/>
        <item x="793"/>
        <item x="1865"/>
        <item x="193"/>
        <item x="379"/>
        <item x="307"/>
        <item x="1731"/>
        <item x="1872"/>
        <item x="2385"/>
        <item x="1520"/>
        <item x="141"/>
        <item x="69"/>
        <item x="1224"/>
        <item x="2615"/>
        <item x="1270"/>
        <item x="940"/>
        <item x="524"/>
        <item x="293"/>
        <item x="821"/>
        <item x="2501"/>
        <item x="1759"/>
        <item x="2791"/>
        <item x="1516"/>
        <item x="214"/>
        <item x="1102"/>
        <item x="1766"/>
        <item x="582"/>
        <item x="2772"/>
        <item x="523"/>
        <item x="453"/>
        <item x="2098"/>
        <item x="987"/>
        <item x="317"/>
        <item x="1887"/>
        <item x="2758"/>
        <item x="2185"/>
        <item x="778"/>
        <item x="2676"/>
        <item x="804"/>
        <item x="115"/>
        <item x="2560"/>
        <item x="2967"/>
        <item x="2696"/>
        <item x="1756"/>
        <item x="561"/>
        <item x="104"/>
        <item x="2644"/>
        <item x="891"/>
        <item x="1889"/>
        <item x="2664"/>
        <item x="1090"/>
        <item x="953"/>
        <item x="1904"/>
        <item x="2240"/>
        <item x="2178"/>
        <item x="1546"/>
        <item x="246"/>
        <item x="2893"/>
        <item x="1745"/>
        <item x="808"/>
        <item x="1907"/>
        <item x="2375"/>
        <item x="1603"/>
        <item x="591"/>
        <item x="2905"/>
        <item x="770"/>
        <item x="2130"/>
        <item x="1164"/>
        <item x="787"/>
        <item x="691"/>
        <item x="23"/>
        <item x="710"/>
        <item x="196"/>
        <item x="2460"/>
        <item x="2689"/>
        <item x="1070"/>
        <item x="422"/>
        <item x="512"/>
        <item x="643"/>
        <item x="2898"/>
        <item x="1084"/>
        <item x="1064"/>
        <item x="2808"/>
        <item x="1193"/>
        <item x="1584"/>
        <item x="1262"/>
        <item x="348"/>
        <item x="747"/>
        <item x="1659"/>
        <item x="2925"/>
        <item x="2176"/>
        <item x="2018"/>
        <item x="231"/>
        <item x="750"/>
        <item x="26"/>
        <item x="2972"/>
        <item x="1782"/>
        <item x="1820"/>
        <item x="2711"/>
        <item x="849"/>
        <item x="1511"/>
        <item x="2850"/>
        <item x="920"/>
        <item x="2915"/>
        <item x="737"/>
        <item x="2028"/>
        <item x="1325"/>
        <item x="1716"/>
        <item x="2129"/>
        <item x="2340"/>
        <item x="175"/>
        <item x="2594"/>
        <item x="526"/>
        <item x="2336"/>
        <item x="2100"/>
        <item x="2229"/>
        <item x="1910"/>
        <item x="1352"/>
        <item x="2786"/>
        <item x="2102"/>
        <item x="1896"/>
        <item x="825"/>
        <item x="314"/>
        <item x="2673"/>
        <item x="311"/>
        <item x="424"/>
        <item x="960"/>
        <item x="1189"/>
        <item x="2346"/>
        <item x="2764"/>
        <item x="25"/>
        <item x="516"/>
        <item x="1007"/>
        <item x="1431"/>
        <item x="2201"/>
        <item x="2046"/>
        <item x="1622"/>
        <item x="528"/>
        <item x="2616"/>
        <item x="1013"/>
        <item x="2753"/>
        <item x="853"/>
        <item x="590"/>
        <item x="2971"/>
        <item x="2455"/>
        <item x="711"/>
        <item x="1075"/>
        <item x="447"/>
        <item x="1038"/>
        <item x="1018"/>
        <item x="2872"/>
        <item x="2854"/>
        <item x="393"/>
        <item x="2285"/>
        <item x="1303"/>
        <item x="1919"/>
        <item x="1346"/>
        <item x="1232"/>
        <item x="237"/>
        <item x="381"/>
        <item x="2906"/>
        <item x="1292"/>
        <item x="490"/>
        <item x="1655"/>
        <item x="1364"/>
        <item x="39"/>
        <item x="1572"/>
        <item x="1671"/>
        <item x="982"/>
        <item x="1641"/>
        <item x="1530"/>
        <item x="1888"/>
        <item x="966"/>
        <item x="2475"/>
        <item x="162"/>
        <item x="2323"/>
        <item x="819"/>
        <item x="2910"/>
        <item x="302"/>
        <item x="937"/>
        <item x="212"/>
        <item x="2924"/>
        <item x="911"/>
        <item x="396"/>
        <item x="2754"/>
        <item x="744"/>
        <item x="492"/>
        <item x="927"/>
        <item x="27"/>
        <item x="777"/>
        <item x="1658"/>
        <item x="572"/>
        <item x="2954"/>
        <item x="1928"/>
        <item x="2343"/>
        <item x="86"/>
        <item x="7"/>
        <item x="1978"/>
        <item x="909"/>
        <item x="489"/>
        <item x="2362"/>
        <item x="1607"/>
        <item x="753"/>
        <item x="310"/>
        <item x="2272"/>
        <item x="704"/>
        <item x="2320"/>
        <item x="300"/>
        <item x="2396"/>
        <item x="353"/>
        <item x="1586"/>
        <item x="1566"/>
        <item x="1890"/>
        <item x="192"/>
        <item x="93"/>
        <item x="695"/>
        <item x="2683"/>
        <item x="2641"/>
        <item x="2384"/>
        <item x="2562"/>
        <item x="2879"/>
        <item x="1930"/>
        <item x="1997"/>
        <item x="922"/>
        <item x="648"/>
        <item x="2606"/>
        <item x="99"/>
        <item x="2527"/>
        <item x="259"/>
        <item x="2171"/>
        <item x="1513"/>
        <item x="2141"/>
        <item x="1726"/>
        <item x="2934"/>
        <item x="2166"/>
        <item x="832"/>
        <item x="1665"/>
        <item x="2917"/>
        <item x="1680"/>
        <item x="1842"/>
        <item x="2884"/>
        <item x="1489"/>
        <item x="865"/>
        <item x="2487"/>
        <item x="312"/>
        <item x="2745"/>
        <item x="1569"/>
        <item x="2167"/>
        <item x="2856"/>
        <item x="1556"/>
        <item x="235"/>
        <item x="1056"/>
        <item x="87"/>
        <item x="1296"/>
        <item x="1503"/>
        <item x="1068"/>
        <item x="1797"/>
        <item x="1554"/>
        <item x="1935"/>
        <item x="186"/>
        <item x="1714"/>
        <item x="1137"/>
        <item x="1304"/>
        <item x="164"/>
        <item x="2152"/>
        <item x="2714"/>
        <item x="1885"/>
        <item x="1001"/>
        <item x="386"/>
        <item x="907"/>
        <item x="2495"/>
        <item x="2416"/>
        <item x="378"/>
        <item x="2011"/>
        <item x="171"/>
        <item x="1143"/>
        <item x="1709"/>
        <item x="2866"/>
        <item x="2344"/>
        <item x="418"/>
        <item x="362"/>
        <item x="2581"/>
        <item x="2579"/>
        <item x="1306"/>
        <item x="527"/>
        <item x="1831"/>
        <item x="1281"/>
        <item x="1737"/>
        <item x="2818"/>
        <item x="1362"/>
        <item x="1427"/>
        <item x="151"/>
        <item x="149"/>
        <item x="731"/>
        <item x="2904"/>
        <item x="2409"/>
        <item x="1784"/>
        <item x="1923"/>
        <item x="2833"/>
        <item x="2371"/>
        <item x="1252"/>
        <item x="415"/>
        <item x="67"/>
        <item x="1141"/>
        <item x="1961"/>
        <item x="345"/>
        <item x="763"/>
        <item x="2888"/>
        <item x="430"/>
        <item x="283"/>
        <item x="1686"/>
        <item x="1827"/>
        <item x="1537"/>
        <item x="1670"/>
        <item x="2868"/>
        <item x="1002"/>
        <item x="1108"/>
        <item x="1605"/>
        <item x="858"/>
        <item x="1592"/>
        <item x="1079"/>
        <item x="2050"/>
        <item x="1423"/>
        <item x="334"/>
        <item x="1095"/>
        <item x="1934"/>
        <item x="1948"/>
        <item x="174"/>
        <item x="2706"/>
        <item x="1524"/>
        <item x="2685"/>
        <item x="1597"/>
        <item x="2042"/>
        <item x="401"/>
        <item x="2418"/>
        <item x="2360"/>
        <item x="1424"/>
        <item x="894"/>
        <item x="1039"/>
        <item x="2288"/>
        <item x="831"/>
        <item x="1059"/>
        <item x="901"/>
        <item x="2172"/>
        <item x="775"/>
        <item x="2066"/>
        <item x="642"/>
        <item x="2168"/>
        <item x="250"/>
        <item x="1279"/>
        <item x="1310"/>
        <item x="338"/>
        <item x="1298"/>
        <item x="824"/>
        <item x="1981"/>
        <item x="791"/>
        <item x="89"/>
        <item x="356"/>
        <item x="440"/>
        <item x="1862"/>
        <item x="2212"/>
        <item x="2785"/>
        <item x="2291"/>
        <item x="2306"/>
        <item x="96"/>
        <item x="1426"/>
        <item x="573"/>
        <item x="1117"/>
        <item x="2937"/>
        <item x="2093"/>
        <item x="2187"/>
        <item x="340"/>
        <item x="1034"/>
        <item x="586"/>
        <item x="2665"/>
        <item x="1083"/>
        <item x="1365"/>
        <item x="660"/>
        <item x="1518"/>
        <item x="2528"/>
        <item x="1703"/>
        <item x="1621"/>
        <item x="2030"/>
        <item x="2890"/>
        <item x="2006"/>
        <item x="2693"/>
        <item x="1212"/>
        <item x="2227"/>
        <item x="1211"/>
        <item x="389"/>
        <item x="717"/>
        <item x="795"/>
        <item x="971"/>
        <item x="509"/>
        <item x="1585"/>
        <item x="2261"/>
        <item x="2766"/>
        <item x="2256"/>
        <item x="439"/>
        <item x="515"/>
        <item x="2388"/>
        <item x="1927"/>
        <item x="2081"/>
        <item x="1977"/>
        <item x="2597"/>
        <item x="592"/>
        <item x="1527"/>
        <item x="2694"/>
        <item x="2353"/>
        <item x="1734"/>
        <item x="51"/>
        <item x="1483"/>
        <item x="1050"/>
        <item x="626"/>
        <item x="1715"/>
        <item x="1009"/>
        <item x="1809"/>
        <item x="2473"/>
        <item x="2142"/>
        <item x="2775"/>
        <item x="2292"/>
        <item x="550"/>
        <item x="1844"/>
        <item x="2708"/>
        <item x="1343"/>
        <item x="1149"/>
        <item x="1309"/>
        <item x="1553"/>
        <item x="2131"/>
        <item x="1266"/>
        <item x="759"/>
        <item x="417"/>
        <item x="1391"/>
        <item x="2478"/>
        <item x="2457"/>
        <item x="2584"/>
        <item x="1849"/>
        <item x="2859"/>
        <item x="1717"/>
        <item x="188"/>
        <item x="1924"/>
        <item x="296"/>
        <item x="632"/>
        <item x="2381"/>
        <item x="669"/>
        <item x="2701"/>
        <item x="1326"/>
        <item x="2580"/>
        <item x="2005"/>
        <item x="2604"/>
        <item x="497"/>
        <item x="1180"/>
        <item x="2709"/>
        <item x="2540"/>
        <item x="2502"/>
        <item x="2582"/>
        <item x="2079"/>
        <item x="1042"/>
        <item x="2950"/>
        <item x="245"/>
        <item x="995"/>
        <item x="2367"/>
        <item x="2857"/>
        <item x="2076"/>
        <item x="2326"/>
        <item x="828"/>
        <item x="2577"/>
        <item x="900"/>
        <item x="1830"/>
        <item x="55"/>
        <item x="2851"/>
        <item x="2974"/>
        <item x="2626"/>
        <item x="645"/>
        <item x="484"/>
        <item x="1598"/>
        <item x="1601"/>
        <item x="2489"/>
        <item x="2072"/>
        <item x="1249"/>
        <item x="1486"/>
        <item x="544"/>
        <item x="1251"/>
        <item x="1708"/>
        <item x="2749"/>
        <item x="2479"/>
        <item x="1560"/>
        <item x="1667"/>
        <item x="1742"/>
        <item x="2253"/>
        <item x="1688"/>
        <item x="291"/>
        <item x="2800"/>
        <item x="2957"/>
        <item x="1399"/>
        <item x="369"/>
        <item x="1639"/>
        <item x="628"/>
        <item x="13"/>
        <item x="1557"/>
        <item x="1231"/>
        <item x="1291"/>
        <item x="1387"/>
        <item x="571"/>
        <item x="2432"/>
        <item x="1925"/>
        <item x="1696"/>
        <item x="2300"/>
        <item x="2414"/>
        <item x="1221"/>
        <item x="1375"/>
        <item x="2062"/>
        <item x="1838"/>
        <item x="258"/>
        <item x="2975"/>
        <item x="2783"/>
        <item x="2406"/>
        <item x="612"/>
        <item x="2629"/>
        <item x="2716"/>
        <item x="1841"/>
        <item x="1377"/>
        <item x="495"/>
        <item x="1366"/>
        <item x="1368"/>
        <item x="1333"/>
        <item x="685"/>
        <item x="1370"/>
        <item x="2469"/>
        <item x="2729"/>
        <item x="21"/>
        <item x="1870"/>
        <item x="54"/>
        <item x="1638"/>
        <item x="2794"/>
        <item x="838"/>
        <item x="2454"/>
        <item x="1795"/>
        <item x="1434"/>
        <item x="2023"/>
        <item x="826"/>
        <item x="715"/>
        <item x="1504"/>
        <item x="2774"/>
        <item x="617"/>
        <item x="564"/>
        <item x="748"/>
        <item x="2712"/>
        <item x="165"/>
        <item x="2194"/>
        <item x="796"/>
        <item x="820"/>
        <item x="2027"/>
        <item x="318"/>
        <item x="2805"/>
        <item x="169"/>
        <item x="1261"/>
        <item x="339"/>
        <item x="1097"/>
        <item x="757"/>
        <item x="981"/>
        <item x="1871"/>
        <item x="2660"/>
        <item x="1450"/>
        <item x="2351"/>
        <item x="1356"/>
        <item x="895"/>
        <item x="1311"/>
        <item x="1812"/>
        <item x="2698"/>
        <item x="203"/>
        <item x="1652"/>
        <item x="840"/>
        <item x="194"/>
        <item x="1058"/>
        <item x="546"/>
        <item x="31"/>
        <item x="1100"/>
        <item x="2338"/>
        <item x="2334"/>
        <item x="2554"/>
        <item x="929"/>
        <item x="850"/>
        <item x="2695"/>
        <item x="2494"/>
        <item x="2101"/>
        <item x="1629"/>
        <item x="1969"/>
        <item x="1187"/>
        <item x="833"/>
        <item x="2542"/>
        <item x="727"/>
        <item x="1992"/>
        <item x="646"/>
        <item x="1295"/>
        <item x="2734"/>
        <item x="923"/>
        <item x="454"/>
        <item x="2003"/>
        <item x="2816"/>
        <item x="1581"/>
        <item x="450"/>
        <item x="2842"/>
        <item x="2057"/>
        <item x="1579"/>
        <item x="2419"/>
        <item x="2697"/>
        <item x="398"/>
        <item x="1588"/>
        <item x="2122"/>
        <item x="1915"/>
        <item x="1316"/>
        <item x="234"/>
        <item x="671"/>
        <item x="2529"/>
        <item x="2224"/>
        <item x="2828"/>
        <item x="274"/>
        <item x="501"/>
        <item x="979"/>
        <item x="428"/>
        <item x="316"/>
        <item x="2682"/>
        <item x="668"/>
        <item x="542"/>
        <item x="932"/>
        <item x="2780"/>
        <item x="366"/>
        <item x="1687"/>
        <item x="2308"/>
        <item x="1191"/>
        <item x="2593"/>
        <item x="2790"/>
        <item x="2302"/>
        <item x="2355"/>
        <item x="2901"/>
        <item x="1190"/>
        <item x="2026"/>
        <item x="1984"/>
        <item x="2718"/>
        <item x="1623"/>
        <item x="2537"/>
        <item x="145"/>
        <item x="993"/>
        <item x="1162"/>
        <item x="2841"/>
        <item x="140"/>
        <item x="1942"/>
        <item t="default"/>
      </items>
    </pivotField>
    <pivotField showAll="0">
      <items count="6">
        <item x="4"/>
        <item x="1"/>
        <item x="0"/>
        <item x="2"/>
        <item x="3"/>
        <item t="default"/>
      </items>
    </pivotField>
    <pivotField showAll="0"/>
    <pivotField showAll="0">
      <items count="7">
        <item x="0"/>
        <item x="4"/>
        <item x="3"/>
        <item x="1"/>
        <item x="5"/>
        <item x="2"/>
        <item t="default"/>
      </items>
    </pivotField>
    <pivotField axis="axisRow" showAll="0">
      <items count="19">
        <item x="17"/>
        <item x="14"/>
        <item x="16"/>
        <item x="7"/>
        <item x="3"/>
        <item x="10"/>
        <item x="4"/>
        <item x="12"/>
        <item x="0"/>
        <item x="9"/>
        <item x="11"/>
        <item x="13"/>
        <item x="6"/>
        <item x="1"/>
        <item x="5"/>
        <item x="15"/>
        <item x="8"/>
        <item x="2"/>
        <item t="default"/>
      </items>
    </pivotField>
    <pivotField numFmtId="3" showAll="0"/>
    <pivotField numFmtId="3" showAll="0"/>
    <pivotField dataField="1" numFmtId="3" showAll="0"/>
    <pivotField dataField="1" numFmtId="3" showAll="0"/>
    <pivotField numFmtId="3" showAll="0"/>
    <pivotField numFmtId="3" showAll="0"/>
    <pivotField numFmtId="3" showAll="0"/>
    <pivotField numFmtId="3" showAll="0"/>
    <pivotField numFmtId="10" showAll="0"/>
    <pivotField showAll="0"/>
  </pivotFields>
  <rowFields count="1">
    <field x="5"/>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Reach" fld="8" baseField="0" baseItem="0"/>
    <dataField name="Sum of Like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C5D0C8-ED49-454C-8938-45C4C3B3796A}"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16">
    <pivotField showAll="0"/>
    <pivotField showAll="0"/>
    <pivotField showAll="0">
      <items count="6">
        <item x="4"/>
        <item x="1"/>
        <item x="0"/>
        <item x="2"/>
        <item x="3"/>
        <item t="default"/>
      </items>
    </pivotField>
    <pivotField showAll="0"/>
    <pivotField axis="axisRow" showAll="0">
      <items count="7">
        <item x="0"/>
        <item x="4"/>
        <item x="3"/>
        <item x="1"/>
        <item x="5"/>
        <item x="2"/>
        <item t="default"/>
      </items>
    </pivotField>
    <pivotField showAll="0">
      <items count="19">
        <item x="17"/>
        <item x="14"/>
        <item x="16"/>
        <item x="7"/>
        <item x="3"/>
        <item x="10"/>
        <item x="4"/>
        <item x="12"/>
        <item x="0"/>
        <item x="9"/>
        <item x="11"/>
        <item x="13"/>
        <item x="6"/>
        <item x="1"/>
        <item x="5"/>
        <item x="15"/>
        <item x="8"/>
        <item x="2"/>
        <item t="default"/>
      </items>
    </pivotField>
    <pivotField dataField="1" numFmtId="3" showAll="0"/>
    <pivotField numFmtId="3" showAll="0"/>
    <pivotField numFmtId="3" showAll="0"/>
    <pivotField numFmtId="3" showAll="0"/>
    <pivotField numFmtId="3" showAll="0"/>
    <pivotField numFmtId="3" showAll="0"/>
    <pivotField numFmtId="3" showAll="0"/>
    <pivotField numFmtId="3" showAll="0"/>
    <pivotField numFmtId="10" showAll="0"/>
    <pivotField showAll="0"/>
  </pivotFields>
  <rowFields count="1">
    <field x="4"/>
  </rowFields>
  <rowItems count="7">
    <i>
      <x/>
    </i>
    <i>
      <x v="1"/>
    </i>
    <i>
      <x v="2"/>
    </i>
    <i>
      <x v="3"/>
    </i>
    <i>
      <x v="4"/>
    </i>
    <i>
      <x v="5"/>
    </i>
    <i t="grand">
      <x/>
    </i>
  </rowItems>
  <colItems count="1">
    <i/>
  </colItems>
  <dataFields count="1">
    <dataField name="Sum of Follower C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0EBAAE-262E-4BC8-9596-BF8EFF080E0E}"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6">
    <pivotField showAll="0"/>
    <pivotField showAll="0"/>
    <pivotField showAll="0">
      <items count="6">
        <item x="4"/>
        <item x="1"/>
        <item x="0"/>
        <item x="2"/>
        <item x="3"/>
        <item t="default"/>
      </items>
    </pivotField>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10" showAll="0"/>
    <pivotField axis="axisRow" showAll="0">
      <items count="4">
        <item x="2"/>
        <item x="1"/>
        <item x="0"/>
        <item t="default"/>
      </items>
    </pivotField>
  </pivotFields>
  <rowFields count="1">
    <field x="15"/>
  </rowFields>
  <rowItems count="4">
    <i>
      <x/>
    </i>
    <i>
      <x v="1"/>
    </i>
    <i>
      <x v="2"/>
    </i>
    <i t="grand">
      <x/>
    </i>
  </rowItems>
  <colItems count="1">
    <i/>
  </colItems>
  <dataFields count="1">
    <dataField name="Sum of Engagement Rate (%)" fld="14"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7">
      <pivotArea type="data" outline="0" fieldPosition="0">
        <references count="2">
          <reference field="4294967294" count="1" selected="0">
            <x v="0"/>
          </reference>
          <reference field="15" count="1" selected="0">
            <x v="0"/>
          </reference>
        </references>
      </pivotArea>
    </chartFormat>
    <chartFormat chart="0" format="8">
      <pivotArea type="data" outline="0" fieldPosition="0">
        <references count="2">
          <reference field="4294967294" count="1" selected="0">
            <x v="0"/>
          </reference>
          <reference field="15" count="1" selected="0">
            <x v="1"/>
          </reference>
        </references>
      </pivotArea>
    </chartFormat>
    <chartFormat chart="0" format="9">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762BF9-58ED-4363-B108-7F8948A44FD4}"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4" firstHeaderRow="0" firstDataRow="1" firstDataCol="0"/>
  <pivotFields count="16">
    <pivotField showAll="0"/>
    <pivotField showAll="0"/>
    <pivotField showAll="0">
      <items count="6">
        <item x="4"/>
        <item x="1"/>
        <item x="0"/>
        <item x="2"/>
        <item x="3"/>
        <item t="default"/>
      </items>
    </pivotField>
    <pivotField showAll="0"/>
    <pivotField showAll="0"/>
    <pivotField showAll="0"/>
    <pivotField dataField="1" numFmtId="3" showAll="0"/>
    <pivotField dataField="1" numFmtId="3" showAll="0"/>
    <pivotField dataField="1" numFmtId="3" showAll="0"/>
    <pivotField dataField="1" numFmtId="3" showAll="0"/>
    <pivotField numFmtId="3" showAll="0"/>
    <pivotField dataField="1" numFmtId="3" showAll="0"/>
    <pivotField numFmtId="3" showAll="0"/>
    <pivotField numFmtId="3" showAll="0"/>
    <pivotField dataField="1" numFmtId="10" showAll="0"/>
    <pivotField showAll="0"/>
  </pivotFields>
  <rowItems count="1">
    <i/>
  </rowItems>
  <colFields count="1">
    <field x="-2"/>
  </colFields>
  <colItems count="6">
    <i>
      <x/>
    </i>
    <i i="1">
      <x v="1"/>
    </i>
    <i i="2">
      <x v="2"/>
    </i>
    <i i="3">
      <x v="3"/>
    </i>
    <i i="4">
      <x v="4"/>
    </i>
    <i i="5">
      <x v="5"/>
    </i>
  </colItems>
  <dataFields count="6">
    <dataField name="Sum of Reach" fld="8" baseField="0" baseItem="0"/>
    <dataField name="Sum of Follower Count" fld="6" baseField="0" baseItem="0"/>
    <dataField name="Sum of Impressions" fld="7" baseField="0" baseItem="0"/>
    <dataField name="Sum of Engagement Rate (%)" fld="14" baseField="0" baseItem="0"/>
    <dataField name="Sum of Likes" fld="9" baseField="0" baseItem="0"/>
    <dataField name="Sum of Shares / Retweet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E7C8B0B-3D64-4530-8D55-A79D131D7430}" sourceName="Platform">
  <pivotTables>
    <pivotTable tabId="15" name="PivotTable3"/>
    <pivotTable tabId="9" name="PivotTable1"/>
    <pivotTable tabId="20" name="PivotTable6"/>
    <pivotTable tabId="22" name="PivotTable7"/>
    <pivotTable tabId="23" name="PivotTable8"/>
    <pivotTable tabId="24" name="PivotTable9"/>
  </pivotTables>
  <data>
    <tabular pivotCacheId="1882341452">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A04B056-4421-4918-AA95-9C30658E0900}" cache="Slicer_Platform" caption="Platform" columnCount="5" showCaption="0" style="SlicerStyleLight5"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4B0BD32D-C755-452F-B2E6-B58EBAE3D34A}" cache="Slicer_Platform" caption="Platform" columnCount="5" showCaption="0" style="SlicerStyleLight5"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CFB2F5-E1FA-429C-987F-966717B136B1}" name="Table1" displayName="Table1" ref="A1:L512" totalsRowShown="0">
  <autoFilter ref="A1:L512" xr:uid="{80CFB2F5-E1FA-429C-987F-966717B136B1}"/>
  <tableColumns count="12">
    <tableColumn id="1" xr3:uid="{7F16744C-B132-496C-B520-DAE25F61544E}" name="Content Category"/>
    <tableColumn id="2" xr3:uid="{5ABB2C1A-59A1-4095-8ABC-96AF00061252}" name="Post Type"/>
    <tableColumn id="3" xr3:uid="{E722BB72-4164-470F-8986-4CE2392EC199}" name="Follower Count"/>
    <tableColumn id="4" xr3:uid="{38834F42-D109-4B83-8669-835DAEA16B59}" name="Impressions"/>
    <tableColumn id="5" xr3:uid="{FDCD10C5-7F03-4551-9A22-CFCB601A752F}" name="Reach"/>
    <tableColumn id="6" xr3:uid="{8EC22B61-E494-46D9-ABDD-CC000328DF42}" name="Likes"/>
    <tableColumn id="7" xr3:uid="{8CDE5EE9-6CD0-4D3D-9001-A228CA6B6693}" name="Comments"/>
    <tableColumn id="8" xr3:uid="{6FAC33D8-9F94-4912-8B99-9C04F8AD8CCE}" name="Shares / Retweets"/>
    <tableColumn id="9" xr3:uid="{628925B6-363F-4C1E-83B0-08F23B491346}" name="Saves / Bookmarks"/>
    <tableColumn id="10" xr3:uid="{E9B889B9-2078-4067-9302-51FC0AF9D96D}" name="Clicks"/>
    <tableColumn id="11" xr3:uid="{77207BFF-7686-4945-A592-5F318D112A55}" name="Engagement Rate (%)"/>
    <tableColumn id="12" xr3:uid="{D4D4F128-C355-441C-BBD8-EE2A4A47DB4D}"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1ECE-91C4-4BF4-BD00-AF2BE50B16B3}">
  <dimension ref="A3:G13"/>
  <sheetViews>
    <sheetView workbookViewId="0">
      <selection activeCell="A4" sqref="A4"/>
    </sheetView>
  </sheetViews>
  <sheetFormatPr defaultRowHeight="15" x14ac:dyDescent="0.25"/>
  <cols>
    <col min="1" max="1" width="12.85546875" bestFit="1" customWidth="1"/>
    <col min="2" max="2" width="21.5703125" bestFit="1" customWidth="1"/>
    <col min="3" max="3" width="24" bestFit="1" customWidth="1"/>
    <col min="4" max="4" width="27" bestFit="1" customWidth="1"/>
    <col min="5" max="5" width="12" bestFit="1" customWidth="1"/>
    <col min="6" max="6" width="17.42578125" bestFit="1" customWidth="1"/>
    <col min="7" max="7" width="18.5703125" bestFit="1" customWidth="1"/>
  </cols>
  <sheetData>
    <row r="3" spans="1:7" x14ac:dyDescent="0.25">
      <c r="A3" t="s">
        <v>6085</v>
      </c>
      <c r="B3" t="s">
        <v>6084</v>
      </c>
      <c r="C3" t="s">
        <v>6086</v>
      </c>
      <c r="D3" t="s">
        <v>6076</v>
      </c>
      <c r="E3" t="s">
        <v>6087</v>
      </c>
      <c r="F3" t="s">
        <v>6088</v>
      </c>
      <c r="G3" t="s">
        <v>6089</v>
      </c>
    </row>
    <row r="4" spans="1:7" x14ac:dyDescent="0.25">
      <c r="A4" s="12">
        <v>84860861</v>
      </c>
      <c r="B4" s="12">
        <v>213458310</v>
      </c>
      <c r="C4" s="12">
        <v>420218</v>
      </c>
      <c r="D4" s="12">
        <v>40.722917162942068</v>
      </c>
      <c r="E4" s="12">
        <v>5379020</v>
      </c>
      <c r="F4" s="12">
        <v>562166</v>
      </c>
      <c r="G4" s="12">
        <v>105052808</v>
      </c>
    </row>
    <row r="7" spans="1:7" x14ac:dyDescent="0.25">
      <c r="A7" t="s">
        <v>6090</v>
      </c>
      <c r="B7">
        <f>GETPIVOTDATA("Sum of Reach",$A$3)</f>
        <v>84860861</v>
      </c>
    </row>
    <row r="8" spans="1:7" x14ac:dyDescent="0.25">
      <c r="A8" t="s">
        <v>6091</v>
      </c>
      <c r="B8">
        <f>GETPIVOTDATA("Sum of Follower Count",$A$3)</f>
        <v>213458310</v>
      </c>
    </row>
    <row r="9" spans="1:7" x14ac:dyDescent="0.25">
      <c r="A9" t="s">
        <v>6092</v>
      </c>
      <c r="B9">
        <f>GETPIVOTDATA("Sum of Shares / Retweets",$A$3)</f>
        <v>420218</v>
      </c>
    </row>
    <row r="10" spans="1:7" x14ac:dyDescent="0.25">
      <c r="A10" t="s">
        <v>6093</v>
      </c>
      <c r="B10">
        <f>GETPIVOTDATA("Sum of Engagement Rate (%)",$A$3)</f>
        <v>40.722917162942068</v>
      </c>
    </row>
    <row r="11" spans="1:7" x14ac:dyDescent="0.25">
      <c r="A11" t="s">
        <v>6094</v>
      </c>
      <c r="B11">
        <f>GETPIVOTDATA("Sum of Likes",$A$3)</f>
        <v>5379020</v>
      </c>
    </row>
    <row r="12" spans="1:7" x14ac:dyDescent="0.25">
      <c r="A12" t="s">
        <v>6095</v>
      </c>
      <c r="B12">
        <f>GETPIVOTDATA("Sum of Likes",$A$3)</f>
        <v>5379020</v>
      </c>
    </row>
    <row r="13" spans="1:7" x14ac:dyDescent="0.25">
      <c r="A13" t="s">
        <v>6073</v>
      </c>
      <c r="B13">
        <f>GETPIVOTDATA("Sum of Impressions",$A$3)</f>
        <v>105052808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D86F-5A6D-47BD-A7D5-A06B2699050C}">
  <dimension ref="A1:L512"/>
  <sheetViews>
    <sheetView topLeftCell="A2" workbookViewId="0">
      <selection sqref="A1:L512"/>
    </sheetView>
  </sheetViews>
  <sheetFormatPr defaultRowHeight="15" x14ac:dyDescent="0.25"/>
  <cols>
    <col min="1" max="1" width="18.5703125" customWidth="1"/>
    <col min="2" max="2" width="11.7109375" customWidth="1"/>
    <col min="3" max="3" width="16.7109375" customWidth="1"/>
    <col min="4" max="4" width="13.85546875" customWidth="1"/>
    <col min="7" max="7" width="12.7109375" customWidth="1"/>
    <col min="8" max="8" width="19.140625" customWidth="1"/>
    <col min="9" max="9" width="19.5703125" customWidth="1"/>
    <col min="11" max="11" width="22" customWidth="1"/>
    <col min="12" max="12" width="12.42578125" customWidth="1"/>
  </cols>
  <sheetData>
    <row r="1" spans="1:12" x14ac:dyDescent="0.25">
      <c r="A1" t="s">
        <v>4</v>
      </c>
      <c r="B1" t="s">
        <v>5</v>
      </c>
      <c r="C1" t="s">
        <v>6</v>
      </c>
      <c r="D1" t="s">
        <v>7</v>
      </c>
      <c r="E1" t="s">
        <v>8</v>
      </c>
      <c r="F1" t="s">
        <v>9</v>
      </c>
      <c r="G1" t="s">
        <v>10</v>
      </c>
      <c r="H1" t="s">
        <v>11</v>
      </c>
      <c r="I1" t="s">
        <v>12</v>
      </c>
      <c r="J1" t="s">
        <v>13</v>
      </c>
      <c r="K1" t="s">
        <v>14</v>
      </c>
      <c r="L1" t="s">
        <v>15</v>
      </c>
    </row>
    <row r="2" spans="1:12" x14ac:dyDescent="0.25">
      <c r="A2" t="s">
        <v>20</v>
      </c>
      <c r="B2" t="s">
        <v>21</v>
      </c>
      <c r="C2">
        <v>774746</v>
      </c>
      <c r="D2">
        <v>389062</v>
      </c>
      <c r="E2">
        <v>279784</v>
      </c>
      <c r="F2">
        <v>17630</v>
      </c>
      <c r="G2">
        <v>607</v>
      </c>
      <c r="H2">
        <v>853</v>
      </c>
      <c r="I2">
        <v>2663</v>
      </c>
      <c r="J2">
        <v>2255</v>
      </c>
      <c r="K2">
        <v>7.7749263717725101E-2</v>
      </c>
      <c r="L2" t="s">
        <v>22</v>
      </c>
    </row>
    <row r="3" spans="1:12" x14ac:dyDescent="0.25">
      <c r="A3" t="s">
        <v>20</v>
      </c>
      <c r="B3" t="s">
        <v>128</v>
      </c>
      <c r="C3">
        <v>512044</v>
      </c>
      <c r="D3">
        <v>80471</v>
      </c>
      <c r="E3">
        <v>62805</v>
      </c>
      <c r="F3">
        <v>4600</v>
      </c>
      <c r="G3">
        <v>510</v>
      </c>
      <c r="H3">
        <v>443</v>
      </c>
      <c r="I3">
        <v>38</v>
      </c>
      <c r="J3">
        <v>2779</v>
      </c>
      <c r="K3">
        <v>8.9021574715388907E-2</v>
      </c>
      <c r="L3" t="s">
        <v>22</v>
      </c>
    </row>
    <row r="4" spans="1:12" x14ac:dyDescent="0.25">
      <c r="A4" t="s">
        <v>20</v>
      </c>
      <c r="B4" t="s">
        <v>78</v>
      </c>
      <c r="C4">
        <v>654879</v>
      </c>
      <c r="D4">
        <v>57937</v>
      </c>
      <c r="E4">
        <v>51588</v>
      </c>
      <c r="F4">
        <v>1806</v>
      </c>
      <c r="G4">
        <v>134</v>
      </c>
      <c r="H4">
        <v>67</v>
      </c>
      <c r="I4">
        <v>366</v>
      </c>
      <c r="J4">
        <v>1156</v>
      </c>
      <c r="K4">
        <v>4.5999069551058383E-2</v>
      </c>
      <c r="L4" t="s">
        <v>29</v>
      </c>
    </row>
    <row r="5" spans="1:12" x14ac:dyDescent="0.25">
      <c r="A5" t="s">
        <v>20</v>
      </c>
      <c r="B5" t="s">
        <v>87</v>
      </c>
      <c r="C5">
        <v>711239</v>
      </c>
      <c r="D5">
        <v>176253</v>
      </c>
      <c r="E5">
        <v>157360</v>
      </c>
      <c r="F5">
        <v>5502</v>
      </c>
      <c r="G5">
        <v>682</v>
      </c>
      <c r="H5">
        <v>788</v>
      </c>
      <c r="I5">
        <v>627</v>
      </c>
      <c r="J5">
        <v>3896</v>
      </c>
      <c r="K5">
        <v>4.8290543975597358E-2</v>
      </c>
      <c r="L5" t="s">
        <v>29</v>
      </c>
    </row>
    <row r="6" spans="1:12" x14ac:dyDescent="0.25">
      <c r="A6" t="s">
        <v>20</v>
      </c>
      <c r="B6" t="s">
        <v>107</v>
      </c>
      <c r="C6">
        <v>575218</v>
      </c>
      <c r="D6">
        <v>340306</v>
      </c>
      <c r="E6">
        <v>263032</v>
      </c>
      <c r="F6">
        <v>24441</v>
      </c>
      <c r="G6">
        <v>1808</v>
      </c>
      <c r="H6">
        <v>2424</v>
      </c>
      <c r="I6">
        <v>38</v>
      </c>
      <c r="J6">
        <v>8669</v>
      </c>
      <c r="K6">
        <v>0.10915401928282491</v>
      </c>
      <c r="L6" t="s">
        <v>29</v>
      </c>
    </row>
    <row r="7" spans="1:12" x14ac:dyDescent="0.25">
      <c r="A7" t="s">
        <v>20</v>
      </c>
      <c r="B7" t="s">
        <v>35</v>
      </c>
      <c r="C7">
        <v>800302</v>
      </c>
      <c r="D7">
        <v>387892</v>
      </c>
      <c r="E7">
        <v>286490</v>
      </c>
      <c r="F7">
        <v>30131</v>
      </c>
      <c r="G7">
        <v>5130</v>
      </c>
      <c r="H7">
        <v>3617</v>
      </c>
      <c r="I7">
        <v>22</v>
      </c>
      <c r="J7">
        <v>8262</v>
      </c>
      <c r="K7">
        <v>0.13578135362490837</v>
      </c>
      <c r="L7" t="s">
        <v>66</v>
      </c>
    </row>
    <row r="8" spans="1:12" x14ac:dyDescent="0.25">
      <c r="A8" t="s">
        <v>20</v>
      </c>
      <c r="B8" t="s">
        <v>21</v>
      </c>
      <c r="C8">
        <v>610730</v>
      </c>
      <c r="D8">
        <v>257006</v>
      </c>
      <c r="E8">
        <v>198346</v>
      </c>
      <c r="F8">
        <v>14365</v>
      </c>
      <c r="G8">
        <v>1688</v>
      </c>
      <c r="H8">
        <v>1657</v>
      </c>
      <c r="I8">
        <v>1591</v>
      </c>
      <c r="J8">
        <v>3574</v>
      </c>
      <c r="K8">
        <v>9.7309751646113357E-2</v>
      </c>
      <c r="L8" t="s">
        <v>29</v>
      </c>
    </row>
    <row r="9" spans="1:12" x14ac:dyDescent="0.25">
      <c r="A9" t="s">
        <v>20</v>
      </c>
      <c r="B9" t="s">
        <v>58</v>
      </c>
      <c r="C9">
        <v>5902</v>
      </c>
      <c r="D9">
        <v>3418</v>
      </c>
      <c r="E9">
        <v>3123</v>
      </c>
      <c r="F9">
        <v>224</v>
      </c>
      <c r="G9">
        <v>23</v>
      </c>
      <c r="H9">
        <v>7</v>
      </c>
      <c r="I9">
        <v>39</v>
      </c>
      <c r="J9">
        <v>103</v>
      </c>
      <c r="K9">
        <v>9.3820044828690358E-2</v>
      </c>
      <c r="L9" t="s">
        <v>22</v>
      </c>
    </row>
    <row r="10" spans="1:12" x14ac:dyDescent="0.25">
      <c r="A10" t="s">
        <v>20</v>
      </c>
      <c r="B10" t="s">
        <v>107</v>
      </c>
      <c r="C10">
        <v>317018</v>
      </c>
      <c r="D10">
        <v>96053</v>
      </c>
      <c r="E10">
        <v>79384</v>
      </c>
      <c r="F10">
        <v>2908</v>
      </c>
      <c r="G10">
        <v>507</v>
      </c>
      <c r="H10">
        <v>195</v>
      </c>
      <c r="I10">
        <v>22</v>
      </c>
      <c r="J10">
        <v>2568</v>
      </c>
      <c r="K10">
        <v>4.575229265343142E-2</v>
      </c>
      <c r="L10" t="s">
        <v>29</v>
      </c>
    </row>
    <row r="11" spans="1:12" x14ac:dyDescent="0.25">
      <c r="A11" t="s">
        <v>20</v>
      </c>
      <c r="B11" t="s">
        <v>40</v>
      </c>
      <c r="C11">
        <v>249498</v>
      </c>
      <c r="D11">
        <v>110857</v>
      </c>
      <c r="E11">
        <v>78198</v>
      </c>
      <c r="F11">
        <v>7871</v>
      </c>
      <c r="G11">
        <v>803</v>
      </c>
      <c r="H11">
        <v>382</v>
      </c>
      <c r="I11">
        <v>33</v>
      </c>
      <c r="J11">
        <v>1167</v>
      </c>
      <c r="K11">
        <v>0.11623059413284227</v>
      </c>
      <c r="L11" t="s">
        <v>22</v>
      </c>
    </row>
    <row r="12" spans="1:12" x14ac:dyDescent="0.25">
      <c r="A12" t="s">
        <v>20</v>
      </c>
      <c r="B12" t="s">
        <v>21</v>
      </c>
      <c r="C12">
        <v>238931</v>
      </c>
      <c r="D12">
        <v>105415</v>
      </c>
      <c r="E12">
        <v>75536</v>
      </c>
      <c r="F12">
        <v>4137</v>
      </c>
      <c r="G12">
        <v>500</v>
      </c>
      <c r="H12">
        <v>406</v>
      </c>
      <c r="I12">
        <v>226</v>
      </c>
      <c r="J12">
        <v>1131</v>
      </c>
      <c r="K12">
        <v>6.9754818894302059E-2</v>
      </c>
      <c r="L12" t="s">
        <v>29</v>
      </c>
    </row>
    <row r="13" spans="1:12" x14ac:dyDescent="0.25">
      <c r="A13" t="s">
        <v>20</v>
      </c>
      <c r="B13" t="s">
        <v>73</v>
      </c>
      <c r="C13">
        <v>141239</v>
      </c>
      <c r="D13">
        <v>82336</v>
      </c>
      <c r="E13">
        <v>66197</v>
      </c>
      <c r="F13">
        <v>5522</v>
      </c>
      <c r="G13">
        <v>834</v>
      </c>
      <c r="H13">
        <v>247</v>
      </c>
      <c r="I13">
        <v>383</v>
      </c>
      <c r="J13">
        <v>1476</v>
      </c>
      <c r="K13">
        <v>0.10553348339048597</v>
      </c>
      <c r="L13" t="s">
        <v>22</v>
      </c>
    </row>
    <row r="14" spans="1:12" x14ac:dyDescent="0.25">
      <c r="A14" t="s">
        <v>20</v>
      </c>
      <c r="B14" t="s">
        <v>155</v>
      </c>
      <c r="C14">
        <v>421004</v>
      </c>
      <c r="D14">
        <v>196843</v>
      </c>
      <c r="E14">
        <v>171150</v>
      </c>
      <c r="F14">
        <v>5595</v>
      </c>
      <c r="G14">
        <v>872</v>
      </c>
      <c r="H14">
        <v>688</v>
      </c>
      <c r="I14">
        <v>782</v>
      </c>
      <c r="J14">
        <v>6197</v>
      </c>
      <c r="K14">
        <v>4.6374525270230789E-2</v>
      </c>
      <c r="L14" t="s">
        <v>22</v>
      </c>
    </row>
    <row r="15" spans="1:12" x14ac:dyDescent="0.25">
      <c r="A15" t="s">
        <v>20</v>
      </c>
      <c r="B15" t="s">
        <v>128</v>
      </c>
      <c r="C15">
        <v>267217</v>
      </c>
      <c r="D15">
        <v>160783</v>
      </c>
      <c r="E15">
        <v>129529</v>
      </c>
      <c r="F15">
        <v>10643</v>
      </c>
      <c r="G15">
        <v>819</v>
      </c>
      <c r="H15">
        <v>1497</v>
      </c>
      <c r="I15">
        <v>18</v>
      </c>
      <c r="J15">
        <v>2171</v>
      </c>
      <c r="K15">
        <v>0.10018605872044098</v>
      </c>
      <c r="L15" t="s">
        <v>29</v>
      </c>
    </row>
    <row r="16" spans="1:12" x14ac:dyDescent="0.25">
      <c r="A16" t="s">
        <v>20</v>
      </c>
      <c r="B16" t="s">
        <v>40</v>
      </c>
      <c r="C16">
        <v>230775</v>
      </c>
      <c r="D16">
        <v>94648</v>
      </c>
      <c r="E16">
        <v>67522</v>
      </c>
      <c r="F16">
        <v>3673</v>
      </c>
      <c r="G16">
        <v>137</v>
      </c>
      <c r="H16">
        <v>301</v>
      </c>
      <c r="I16">
        <v>33</v>
      </c>
      <c r="J16">
        <v>920</v>
      </c>
      <c r="K16">
        <v>6.1372589674476466E-2</v>
      </c>
      <c r="L16" t="s">
        <v>66</v>
      </c>
    </row>
    <row r="17" spans="1:12" x14ac:dyDescent="0.25">
      <c r="A17" t="s">
        <v>20</v>
      </c>
      <c r="B17" t="s">
        <v>78</v>
      </c>
      <c r="C17">
        <v>49436</v>
      </c>
      <c r="D17">
        <v>24696</v>
      </c>
      <c r="E17">
        <v>19684</v>
      </c>
      <c r="F17">
        <v>1831</v>
      </c>
      <c r="G17">
        <v>282</v>
      </c>
      <c r="H17">
        <v>142</v>
      </c>
      <c r="I17">
        <v>317</v>
      </c>
      <c r="J17">
        <v>164</v>
      </c>
      <c r="K17">
        <v>0.13066449908555172</v>
      </c>
      <c r="L17" t="s">
        <v>22</v>
      </c>
    </row>
    <row r="18" spans="1:12" x14ac:dyDescent="0.25">
      <c r="A18" t="s">
        <v>20</v>
      </c>
      <c r="B18" t="s">
        <v>40</v>
      </c>
      <c r="C18">
        <v>680221</v>
      </c>
      <c r="D18">
        <v>251030</v>
      </c>
      <c r="E18">
        <v>185995</v>
      </c>
      <c r="F18">
        <v>6766</v>
      </c>
      <c r="G18">
        <v>416</v>
      </c>
      <c r="H18">
        <v>678</v>
      </c>
      <c r="I18">
        <v>27</v>
      </c>
      <c r="J18">
        <v>4916</v>
      </c>
      <c r="K18">
        <v>4.2404365708755609E-2</v>
      </c>
      <c r="L18" t="s">
        <v>22</v>
      </c>
    </row>
    <row r="19" spans="1:12" x14ac:dyDescent="0.25">
      <c r="A19" t="s">
        <v>20</v>
      </c>
      <c r="B19" t="s">
        <v>73</v>
      </c>
      <c r="C19">
        <v>441045</v>
      </c>
      <c r="D19">
        <v>85640</v>
      </c>
      <c r="E19">
        <v>78154</v>
      </c>
      <c r="F19">
        <v>2283</v>
      </c>
      <c r="G19">
        <v>144</v>
      </c>
      <c r="H19">
        <v>183</v>
      </c>
      <c r="I19">
        <v>246</v>
      </c>
      <c r="J19">
        <v>1419</v>
      </c>
      <c r="K19">
        <v>3.6543235151111908E-2</v>
      </c>
      <c r="L19" t="s">
        <v>22</v>
      </c>
    </row>
    <row r="20" spans="1:12" x14ac:dyDescent="0.25">
      <c r="A20" t="s">
        <v>20</v>
      </c>
      <c r="B20" t="s">
        <v>40</v>
      </c>
      <c r="C20">
        <v>276379</v>
      </c>
      <c r="D20">
        <v>35518</v>
      </c>
      <c r="E20">
        <v>31673</v>
      </c>
      <c r="F20">
        <v>2554</v>
      </c>
      <c r="G20">
        <v>157</v>
      </c>
      <c r="H20">
        <v>362</v>
      </c>
      <c r="I20">
        <v>40</v>
      </c>
      <c r="J20">
        <v>716</v>
      </c>
      <c r="K20">
        <v>9.8285606036687401E-2</v>
      </c>
      <c r="L20" t="s">
        <v>66</v>
      </c>
    </row>
    <row r="21" spans="1:12" x14ac:dyDescent="0.25">
      <c r="A21" t="s">
        <v>20</v>
      </c>
      <c r="B21" t="s">
        <v>73</v>
      </c>
      <c r="C21">
        <v>340797</v>
      </c>
      <c r="D21">
        <v>69531</v>
      </c>
      <c r="E21">
        <v>55195</v>
      </c>
      <c r="F21">
        <v>2232</v>
      </c>
      <c r="G21">
        <v>291</v>
      </c>
      <c r="H21">
        <v>130</v>
      </c>
      <c r="I21">
        <v>212</v>
      </c>
      <c r="J21">
        <v>1801</v>
      </c>
      <c r="K21">
        <v>5.190687562279192E-2</v>
      </c>
      <c r="L21" t="s">
        <v>66</v>
      </c>
    </row>
    <row r="22" spans="1:12" x14ac:dyDescent="0.25">
      <c r="A22" t="s">
        <v>20</v>
      </c>
      <c r="B22" t="s">
        <v>21</v>
      </c>
      <c r="C22">
        <v>106062</v>
      </c>
      <c r="D22">
        <v>49578</v>
      </c>
      <c r="E22">
        <v>45252</v>
      </c>
      <c r="F22">
        <v>1311</v>
      </c>
      <c r="G22">
        <v>180</v>
      </c>
      <c r="H22">
        <v>126</v>
      </c>
      <c r="I22">
        <v>191</v>
      </c>
      <c r="J22">
        <v>1695</v>
      </c>
      <c r="K22">
        <v>3.9954035180765492E-2</v>
      </c>
      <c r="L22" t="s">
        <v>22</v>
      </c>
    </row>
    <row r="23" spans="1:12" x14ac:dyDescent="0.25">
      <c r="A23" t="s">
        <v>20</v>
      </c>
      <c r="B23" t="s">
        <v>104</v>
      </c>
      <c r="C23">
        <v>610987</v>
      </c>
      <c r="D23">
        <v>347591</v>
      </c>
      <c r="E23">
        <v>319546</v>
      </c>
      <c r="F23">
        <v>23381</v>
      </c>
      <c r="G23">
        <v>4103</v>
      </c>
      <c r="H23">
        <v>1860</v>
      </c>
      <c r="I23">
        <v>4617</v>
      </c>
      <c r="J23">
        <v>6123</v>
      </c>
      <c r="K23">
        <v>0.10627890820101019</v>
      </c>
      <c r="L23" t="s">
        <v>29</v>
      </c>
    </row>
    <row r="24" spans="1:12" x14ac:dyDescent="0.25">
      <c r="A24" t="s">
        <v>20</v>
      </c>
      <c r="B24" t="s">
        <v>104</v>
      </c>
      <c r="C24">
        <v>693525</v>
      </c>
      <c r="D24">
        <v>166529</v>
      </c>
      <c r="E24">
        <v>139240</v>
      </c>
      <c r="F24">
        <v>8929</v>
      </c>
      <c r="G24">
        <v>582</v>
      </c>
      <c r="H24">
        <v>436</v>
      </c>
      <c r="I24">
        <v>1878</v>
      </c>
      <c r="J24">
        <v>2155</v>
      </c>
      <c r="K24">
        <v>8.4925308819304796E-2</v>
      </c>
      <c r="L24" t="s">
        <v>29</v>
      </c>
    </row>
    <row r="25" spans="1:12" x14ac:dyDescent="0.25">
      <c r="A25" t="s">
        <v>20</v>
      </c>
      <c r="B25" t="s">
        <v>35</v>
      </c>
      <c r="C25">
        <v>37080</v>
      </c>
      <c r="D25">
        <v>19320</v>
      </c>
      <c r="E25">
        <v>16249</v>
      </c>
      <c r="F25">
        <v>1160</v>
      </c>
      <c r="G25">
        <v>126</v>
      </c>
      <c r="H25">
        <v>167</v>
      </c>
      <c r="I25">
        <v>32</v>
      </c>
      <c r="J25">
        <v>538</v>
      </c>
      <c r="K25">
        <v>9.139023939934765E-2</v>
      </c>
      <c r="L25" t="s">
        <v>22</v>
      </c>
    </row>
    <row r="26" spans="1:12" x14ac:dyDescent="0.25">
      <c r="A26" t="s">
        <v>20</v>
      </c>
      <c r="B26" t="s">
        <v>35</v>
      </c>
      <c r="C26">
        <v>325497</v>
      </c>
      <c r="D26">
        <v>166915</v>
      </c>
      <c r="E26">
        <v>126742</v>
      </c>
      <c r="F26">
        <v>7722</v>
      </c>
      <c r="G26">
        <v>410</v>
      </c>
      <c r="H26">
        <v>901</v>
      </c>
      <c r="I26">
        <v>50</v>
      </c>
      <c r="J26">
        <v>1605</v>
      </c>
      <c r="K26">
        <v>7.1665272758832901E-2</v>
      </c>
      <c r="L26" t="s">
        <v>22</v>
      </c>
    </row>
    <row r="27" spans="1:12" x14ac:dyDescent="0.25">
      <c r="A27" t="s">
        <v>20</v>
      </c>
      <c r="B27" t="s">
        <v>54</v>
      </c>
      <c r="C27">
        <v>330041</v>
      </c>
      <c r="D27">
        <v>184616</v>
      </c>
      <c r="E27">
        <v>159835</v>
      </c>
      <c r="F27">
        <v>14631</v>
      </c>
      <c r="G27">
        <v>974</v>
      </c>
      <c r="H27">
        <v>846</v>
      </c>
      <c r="I27">
        <v>3537</v>
      </c>
      <c r="J27">
        <v>5704</v>
      </c>
      <c r="K27">
        <v>0.12505396189820753</v>
      </c>
      <c r="L27" t="s">
        <v>22</v>
      </c>
    </row>
    <row r="28" spans="1:12" x14ac:dyDescent="0.25">
      <c r="A28" t="s">
        <v>20</v>
      </c>
      <c r="B28" t="s">
        <v>46</v>
      </c>
      <c r="C28">
        <v>303112</v>
      </c>
      <c r="D28">
        <v>45381</v>
      </c>
      <c r="E28">
        <v>40080</v>
      </c>
      <c r="F28">
        <v>1922</v>
      </c>
      <c r="G28">
        <v>80</v>
      </c>
      <c r="H28">
        <v>277</v>
      </c>
      <c r="I28">
        <v>22</v>
      </c>
      <c r="J28">
        <v>1235</v>
      </c>
      <c r="K28">
        <v>5.741017964071856E-2</v>
      </c>
      <c r="L28" t="s">
        <v>66</v>
      </c>
    </row>
    <row r="29" spans="1:12" x14ac:dyDescent="0.25">
      <c r="A29" t="s">
        <v>20</v>
      </c>
      <c r="B29" t="s">
        <v>35</v>
      </c>
      <c r="C29">
        <v>82606</v>
      </c>
      <c r="D29">
        <v>24878</v>
      </c>
      <c r="E29">
        <v>19674</v>
      </c>
      <c r="F29">
        <v>1563</v>
      </c>
      <c r="G29">
        <v>116</v>
      </c>
      <c r="H29">
        <v>49</v>
      </c>
      <c r="I29">
        <v>44</v>
      </c>
      <c r="J29">
        <v>755</v>
      </c>
      <c r="K29">
        <v>9.0068110196198023E-2</v>
      </c>
      <c r="L29" t="s">
        <v>22</v>
      </c>
    </row>
    <row r="30" spans="1:12" x14ac:dyDescent="0.25">
      <c r="A30" t="s">
        <v>20</v>
      </c>
      <c r="B30" t="s">
        <v>155</v>
      </c>
      <c r="C30">
        <v>129542</v>
      </c>
      <c r="D30">
        <v>53840</v>
      </c>
      <c r="E30">
        <v>43566</v>
      </c>
      <c r="F30">
        <v>2470</v>
      </c>
      <c r="G30">
        <v>115</v>
      </c>
      <c r="H30">
        <v>333</v>
      </c>
      <c r="I30">
        <v>275</v>
      </c>
      <c r="J30">
        <v>1835</v>
      </c>
      <c r="K30">
        <v>7.3291098563099663E-2</v>
      </c>
      <c r="L30" t="s">
        <v>22</v>
      </c>
    </row>
    <row r="31" spans="1:12" x14ac:dyDescent="0.25">
      <c r="A31" t="s">
        <v>20</v>
      </c>
      <c r="B31" t="s">
        <v>46</v>
      </c>
      <c r="C31">
        <v>813744</v>
      </c>
      <c r="D31">
        <v>315490</v>
      </c>
      <c r="E31">
        <v>243362</v>
      </c>
      <c r="F31">
        <v>16038</v>
      </c>
      <c r="G31">
        <v>962</v>
      </c>
      <c r="H31">
        <v>1811</v>
      </c>
      <c r="I31">
        <v>34</v>
      </c>
      <c r="J31">
        <v>2004</v>
      </c>
      <c r="K31">
        <v>7.743608287242873E-2</v>
      </c>
      <c r="L31" t="s">
        <v>22</v>
      </c>
    </row>
    <row r="32" spans="1:12" x14ac:dyDescent="0.25">
      <c r="A32" t="s">
        <v>20</v>
      </c>
      <c r="B32" t="s">
        <v>78</v>
      </c>
      <c r="C32">
        <v>797808</v>
      </c>
      <c r="D32">
        <v>417308</v>
      </c>
      <c r="E32">
        <v>315171</v>
      </c>
      <c r="F32">
        <v>15091</v>
      </c>
      <c r="G32">
        <v>2706</v>
      </c>
      <c r="H32">
        <v>1240</v>
      </c>
      <c r="I32">
        <v>3386</v>
      </c>
      <c r="J32">
        <v>11552</v>
      </c>
      <c r="K32">
        <v>7.1145505138480378E-2</v>
      </c>
      <c r="L32" t="s">
        <v>66</v>
      </c>
    </row>
    <row r="33" spans="1:12" x14ac:dyDescent="0.25">
      <c r="A33" t="s">
        <v>20</v>
      </c>
      <c r="B33" t="s">
        <v>58</v>
      </c>
      <c r="C33">
        <v>691102</v>
      </c>
      <c r="D33">
        <v>425226</v>
      </c>
      <c r="E33">
        <v>361818</v>
      </c>
      <c r="F33">
        <v>30345</v>
      </c>
      <c r="G33">
        <v>2102</v>
      </c>
      <c r="H33">
        <v>739</v>
      </c>
      <c r="I33">
        <v>3077</v>
      </c>
      <c r="J33">
        <v>5442</v>
      </c>
      <c r="K33">
        <v>0.10022442222332775</v>
      </c>
      <c r="L33" t="s">
        <v>29</v>
      </c>
    </row>
    <row r="34" spans="1:12" x14ac:dyDescent="0.25">
      <c r="A34" t="s">
        <v>20</v>
      </c>
      <c r="B34" t="s">
        <v>78</v>
      </c>
      <c r="C34">
        <v>510180</v>
      </c>
      <c r="D34">
        <v>288082</v>
      </c>
      <c r="E34">
        <v>258236</v>
      </c>
      <c r="F34">
        <v>12395</v>
      </c>
      <c r="G34">
        <v>482</v>
      </c>
      <c r="H34">
        <v>602</v>
      </c>
      <c r="I34">
        <v>2748</v>
      </c>
      <c r="J34">
        <v>3246</v>
      </c>
      <c r="K34">
        <v>6.2837869235892754E-2</v>
      </c>
      <c r="L34" t="s">
        <v>66</v>
      </c>
    </row>
    <row r="35" spans="1:12" x14ac:dyDescent="0.25">
      <c r="A35" t="s">
        <v>20</v>
      </c>
      <c r="B35" t="s">
        <v>107</v>
      </c>
      <c r="C35">
        <v>679454</v>
      </c>
      <c r="D35">
        <v>188769</v>
      </c>
      <c r="E35">
        <v>135749</v>
      </c>
      <c r="F35">
        <v>6139</v>
      </c>
      <c r="G35">
        <v>901</v>
      </c>
      <c r="H35">
        <v>569</v>
      </c>
      <c r="I35">
        <v>6</v>
      </c>
      <c r="J35">
        <v>2667</v>
      </c>
      <c r="K35">
        <v>5.6096177504070012E-2</v>
      </c>
      <c r="L35" t="s">
        <v>22</v>
      </c>
    </row>
    <row r="36" spans="1:12" x14ac:dyDescent="0.25">
      <c r="A36" t="s">
        <v>20</v>
      </c>
      <c r="B36" t="s">
        <v>65</v>
      </c>
      <c r="C36">
        <v>811095</v>
      </c>
      <c r="D36">
        <v>81991</v>
      </c>
      <c r="E36">
        <v>66630</v>
      </c>
      <c r="F36">
        <v>3796</v>
      </c>
      <c r="G36">
        <v>240</v>
      </c>
      <c r="H36">
        <v>440</v>
      </c>
      <c r="I36">
        <v>647</v>
      </c>
      <c r="J36">
        <v>1499</v>
      </c>
      <c r="K36">
        <v>7.6887288008404622E-2</v>
      </c>
      <c r="L36" t="s">
        <v>29</v>
      </c>
    </row>
    <row r="37" spans="1:12" x14ac:dyDescent="0.25">
      <c r="A37" t="s">
        <v>20</v>
      </c>
      <c r="B37" t="s">
        <v>51</v>
      </c>
      <c r="C37">
        <v>523085</v>
      </c>
      <c r="D37">
        <v>1030969</v>
      </c>
      <c r="E37">
        <v>825602</v>
      </c>
      <c r="F37">
        <v>23388</v>
      </c>
      <c r="G37">
        <v>3601</v>
      </c>
      <c r="H37">
        <v>546</v>
      </c>
      <c r="I37">
        <v>31</v>
      </c>
      <c r="J37">
        <v>21849</v>
      </c>
      <c r="K37">
        <v>3.338896950346535E-2</v>
      </c>
      <c r="L37" t="s">
        <v>29</v>
      </c>
    </row>
    <row r="38" spans="1:12" x14ac:dyDescent="0.25">
      <c r="A38" t="s">
        <v>20</v>
      </c>
      <c r="B38" t="s">
        <v>35</v>
      </c>
      <c r="C38">
        <v>24140</v>
      </c>
      <c r="D38">
        <v>7674</v>
      </c>
      <c r="E38">
        <v>5720</v>
      </c>
      <c r="F38">
        <v>529</v>
      </c>
      <c r="G38">
        <v>63</v>
      </c>
      <c r="H38">
        <v>77</v>
      </c>
      <c r="I38">
        <v>2</v>
      </c>
      <c r="J38">
        <v>128</v>
      </c>
      <c r="K38">
        <v>0.11730769230769231</v>
      </c>
      <c r="L38" t="s">
        <v>29</v>
      </c>
    </row>
    <row r="39" spans="1:12" x14ac:dyDescent="0.25">
      <c r="A39" t="s">
        <v>20</v>
      </c>
      <c r="B39" t="s">
        <v>155</v>
      </c>
      <c r="C39">
        <v>832398</v>
      </c>
      <c r="D39">
        <v>106398</v>
      </c>
      <c r="E39">
        <v>83546</v>
      </c>
      <c r="F39">
        <v>3174</v>
      </c>
      <c r="G39">
        <v>134</v>
      </c>
      <c r="H39">
        <v>404</v>
      </c>
      <c r="I39">
        <v>740</v>
      </c>
      <c r="J39">
        <v>2414</v>
      </c>
      <c r="K39">
        <v>5.3288009001029375E-2</v>
      </c>
      <c r="L39" t="s">
        <v>66</v>
      </c>
    </row>
    <row r="40" spans="1:12" x14ac:dyDescent="0.25">
      <c r="A40" t="s">
        <v>20</v>
      </c>
      <c r="B40" t="s">
        <v>58</v>
      </c>
      <c r="C40">
        <v>449584</v>
      </c>
      <c r="D40">
        <v>80482</v>
      </c>
      <c r="E40">
        <v>65766</v>
      </c>
      <c r="F40">
        <v>5037</v>
      </c>
      <c r="G40">
        <v>623</v>
      </c>
      <c r="H40">
        <v>660</v>
      </c>
      <c r="I40">
        <v>1097</v>
      </c>
      <c r="J40">
        <v>2561</v>
      </c>
      <c r="K40">
        <v>0.11277863941854453</v>
      </c>
      <c r="L40" t="s">
        <v>22</v>
      </c>
    </row>
    <row r="41" spans="1:12" x14ac:dyDescent="0.25">
      <c r="A41" t="s">
        <v>20</v>
      </c>
      <c r="B41" t="s">
        <v>58</v>
      </c>
      <c r="C41">
        <v>367155</v>
      </c>
      <c r="D41">
        <v>207124</v>
      </c>
      <c r="E41">
        <v>167623</v>
      </c>
      <c r="F41">
        <v>10347</v>
      </c>
      <c r="G41">
        <v>425</v>
      </c>
      <c r="H41">
        <v>402</v>
      </c>
      <c r="I41">
        <v>1425</v>
      </c>
      <c r="J41">
        <v>3035</v>
      </c>
      <c r="K41">
        <v>7.5162716333677354E-2</v>
      </c>
      <c r="L41" t="s">
        <v>22</v>
      </c>
    </row>
    <row r="42" spans="1:12" x14ac:dyDescent="0.25">
      <c r="A42" t="s">
        <v>20</v>
      </c>
      <c r="B42" t="s">
        <v>21</v>
      </c>
      <c r="C42">
        <v>299487</v>
      </c>
      <c r="D42">
        <v>59466</v>
      </c>
      <c r="E42">
        <v>54154</v>
      </c>
      <c r="F42">
        <v>2221</v>
      </c>
      <c r="G42">
        <v>362</v>
      </c>
      <c r="H42">
        <v>69</v>
      </c>
      <c r="I42">
        <v>143</v>
      </c>
      <c r="J42">
        <v>1115</v>
      </c>
      <c r="K42">
        <v>5.1612069283894078E-2</v>
      </c>
      <c r="L42" t="s">
        <v>29</v>
      </c>
    </row>
    <row r="43" spans="1:12" x14ac:dyDescent="0.25">
      <c r="A43" t="s">
        <v>20</v>
      </c>
      <c r="B43" t="s">
        <v>54</v>
      </c>
      <c r="C43">
        <v>47599</v>
      </c>
      <c r="D43">
        <v>12900</v>
      </c>
      <c r="E43">
        <v>10544</v>
      </c>
      <c r="F43">
        <v>761</v>
      </c>
      <c r="G43">
        <v>26</v>
      </c>
      <c r="H43">
        <v>105</v>
      </c>
      <c r="I43">
        <v>150</v>
      </c>
      <c r="J43">
        <v>157</v>
      </c>
      <c r="K43">
        <v>9.8823975720789076E-2</v>
      </c>
      <c r="L43" t="s">
        <v>66</v>
      </c>
    </row>
    <row r="44" spans="1:12" x14ac:dyDescent="0.25">
      <c r="A44" t="s">
        <v>20</v>
      </c>
      <c r="B44" t="s">
        <v>54</v>
      </c>
      <c r="C44">
        <v>758859</v>
      </c>
      <c r="D44">
        <v>243708</v>
      </c>
      <c r="E44">
        <v>179381</v>
      </c>
      <c r="F44">
        <v>5881</v>
      </c>
      <c r="G44">
        <v>834</v>
      </c>
      <c r="H44">
        <v>816</v>
      </c>
      <c r="I44">
        <v>526</v>
      </c>
      <c r="J44">
        <v>2585</v>
      </c>
      <c r="K44">
        <v>4.4915570768364541E-2</v>
      </c>
      <c r="L44" t="s">
        <v>22</v>
      </c>
    </row>
    <row r="45" spans="1:12" x14ac:dyDescent="0.25">
      <c r="A45" t="s">
        <v>20</v>
      </c>
      <c r="B45" t="s">
        <v>146</v>
      </c>
      <c r="C45">
        <v>636014</v>
      </c>
      <c r="D45">
        <v>188871</v>
      </c>
      <c r="E45">
        <v>171308</v>
      </c>
      <c r="F45">
        <v>15080</v>
      </c>
      <c r="G45">
        <v>868</v>
      </c>
      <c r="H45">
        <v>851</v>
      </c>
      <c r="I45">
        <v>2975</v>
      </c>
      <c r="J45">
        <v>3887</v>
      </c>
      <c r="K45">
        <v>0.11542951876152895</v>
      </c>
      <c r="L45" t="s">
        <v>22</v>
      </c>
    </row>
    <row r="46" spans="1:12" x14ac:dyDescent="0.25">
      <c r="A46" t="s">
        <v>20</v>
      </c>
      <c r="B46" t="s">
        <v>155</v>
      </c>
      <c r="C46">
        <v>581305</v>
      </c>
      <c r="D46">
        <v>47390</v>
      </c>
      <c r="E46">
        <v>40360</v>
      </c>
      <c r="F46">
        <v>2283</v>
      </c>
      <c r="G46">
        <v>79</v>
      </c>
      <c r="H46">
        <v>131</v>
      </c>
      <c r="I46">
        <v>243</v>
      </c>
      <c r="J46">
        <v>1459</v>
      </c>
      <c r="K46">
        <v>6.7789890981169471E-2</v>
      </c>
      <c r="L46" t="s">
        <v>22</v>
      </c>
    </row>
    <row r="47" spans="1:12" x14ac:dyDescent="0.25">
      <c r="A47" t="s">
        <v>20</v>
      </c>
      <c r="B47" t="s">
        <v>28</v>
      </c>
      <c r="C47">
        <v>622979</v>
      </c>
      <c r="D47">
        <v>288341</v>
      </c>
      <c r="E47">
        <v>207605</v>
      </c>
      <c r="F47">
        <v>10978</v>
      </c>
      <c r="G47">
        <v>1512</v>
      </c>
      <c r="H47">
        <v>1408</v>
      </c>
      <c r="I47">
        <v>2691</v>
      </c>
      <c r="J47">
        <v>2773</v>
      </c>
      <c r="K47">
        <v>7.9906553310373066E-2</v>
      </c>
      <c r="L47" t="s">
        <v>22</v>
      </c>
    </row>
    <row r="48" spans="1:12" x14ac:dyDescent="0.25">
      <c r="A48" t="s">
        <v>20</v>
      </c>
      <c r="B48" t="s">
        <v>146</v>
      </c>
      <c r="C48">
        <v>306034</v>
      </c>
      <c r="D48">
        <v>68451</v>
      </c>
      <c r="E48">
        <v>48838</v>
      </c>
      <c r="F48">
        <v>2350</v>
      </c>
      <c r="G48">
        <v>93</v>
      </c>
      <c r="H48">
        <v>79</v>
      </c>
      <c r="I48">
        <v>134</v>
      </c>
      <c r="J48">
        <v>1224</v>
      </c>
      <c r="K48">
        <v>5.4383881403824892E-2</v>
      </c>
      <c r="L48" t="s">
        <v>22</v>
      </c>
    </row>
    <row r="49" spans="1:12" x14ac:dyDescent="0.25">
      <c r="A49" t="s">
        <v>20</v>
      </c>
      <c r="B49" t="s">
        <v>87</v>
      </c>
      <c r="C49">
        <v>489743</v>
      </c>
      <c r="D49">
        <v>291192</v>
      </c>
      <c r="E49">
        <v>212143</v>
      </c>
      <c r="F49">
        <v>18815</v>
      </c>
      <c r="G49">
        <v>689</v>
      </c>
      <c r="H49">
        <v>1306</v>
      </c>
      <c r="I49">
        <v>3880</v>
      </c>
      <c r="J49">
        <v>8908</v>
      </c>
      <c r="K49">
        <v>0.11638376001093602</v>
      </c>
      <c r="L49" t="s">
        <v>22</v>
      </c>
    </row>
    <row r="50" spans="1:12" x14ac:dyDescent="0.25">
      <c r="A50" t="s">
        <v>20</v>
      </c>
      <c r="B50" t="s">
        <v>73</v>
      </c>
      <c r="C50">
        <v>552468</v>
      </c>
      <c r="D50">
        <v>253664</v>
      </c>
      <c r="E50">
        <v>226925</v>
      </c>
      <c r="F50">
        <v>14930</v>
      </c>
      <c r="G50">
        <v>1094</v>
      </c>
      <c r="H50">
        <v>1494</v>
      </c>
      <c r="I50">
        <v>2581</v>
      </c>
      <c r="J50">
        <v>7715</v>
      </c>
      <c r="K50">
        <v>8.8571113804120305E-2</v>
      </c>
      <c r="L50" t="s">
        <v>66</v>
      </c>
    </row>
    <row r="51" spans="1:12" x14ac:dyDescent="0.25">
      <c r="A51" t="s">
        <v>20</v>
      </c>
      <c r="B51" t="s">
        <v>35</v>
      </c>
      <c r="C51">
        <v>327432</v>
      </c>
      <c r="D51">
        <v>121407</v>
      </c>
      <c r="E51">
        <v>90972</v>
      </c>
      <c r="F51">
        <v>2801</v>
      </c>
      <c r="G51">
        <v>157</v>
      </c>
      <c r="H51">
        <v>184</v>
      </c>
      <c r="I51">
        <v>25</v>
      </c>
      <c r="J51">
        <v>2941</v>
      </c>
      <c r="K51">
        <v>3.4812909466649077E-2</v>
      </c>
      <c r="L51" t="s">
        <v>22</v>
      </c>
    </row>
    <row r="52" spans="1:12" x14ac:dyDescent="0.25">
      <c r="A52" t="s">
        <v>20</v>
      </c>
      <c r="B52" t="s">
        <v>104</v>
      </c>
      <c r="C52">
        <v>195279</v>
      </c>
      <c r="D52">
        <v>102427</v>
      </c>
      <c r="E52">
        <v>79509</v>
      </c>
      <c r="F52">
        <v>5367</v>
      </c>
      <c r="G52">
        <v>178</v>
      </c>
      <c r="H52">
        <v>725</v>
      </c>
      <c r="I52">
        <v>973</v>
      </c>
      <c r="J52">
        <v>3545</v>
      </c>
      <c r="K52">
        <v>9.1096605415739093E-2</v>
      </c>
      <c r="L52" t="s">
        <v>29</v>
      </c>
    </row>
    <row r="53" spans="1:12" x14ac:dyDescent="0.25">
      <c r="A53" t="s">
        <v>20</v>
      </c>
      <c r="B53" t="s">
        <v>35</v>
      </c>
      <c r="C53">
        <v>202369</v>
      </c>
      <c r="D53">
        <v>74815</v>
      </c>
      <c r="E53">
        <v>66591</v>
      </c>
      <c r="F53">
        <v>2736</v>
      </c>
      <c r="G53">
        <v>406</v>
      </c>
      <c r="H53">
        <v>202</v>
      </c>
      <c r="I53">
        <v>50</v>
      </c>
      <c r="J53">
        <v>1513</v>
      </c>
      <c r="K53">
        <v>5.0967848508056642E-2</v>
      </c>
      <c r="L53" t="s">
        <v>29</v>
      </c>
    </row>
    <row r="54" spans="1:12" x14ac:dyDescent="0.25">
      <c r="A54" t="s">
        <v>20</v>
      </c>
      <c r="B54" t="s">
        <v>107</v>
      </c>
      <c r="C54">
        <v>588240</v>
      </c>
      <c r="D54">
        <v>158422</v>
      </c>
      <c r="E54">
        <v>140589</v>
      </c>
      <c r="F54">
        <v>6080</v>
      </c>
      <c r="G54">
        <v>335</v>
      </c>
      <c r="H54">
        <v>818</v>
      </c>
      <c r="I54">
        <v>12</v>
      </c>
      <c r="J54">
        <v>3450</v>
      </c>
      <c r="K54">
        <v>5.1533192497279307E-2</v>
      </c>
      <c r="L54" t="s">
        <v>29</v>
      </c>
    </row>
    <row r="55" spans="1:12" x14ac:dyDescent="0.25">
      <c r="A55" t="s">
        <v>20</v>
      </c>
      <c r="B55" t="s">
        <v>58</v>
      </c>
      <c r="C55">
        <v>673541</v>
      </c>
      <c r="D55">
        <v>227669</v>
      </c>
      <c r="E55">
        <v>185647</v>
      </c>
      <c r="F55">
        <v>17240</v>
      </c>
      <c r="G55">
        <v>1132</v>
      </c>
      <c r="H55">
        <v>2313</v>
      </c>
      <c r="I55">
        <v>1966</v>
      </c>
      <c r="J55">
        <v>2356</v>
      </c>
      <c r="K55">
        <v>0.12201112864737916</v>
      </c>
      <c r="L55" t="s">
        <v>22</v>
      </c>
    </row>
    <row r="56" spans="1:12" x14ac:dyDescent="0.25">
      <c r="A56" t="s">
        <v>20</v>
      </c>
      <c r="B56" t="s">
        <v>54</v>
      </c>
      <c r="C56">
        <v>684598</v>
      </c>
      <c r="D56">
        <v>410214</v>
      </c>
      <c r="E56">
        <v>317544</v>
      </c>
      <c r="F56">
        <v>22750</v>
      </c>
      <c r="G56">
        <v>939</v>
      </c>
      <c r="H56">
        <v>725</v>
      </c>
      <c r="I56">
        <v>4043</v>
      </c>
      <c r="J56">
        <v>9957</v>
      </c>
      <c r="K56">
        <v>8.9615927241579116E-2</v>
      </c>
      <c r="L56" t="s">
        <v>66</v>
      </c>
    </row>
    <row r="57" spans="1:12" x14ac:dyDescent="0.25">
      <c r="A57" t="s">
        <v>20</v>
      </c>
      <c r="B57" t="s">
        <v>128</v>
      </c>
      <c r="C57">
        <v>107277</v>
      </c>
      <c r="D57">
        <v>15126</v>
      </c>
      <c r="E57">
        <v>12307</v>
      </c>
      <c r="F57">
        <v>303</v>
      </c>
      <c r="G57">
        <v>33</v>
      </c>
      <c r="H57">
        <v>9</v>
      </c>
      <c r="I57">
        <v>42</v>
      </c>
      <c r="J57">
        <v>471</v>
      </c>
      <c r="K57">
        <v>3.1445518810433087E-2</v>
      </c>
      <c r="L57" t="s">
        <v>66</v>
      </c>
    </row>
    <row r="58" spans="1:12" x14ac:dyDescent="0.25">
      <c r="A58" t="s">
        <v>20</v>
      </c>
      <c r="B58" t="s">
        <v>78</v>
      </c>
      <c r="C58">
        <v>32853</v>
      </c>
      <c r="D58">
        <v>17536</v>
      </c>
      <c r="E58">
        <v>13658</v>
      </c>
      <c r="F58">
        <v>803</v>
      </c>
      <c r="G58">
        <v>53</v>
      </c>
      <c r="H58">
        <v>59</v>
      </c>
      <c r="I58">
        <v>149</v>
      </c>
      <c r="J58">
        <v>182</v>
      </c>
      <c r="K58">
        <v>7.7903060477375899E-2</v>
      </c>
      <c r="L58" t="s">
        <v>22</v>
      </c>
    </row>
    <row r="59" spans="1:12" x14ac:dyDescent="0.25">
      <c r="A59" t="s">
        <v>20</v>
      </c>
      <c r="B59" t="s">
        <v>104</v>
      </c>
      <c r="C59">
        <v>809121</v>
      </c>
      <c r="D59">
        <v>220408</v>
      </c>
      <c r="E59">
        <v>171122</v>
      </c>
      <c r="F59">
        <v>15152</v>
      </c>
      <c r="G59">
        <v>2217</v>
      </c>
      <c r="H59">
        <v>1158</v>
      </c>
      <c r="I59">
        <v>1638</v>
      </c>
      <c r="J59">
        <v>5806</v>
      </c>
      <c r="K59">
        <v>0.11783990369444022</v>
      </c>
      <c r="L59" t="s">
        <v>66</v>
      </c>
    </row>
    <row r="60" spans="1:12" x14ac:dyDescent="0.25">
      <c r="A60" t="s">
        <v>20</v>
      </c>
      <c r="B60" t="s">
        <v>51</v>
      </c>
      <c r="C60">
        <v>810860</v>
      </c>
      <c r="D60">
        <v>66929</v>
      </c>
      <c r="E60">
        <v>59210</v>
      </c>
      <c r="F60">
        <v>2116</v>
      </c>
      <c r="G60">
        <v>341</v>
      </c>
      <c r="H60">
        <v>49</v>
      </c>
      <c r="I60">
        <v>39</v>
      </c>
      <c r="J60">
        <v>1976</v>
      </c>
      <c r="K60">
        <v>4.2982604289815908E-2</v>
      </c>
      <c r="L60" t="s">
        <v>22</v>
      </c>
    </row>
    <row r="61" spans="1:12" x14ac:dyDescent="0.25">
      <c r="A61" t="s">
        <v>20</v>
      </c>
      <c r="B61" t="s">
        <v>65</v>
      </c>
      <c r="C61">
        <v>546115</v>
      </c>
      <c r="D61">
        <v>256022</v>
      </c>
      <c r="E61">
        <v>210805</v>
      </c>
      <c r="F61">
        <v>13760</v>
      </c>
      <c r="G61">
        <v>2092</v>
      </c>
      <c r="H61">
        <v>1404</v>
      </c>
      <c r="I61">
        <v>2307</v>
      </c>
      <c r="J61">
        <v>7170</v>
      </c>
      <c r="K61">
        <v>9.2801404141268001E-2</v>
      </c>
      <c r="L61" t="s">
        <v>22</v>
      </c>
    </row>
    <row r="62" spans="1:12" x14ac:dyDescent="0.25">
      <c r="A62" t="s">
        <v>20</v>
      </c>
      <c r="B62" t="s">
        <v>73</v>
      </c>
      <c r="C62">
        <v>318680</v>
      </c>
      <c r="D62">
        <v>92970</v>
      </c>
      <c r="E62">
        <v>72137</v>
      </c>
      <c r="F62">
        <v>7014</v>
      </c>
      <c r="G62">
        <v>785</v>
      </c>
      <c r="H62">
        <v>340</v>
      </c>
      <c r="I62">
        <v>1731</v>
      </c>
      <c r="J62">
        <v>1104</v>
      </c>
      <c r="K62">
        <v>0.13682298958925379</v>
      </c>
      <c r="L62" t="s">
        <v>22</v>
      </c>
    </row>
    <row r="63" spans="1:12" x14ac:dyDescent="0.25">
      <c r="A63" t="s">
        <v>20</v>
      </c>
      <c r="B63" t="s">
        <v>146</v>
      </c>
      <c r="C63">
        <v>347193</v>
      </c>
      <c r="D63">
        <v>194294</v>
      </c>
      <c r="E63">
        <v>174668</v>
      </c>
      <c r="F63">
        <v>4118</v>
      </c>
      <c r="G63">
        <v>464</v>
      </c>
      <c r="H63">
        <v>219</v>
      </c>
      <c r="I63">
        <v>469</v>
      </c>
      <c r="J63">
        <v>3266</v>
      </c>
      <c r="K63">
        <v>3.017152540820299E-2</v>
      </c>
      <c r="L63" t="s">
        <v>22</v>
      </c>
    </row>
    <row r="64" spans="1:12" x14ac:dyDescent="0.25">
      <c r="A64" t="s">
        <v>20</v>
      </c>
      <c r="B64" t="s">
        <v>70</v>
      </c>
      <c r="C64">
        <v>209995</v>
      </c>
      <c r="D64">
        <v>112482</v>
      </c>
      <c r="E64">
        <v>86236</v>
      </c>
      <c r="F64">
        <v>7778</v>
      </c>
      <c r="G64">
        <v>835</v>
      </c>
      <c r="H64">
        <v>462</v>
      </c>
      <c r="I64">
        <v>39</v>
      </c>
      <c r="J64">
        <v>1415</v>
      </c>
      <c r="K64">
        <v>0.10568672016327288</v>
      </c>
      <c r="L64" t="s">
        <v>22</v>
      </c>
    </row>
    <row r="65" spans="1:12" x14ac:dyDescent="0.25">
      <c r="A65" t="s">
        <v>20</v>
      </c>
      <c r="B65" t="s">
        <v>155</v>
      </c>
      <c r="C65">
        <v>844153</v>
      </c>
      <c r="D65">
        <v>150939</v>
      </c>
      <c r="E65">
        <v>118730</v>
      </c>
      <c r="F65">
        <v>11609</v>
      </c>
      <c r="G65">
        <v>1806</v>
      </c>
      <c r="H65">
        <v>1636</v>
      </c>
      <c r="I65">
        <v>2901</v>
      </c>
      <c r="J65">
        <v>2919</v>
      </c>
      <c r="K65">
        <v>0.15120020213930768</v>
      </c>
      <c r="L65" t="s">
        <v>29</v>
      </c>
    </row>
    <row r="66" spans="1:12" x14ac:dyDescent="0.25">
      <c r="A66" t="s">
        <v>20</v>
      </c>
      <c r="B66" t="s">
        <v>78</v>
      </c>
      <c r="C66">
        <v>36346</v>
      </c>
      <c r="D66">
        <v>12664</v>
      </c>
      <c r="E66">
        <v>10503</v>
      </c>
      <c r="F66">
        <v>391</v>
      </c>
      <c r="G66">
        <v>64</v>
      </c>
      <c r="H66">
        <v>11</v>
      </c>
      <c r="I66">
        <v>93</v>
      </c>
      <c r="J66">
        <v>205</v>
      </c>
      <c r="K66">
        <v>5.3222888698467107E-2</v>
      </c>
      <c r="L66" t="s">
        <v>22</v>
      </c>
    </row>
    <row r="67" spans="1:12" x14ac:dyDescent="0.25">
      <c r="A67" t="s">
        <v>20</v>
      </c>
      <c r="B67" t="s">
        <v>40</v>
      </c>
      <c r="C67">
        <v>5178</v>
      </c>
      <c r="D67">
        <v>2752</v>
      </c>
      <c r="E67">
        <v>2366</v>
      </c>
      <c r="F67">
        <v>60</v>
      </c>
      <c r="G67">
        <v>3</v>
      </c>
      <c r="H67">
        <v>3</v>
      </c>
      <c r="I67">
        <v>40</v>
      </c>
      <c r="J67">
        <v>26</v>
      </c>
      <c r="K67">
        <v>4.4801352493660185E-2</v>
      </c>
      <c r="L67" t="s">
        <v>29</v>
      </c>
    </row>
    <row r="68" spans="1:12" x14ac:dyDescent="0.25">
      <c r="A68" t="s">
        <v>20</v>
      </c>
      <c r="B68" t="s">
        <v>65</v>
      </c>
      <c r="C68">
        <v>512823</v>
      </c>
      <c r="D68">
        <v>56036</v>
      </c>
      <c r="E68">
        <v>42237</v>
      </c>
      <c r="F68">
        <v>2166</v>
      </c>
      <c r="G68">
        <v>361</v>
      </c>
      <c r="H68">
        <v>176</v>
      </c>
      <c r="I68">
        <v>334</v>
      </c>
      <c r="J68">
        <v>958</v>
      </c>
      <c r="K68">
        <v>7.1903781045055279E-2</v>
      </c>
      <c r="L68" t="s">
        <v>22</v>
      </c>
    </row>
    <row r="69" spans="1:12" x14ac:dyDescent="0.25">
      <c r="A69" t="s">
        <v>20</v>
      </c>
      <c r="B69" t="s">
        <v>58</v>
      </c>
      <c r="C69">
        <v>709203</v>
      </c>
      <c r="D69">
        <v>104970</v>
      </c>
      <c r="E69">
        <v>90790</v>
      </c>
      <c r="F69">
        <v>2999</v>
      </c>
      <c r="G69">
        <v>145</v>
      </c>
      <c r="H69">
        <v>102</v>
      </c>
      <c r="I69">
        <v>749</v>
      </c>
      <c r="J69">
        <v>1977</v>
      </c>
      <c r="K69">
        <v>4.4002643462936447E-2</v>
      </c>
      <c r="L69" t="s">
        <v>66</v>
      </c>
    </row>
    <row r="70" spans="1:12" x14ac:dyDescent="0.25">
      <c r="A70" t="s">
        <v>20</v>
      </c>
      <c r="B70" t="s">
        <v>146</v>
      </c>
      <c r="C70">
        <v>707749</v>
      </c>
      <c r="D70">
        <v>275071</v>
      </c>
      <c r="E70">
        <v>212964</v>
      </c>
      <c r="F70">
        <v>14816</v>
      </c>
      <c r="G70">
        <v>1637</v>
      </c>
      <c r="H70">
        <v>2154</v>
      </c>
      <c r="I70">
        <v>3292</v>
      </c>
      <c r="J70">
        <v>6019</v>
      </c>
      <c r="K70">
        <v>0.10282958622114535</v>
      </c>
      <c r="L70" t="s">
        <v>29</v>
      </c>
    </row>
    <row r="71" spans="1:12" x14ac:dyDescent="0.25">
      <c r="A71" t="s">
        <v>20</v>
      </c>
      <c r="B71" t="s">
        <v>58</v>
      </c>
      <c r="C71">
        <v>447856</v>
      </c>
      <c r="D71">
        <v>100739</v>
      </c>
      <c r="E71">
        <v>80470</v>
      </c>
      <c r="F71">
        <v>2854</v>
      </c>
      <c r="G71">
        <v>194</v>
      </c>
      <c r="H71">
        <v>210</v>
      </c>
      <c r="I71">
        <v>195</v>
      </c>
      <c r="J71">
        <v>3386</v>
      </c>
      <c r="K71">
        <v>4.291040139182304E-2</v>
      </c>
      <c r="L71" t="s">
        <v>29</v>
      </c>
    </row>
    <row r="72" spans="1:12" x14ac:dyDescent="0.25">
      <c r="A72" t="s">
        <v>20</v>
      </c>
      <c r="B72" t="s">
        <v>107</v>
      </c>
      <c r="C72">
        <v>635940</v>
      </c>
      <c r="D72">
        <v>176214</v>
      </c>
      <c r="E72">
        <v>157455</v>
      </c>
      <c r="F72">
        <v>12726</v>
      </c>
      <c r="G72">
        <v>1447</v>
      </c>
      <c r="H72">
        <v>1509</v>
      </c>
      <c r="I72">
        <v>31</v>
      </c>
      <c r="J72">
        <v>5028</v>
      </c>
      <c r="K72">
        <v>9.979359181988505E-2</v>
      </c>
      <c r="L72" t="s">
        <v>22</v>
      </c>
    </row>
    <row r="73" spans="1:12" x14ac:dyDescent="0.25">
      <c r="A73" t="s">
        <v>20</v>
      </c>
      <c r="B73" t="s">
        <v>70</v>
      </c>
      <c r="C73">
        <v>179900</v>
      </c>
      <c r="D73">
        <v>573675</v>
      </c>
      <c r="E73">
        <v>414844</v>
      </c>
      <c r="F73">
        <v>29451</v>
      </c>
      <c r="G73">
        <v>4997</v>
      </c>
      <c r="H73">
        <v>615</v>
      </c>
      <c r="I73">
        <v>47</v>
      </c>
      <c r="J73">
        <v>3140</v>
      </c>
      <c r="K73">
        <v>8.4634223949243567E-2</v>
      </c>
      <c r="L73" t="s">
        <v>22</v>
      </c>
    </row>
    <row r="74" spans="1:12" x14ac:dyDescent="0.25">
      <c r="A74" t="s">
        <v>20</v>
      </c>
      <c r="B74" t="s">
        <v>78</v>
      </c>
      <c r="C74">
        <v>808370</v>
      </c>
      <c r="D74">
        <v>518709</v>
      </c>
      <c r="E74">
        <v>421394</v>
      </c>
      <c r="F74">
        <v>31398</v>
      </c>
      <c r="G74">
        <v>4326</v>
      </c>
      <c r="H74">
        <v>1813</v>
      </c>
      <c r="I74">
        <v>6972</v>
      </c>
      <c r="J74">
        <v>7068</v>
      </c>
      <c r="K74">
        <v>0.1056232409573938</v>
      </c>
      <c r="L74" t="s">
        <v>22</v>
      </c>
    </row>
    <row r="75" spans="1:12" x14ac:dyDescent="0.25">
      <c r="A75" t="s">
        <v>20</v>
      </c>
      <c r="B75" t="s">
        <v>146</v>
      </c>
      <c r="C75">
        <v>219355</v>
      </c>
      <c r="D75">
        <v>31556</v>
      </c>
      <c r="E75">
        <v>27020</v>
      </c>
      <c r="F75">
        <v>1428</v>
      </c>
      <c r="G75">
        <v>112</v>
      </c>
      <c r="H75">
        <v>41</v>
      </c>
      <c r="I75">
        <v>160</v>
      </c>
      <c r="J75">
        <v>946</v>
      </c>
      <c r="K75">
        <v>6.4433752775721692E-2</v>
      </c>
      <c r="L75" t="s">
        <v>22</v>
      </c>
    </row>
    <row r="76" spans="1:12" x14ac:dyDescent="0.25">
      <c r="A76" t="s">
        <v>20</v>
      </c>
      <c r="B76" t="s">
        <v>104</v>
      </c>
      <c r="C76">
        <v>376637</v>
      </c>
      <c r="D76">
        <v>124755</v>
      </c>
      <c r="E76">
        <v>87530</v>
      </c>
      <c r="F76">
        <v>2923</v>
      </c>
      <c r="G76">
        <v>388</v>
      </c>
      <c r="H76">
        <v>99</v>
      </c>
      <c r="I76">
        <v>188</v>
      </c>
      <c r="J76">
        <v>2599</v>
      </c>
      <c r="K76">
        <v>4.1105906546326974E-2</v>
      </c>
      <c r="L76" t="s">
        <v>22</v>
      </c>
    </row>
    <row r="77" spans="1:12" x14ac:dyDescent="0.25">
      <c r="A77" t="s">
        <v>20</v>
      </c>
      <c r="B77" t="s">
        <v>54</v>
      </c>
      <c r="C77">
        <v>752340</v>
      </c>
      <c r="D77">
        <v>353487</v>
      </c>
      <c r="E77">
        <v>251704</v>
      </c>
      <c r="F77">
        <v>13526</v>
      </c>
      <c r="G77">
        <v>1445</v>
      </c>
      <c r="H77">
        <v>792</v>
      </c>
      <c r="I77">
        <v>1327</v>
      </c>
      <c r="J77">
        <v>9945</v>
      </c>
      <c r="K77">
        <v>6.7897212598925727E-2</v>
      </c>
      <c r="L77" t="s">
        <v>66</v>
      </c>
    </row>
    <row r="78" spans="1:12" x14ac:dyDescent="0.25">
      <c r="A78" t="s">
        <v>20</v>
      </c>
      <c r="B78" t="s">
        <v>65</v>
      </c>
      <c r="C78">
        <v>381681</v>
      </c>
      <c r="D78">
        <v>1874597</v>
      </c>
      <c r="E78">
        <v>1516349</v>
      </c>
      <c r="F78">
        <v>50697</v>
      </c>
      <c r="G78">
        <v>3951</v>
      </c>
      <c r="H78">
        <v>2113</v>
      </c>
      <c r="I78">
        <v>5777</v>
      </c>
      <c r="J78">
        <v>47695</v>
      </c>
      <c r="K78">
        <v>4.1242484414867553E-2</v>
      </c>
      <c r="L78" t="s">
        <v>29</v>
      </c>
    </row>
    <row r="79" spans="1:12" x14ac:dyDescent="0.25">
      <c r="A79" t="s">
        <v>20</v>
      </c>
      <c r="B79" t="s">
        <v>78</v>
      </c>
      <c r="C79">
        <v>175426</v>
      </c>
      <c r="D79">
        <v>14041</v>
      </c>
      <c r="E79">
        <v>12019</v>
      </c>
      <c r="F79">
        <v>340</v>
      </c>
      <c r="G79">
        <v>55</v>
      </c>
      <c r="H79">
        <v>25</v>
      </c>
      <c r="I79">
        <v>56</v>
      </c>
      <c r="J79">
        <v>96</v>
      </c>
      <c r="K79">
        <v>3.9603960396039604E-2</v>
      </c>
      <c r="L79" t="s">
        <v>22</v>
      </c>
    </row>
    <row r="80" spans="1:12" x14ac:dyDescent="0.25">
      <c r="A80" t="s">
        <v>20</v>
      </c>
      <c r="B80" t="s">
        <v>35</v>
      </c>
      <c r="C80">
        <v>543163</v>
      </c>
      <c r="D80">
        <v>190740</v>
      </c>
      <c r="E80">
        <v>137246</v>
      </c>
      <c r="F80">
        <v>12362</v>
      </c>
      <c r="G80">
        <v>1015</v>
      </c>
      <c r="H80">
        <v>1321</v>
      </c>
      <c r="I80">
        <v>48</v>
      </c>
      <c r="J80">
        <v>5492</v>
      </c>
      <c r="K80">
        <v>0.10744211124550078</v>
      </c>
      <c r="L80" t="s">
        <v>22</v>
      </c>
    </row>
    <row r="81" spans="1:12" x14ac:dyDescent="0.25">
      <c r="A81" t="s">
        <v>20</v>
      </c>
      <c r="B81" t="s">
        <v>46</v>
      </c>
      <c r="C81">
        <v>595692</v>
      </c>
      <c r="D81">
        <v>322944</v>
      </c>
      <c r="E81">
        <v>251776</v>
      </c>
      <c r="F81">
        <v>11646</v>
      </c>
      <c r="G81">
        <v>1862</v>
      </c>
      <c r="H81">
        <v>1453</v>
      </c>
      <c r="I81">
        <v>34</v>
      </c>
      <c r="J81">
        <v>8141</v>
      </c>
      <c r="K81">
        <v>5.9556907727503813E-2</v>
      </c>
      <c r="L81" t="s">
        <v>66</v>
      </c>
    </row>
    <row r="82" spans="1:12" x14ac:dyDescent="0.25">
      <c r="A82" t="s">
        <v>20</v>
      </c>
      <c r="B82" t="s">
        <v>104</v>
      </c>
      <c r="C82">
        <v>703715</v>
      </c>
      <c r="D82">
        <v>234307</v>
      </c>
      <c r="E82">
        <v>212040</v>
      </c>
      <c r="F82">
        <v>14720</v>
      </c>
      <c r="G82">
        <v>2370</v>
      </c>
      <c r="H82">
        <v>1973</v>
      </c>
      <c r="I82">
        <v>1331</v>
      </c>
      <c r="J82">
        <v>4175</v>
      </c>
      <c r="K82">
        <v>9.6179966044142612E-2</v>
      </c>
      <c r="L82" t="s">
        <v>22</v>
      </c>
    </row>
    <row r="83" spans="1:12" x14ac:dyDescent="0.25">
      <c r="A83" t="s">
        <v>20</v>
      </c>
      <c r="B83" t="s">
        <v>128</v>
      </c>
      <c r="C83">
        <v>631539</v>
      </c>
      <c r="D83">
        <v>225392</v>
      </c>
      <c r="E83">
        <v>173473</v>
      </c>
      <c r="F83">
        <v>10288</v>
      </c>
      <c r="G83">
        <v>1282</v>
      </c>
      <c r="H83">
        <v>628</v>
      </c>
      <c r="I83">
        <v>21</v>
      </c>
      <c r="J83">
        <v>5616</v>
      </c>
      <c r="K83">
        <v>7.0437474419650314E-2</v>
      </c>
      <c r="L83" t="s">
        <v>22</v>
      </c>
    </row>
    <row r="84" spans="1:12" x14ac:dyDescent="0.25">
      <c r="A84" t="s">
        <v>20</v>
      </c>
      <c r="B84" t="s">
        <v>104</v>
      </c>
      <c r="C84">
        <v>400470</v>
      </c>
      <c r="D84">
        <v>101251</v>
      </c>
      <c r="E84">
        <v>88958</v>
      </c>
      <c r="F84">
        <v>5987</v>
      </c>
      <c r="G84">
        <v>528</v>
      </c>
      <c r="H84">
        <v>694</v>
      </c>
      <c r="I84">
        <v>855</v>
      </c>
      <c r="J84">
        <v>1954</v>
      </c>
      <c r="K84">
        <v>9.0649519998201394E-2</v>
      </c>
      <c r="L84" t="s">
        <v>22</v>
      </c>
    </row>
    <row r="85" spans="1:12" x14ac:dyDescent="0.25">
      <c r="A85" t="s">
        <v>20</v>
      </c>
      <c r="B85" t="s">
        <v>146</v>
      </c>
      <c r="C85">
        <v>727592</v>
      </c>
      <c r="D85">
        <v>320047</v>
      </c>
      <c r="E85">
        <v>231330</v>
      </c>
      <c r="F85">
        <v>17346</v>
      </c>
      <c r="G85">
        <v>530</v>
      </c>
      <c r="H85">
        <v>674</v>
      </c>
      <c r="I85">
        <v>961</v>
      </c>
      <c r="J85">
        <v>8573</v>
      </c>
      <c r="K85">
        <v>8.4342713871957811E-2</v>
      </c>
      <c r="L85" t="s">
        <v>29</v>
      </c>
    </row>
    <row r="86" spans="1:12" x14ac:dyDescent="0.25">
      <c r="A86" t="s">
        <v>20</v>
      </c>
      <c r="B86" t="s">
        <v>73</v>
      </c>
      <c r="C86">
        <v>784920</v>
      </c>
      <c r="D86">
        <v>455274</v>
      </c>
      <c r="E86">
        <v>345457</v>
      </c>
      <c r="F86">
        <v>23115</v>
      </c>
      <c r="G86">
        <v>1937</v>
      </c>
      <c r="H86">
        <v>740</v>
      </c>
      <c r="I86">
        <v>2494</v>
      </c>
      <c r="J86">
        <v>4013</v>
      </c>
      <c r="K86">
        <v>8.1879944537236182E-2</v>
      </c>
      <c r="L86" t="s">
        <v>66</v>
      </c>
    </row>
    <row r="87" spans="1:12" x14ac:dyDescent="0.25">
      <c r="A87" t="s">
        <v>20</v>
      </c>
      <c r="B87" t="s">
        <v>51</v>
      </c>
      <c r="C87">
        <v>445863</v>
      </c>
      <c r="D87">
        <v>153557</v>
      </c>
      <c r="E87">
        <v>134014</v>
      </c>
      <c r="F87">
        <v>3572</v>
      </c>
      <c r="G87">
        <v>387</v>
      </c>
      <c r="H87">
        <v>339</v>
      </c>
      <c r="I87">
        <v>10</v>
      </c>
      <c r="J87">
        <v>3932</v>
      </c>
      <c r="K87">
        <v>3.2145895204978583E-2</v>
      </c>
      <c r="L87" t="s">
        <v>22</v>
      </c>
    </row>
    <row r="88" spans="1:12" x14ac:dyDescent="0.25">
      <c r="A88" t="s">
        <v>20</v>
      </c>
      <c r="B88" t="s">
        <v>51</v>
      </c>
      <c r="C88">
        <v>729001</v>
      </c>
      <c r="D88">
        <v>394502</v>
      </c>
      <c r="E88">
        <v>338743</v>
      </c>
      <c r="F88">
        <v>8924</v>
      </c>
      <c r="G88">
        <v>755</v>
      </c>
      <c r="H88">
        <v>1013</v>
      </c>
      <c r="I88">
        <v>28</v>
      </c>
      <c r="J88">
        <v>9198</v>
      </c>
      <c r="K88">
        <v>3.1646410405528673E-2</v>
      </c>
      <c r="L88" t="s">
        <v>29</v>
      </c>
    </row>
    <row r="89" spans="1:12" x14ac:dyDescent="0.25">
      <c r="A89" t="s">
        <v>20</v>
      </c>
      <c r="B89" t="s">
        <v>107</v>
      </c>
      <c r="C89">
        <v>799127</v>
      </c>
      <c r="D89">
        <v>330943</v>
      </c>
      <c r="E89">
        <v>250513</v>
      </c>
      <c r="F89">
        <v>6830</v>
      </c>
      <c r="G89">
        <v>855</v>
      </c>
      <c r="H89">
        <v>842</v>
      </c>
      <c r="I89">
        <v>7</v>
      </c>
      <c r="J89">
        <v>5252</v>
      </c>
      <c r="K89">
        <v>3.4066096370248253E-2</v>
      </c>
      <c r="L89" t="s">
        <v>22</v>
      </c>
    </row>
    <row r="90" spans="1:12" x14ac:dyDescent="0.25">
      <c r="A90" t="s">
        <v>20</v>
      </c>
      <c r="B90" t="s">
        <v>107</v>
      </c>
      <c r="C90">
        <v>426548</v>
      </c>
      <c r="D90">
        <v>187092</v>
      </c>
      <c r="E90">
        <v>153142</v>
      </c>
      <c r="F90">
        <v>11599</v>
      </c>
      <c r="G90">
        <v>1823</v>
      </c>
      <c r="H90">
        <v>329</v>
      </c>
      <c r="I90">
        <v>7</v>
      </c>
      <c r="J90">
        <v>2211</v>
      </c>
      <c r="K90">
        <v>8.9838189392851084E-2</v>
      </c>
      <c r="L90" t="s">
        <v>29</v>
      </c>
    </row>
    <row r="91" spans="1:12" x14ac:dyDescent="0.25">
      <c r="A91" t="s">
        <v>20</v>
      </c>
      <c r="B91" t="s">
        <v>58</v>
      </c>
      <c r="C91">
        <v>756956</v>
      </c>
      <c r="D91">
        <v>192796</v>
      </c>
      <c r="E91">
        <v>161675</v>
      </c>
      <c r="F91">
        <v>7609</v>
      </c>
      <c r="G91">
        <v>1067</v>
      </c>
      <c r="H91">
        <v>161</v>
      </c>
      <c r="I91">
        <v>1873</v>
      </c>
      <c r="J91">
        <v>2001</v>
      </c>
      <c r="K91">
        <v>6.6244008040822644E-2</v>
      </c>
      <c r="L91" t="s">
        <v>22</v>
      </c>
    </row>
    <row r="92" spans="1:12" x14ac:dyDescent="0.25">
      <c r="A92" t="s">
        <v>20</v>
      </c>
      <c r="B92" t="s">
        <v>78</v>
      </c>
      <c r="C92">
        <v>174132</v>
      </c>
      <c r="D92">
        <v>39053</v>
      </c>
      <c r="E92">
        <v>32293</v>
      </c>
      <c r="F92">
        <v>2300</v>
      </c>
      <c r="G92">
        <v>141</v>
      </c>
      <c r="H92">
        <v>180</v>
      </c>
      <c r="I92">
        <v>512</v>
      </c>
      <c r="J92">
        <v>776</v>
      </c>
      <c r="K92">
        <v>9.7017929582262408E-2</v>
      </c>
      <c r="L92" t="s">
        <v>66</v>
      </c>
    </row>
    <row r="93" spans="1:12" x14ac:dyDescent="0.25">
      <c r="A93" t="s">
        <v>20</v>
      </c>
      <c r="B93" t="s">
        <v>104</v>
      </c>
      <c r="C93">
        <v>419096</v>
      </c>
      <c r="D93">
        <v>194434</v>
      </c>
      <c r="E93">
        <v>153986</v>
      </c>
      <c r="F93">
        <v>6859</v>
      </c>
      <c r="G93">
        <v>794</v>
      </c>
      <c r="H93">
        <v>962</v>
      </c>
      <c r="I93">
        <v>964</v>
      </c>
      <c r="J93">
        <v>1236</v>
      </c>
      <c r="K93">
        <v>6.2206953878924061E-2</v>
      </c>
      <c r="L93" t="s">
        <v>22</v>
      </c>
    </row>
    <row r="94" spans="1:12" x14ac:dyDescent="0.25">
      <c r="A94" t="s">
        <v>20</v>
      </c>
      <c r="B94" t="s">
        <v>46</v>
      </c>
      <c r="C94">
        <v>418066</v>
      </c>
      <c r="D94">
        <v>108808</v>
      </c>
      <c r="E94">
        <v>77614</v>
      </c>
      <c r="F94">
        <v>8483</v>
      </c>
      <c r="G94">
        <v>929</v>
      </c>
      <c r="H94">
        <v>937</v>
      </c>
      <c r="I94">
        <v>38</v>
      </c>
      <c r="J94">
        <v>1625</v>
      </c>
      <c r="K94">
        <v>0.13382894838560053</v>
      </c>
      <c r="L94" t="s">
        <v>22</v>
      </c>
    </row>
    <row r="95" spans="1:12" x14ac:dyDescent="0.25">
      <c r="A95" t="s">
        <v>20</v>
      </c>
      <c r="B95" t="s">
        <v>87</v>
      </c>
      <c r="C95">
        <v>125228</v>
      </c>
      <c r="D95">
        <v>56128</v>
      </c>
      <c r="E95">
        <v>43191</v>
      </c>
      <c r="F95">
        <v>3602</v>
      </c>
      <c r="G95">
        <v>475</v>
      </c>
      <c r="H95">
        <v>88</v>
      </c>
      <c r="I95">
        <v>886</v>
      </c>
      <c r="J95">
        <v>401</v>
      </c>
      <c r="K95">
        <v>0.11694565997545785</v>
      </c>
      <c r="L95" t="s">
        <v>66</v>
      </c>
    </row>
    <row r="96" spans="1:12" x14ac:dyDescent="0.25">
      <c r="A96" t="s">
        <v>20</v>
      </c>
      <c r="B96" t="s">
        <v>73</v>
      </c>
      <c r="C96">
        <v>834637</v>
      </c>
      <c r="D96">
        <v>519832</v>
      </c>
      <c r="E96">
        <v>456143</v>
      </c>
      <c r="F96">
        <v>10464</v>
      </c>
      <c r="G96">
        <v>1516</v>
      </c>
      <c r="H96">
        <v>704</v>
      </c>
      <c r="I96">
        <v>1965</v>
      </c>
      <c r="J96">
        <v>14126</v>
      </c>
      <c r="K96">
        <v>3.2114928870990017E-2</v>
      </c>
      <c r="L96" t="s">
        <v>22</v>
      </c>
    </row>
    <row r="97" spans="1:12" x14ac:dyDescent="0.25">
      <c r="A97" t="s">
        <v>20</v>
      </c>
      <c r="B97" t="s">
        <v>146</v>
      </c>
      <c r="C97">
        <v>87760</v>
      </c>
      <c r="D97">
        <v>26538</v>
      </c>
      <c r="E97">
        <v>19376</v>
      </c>
      <c r="F97">
        <v>534</v>
      </c>
      <c r="G97">
        <v>71</v>
      </c>
      <c r="H97">
        <v>68</v>
      </c>
      <c r="I97">
        <v>82</v>
      </c>
      <c r="J97">
        <v>406</v>
      </c>
      <c r="K97">
        <v>3.8965730800990916E-2</v>
      </c>
      <c r="L97" t="s">
        <v>29</v>
      </c>
    </row>
    <row r="98" spans="1:12" x14ac:dyDescent="0.25">
      <c r="A98" t="s">
        <v>20</v>
      </c>
      <c r="B98" t="s">
        <v>46</v>
      </c>
      <c r="C98">
        <v>725435</v>
      </c>
      <c r="D98">
        <v>189776</v>
      </c>
      <c r="E98">
        <v>168143</v>
      </c>
      <c r="F98">
        <v>9434</v>
      </c>
      <c r="G98">
        <v>883</v>
      </c>
      <c r="H98">
        <v>586</v>
      </c>
      <c r="I98">
        <v>48</v>
      </c>
      <c r="J98">
        <v>6217</v>
      </c>
      <c r="K98">
        <v>6.5129086551328333E-2</v>
      </c>
      <c r="L98" t="s">
        <v>22</v>
      </c>
    </row>
    <row r="99" spans="1:12" x14ac:dyDescent="0.25">
      <c r="A99" t="s">
        <v>20</v>
      </c>
      <c r="B99" t="s">
        <v>73</v>
      </c>
      <c r="C99">
        <v>31997</v>
      </c>
      <c r="D99">
        <v>5946</v>
      </c>
      <c r="E99">
        <v>5186</v>
      </c>
      <c r="F99">
        <v>253</v>
      </c>
      <c r="G99">
        <v>45</v>
      </c>
      <c r="H99">
        <v>6</v>
      </c>
      <c r="I99">
        <v>33</v>
      </c>
      <c r="J99">
        <v>162</v>
      </c>
      <c r="K99">
        <v>6.4982645584265336E-2</v>
      </c>
      <c r="L99" t="s">
        <v>22</v>
      </c>
    </row>
    <row r="100" spans="1:12" x14ac:dyDescent="0.25">
      <c r="A100" t="s">
        <v>20</v>
      </c>
      <c r="B100" t="s">
        <v>70</v>
      </c>
      <c r="C100">
        <v>244759</v>
      </c>
      <c r="D100">
        <v>51447</v>
      </c>
      <c r="E100">
        <v>46083</v>
      </c>
      <c r="F100">
        <v>3928</v>
      </c>
      <c r="G100">
        <v>207</v>
      </c>
      <c r="H100">
        <v>479</v>
      </c>
      <c r="I100">
        <v>13</v>
      </c>
      <c r="J100">
        <v>524</v>
      </c>
      <c r="K100">
        <v>0.1004057895536315</v>
      </c>
      <c r="L100" t="s">
        <v>22</v>
      </c>
    </row>
    <row r="101" spans="1:12" x14ac:dyDescent="0.25">
      <c r="A101" t="s">
        <v>20</v>
      </c>
      <c r="B101" t="s">
        <v>70</v>
      </c>
      <c r="C101">
        <v>118208</v>
      </c>
      <c r="D101">
        <v>61667</v>
      </c>
      <c r="E101">
        <v>55296</v>
      </c>
      <c r="F101">
        <v>3317</v>
      </c>
      <c r="G101">
        <v>370</v>
      </c>
      <c r="H101">
        <v>106</v>
      </c>
      <c r="I101">
        <v>31</v>
      </c>
      <c r="J101">
        <v>763</v>
      </c>
      <c r="K101">
        <v>6.9155092592592587E-2</v>
      </c>
      <c r="L101" t="s">
        <v>29</v>
      </c>
    </row>
    <row r="102" spans="1:12" x14ac:dyDescent="0.25">
      <c r="A102" t="s">
        <v>20</v>
      </c>
      <c r="B102" t="s">
        <v>73</v>
      </c>
      <c r="C102">
        <v>746531</v>
      </c>
      <c r="D102">
        <v>331078</v>
      </c>
      <c r="E102">
        <v>258084</v>
      </c>
      <c r="F102">
        <v>11076</v>
      </c>
      <c r="G102">
        <v>1968</v>
      </c>
      <c r="H102">
        <v>1361</v>
      </c>
      <c r="I102">
        <v>1078</v>
      </c>
      <c r="J102">
        <v>6562</v>
      </c>
      <c r="K102">
        <v>5.9992095596782445E-2</v>
      </c>
      <c r="L102" t="s">
        <v>22</v>
      </c>
    </row>
    <row r="103" spans="1:12" x14ac:dyDescent="0.25">
      <c r="A103" t="s">
        <v>20</v>
      </c>
      <c r="B103" t="s">
        <v>65</v>
      </c>
      <c r="C103">
        <v>705169</v>
      </c>
      <c r="D103">
        <v>339799</v>
      </c>
      <c r="E103">
        <v>258889</v>
      </c>
      <c r="F103">
        <v>20575</v>
      </c>
      <c r="G103">
        <v>1577</v>
      </c>
      <c r="H103">
        <v>1111</v>
      </c>
      <c r="I103">
        <v>4168</v>
      </c>
      <c r="J103">
        <v>4454</v>
      </c>
      <c r="K103">
        <v>0.10595660688557644</v>
      </c>
      <c r="L103" t="s">
        <v>29</v>
      </c>
    </row>
    <row r="104" spans="1:12" x14ac:dyDescent="0.25">
      <c r="A104" t="s">
        <v>20</v>
      </c>
      <c r="B104" t="s">
        <v>107</v>
      </c>
      <c r="C104">
        <v>487893</v>
      </c>
      <c r="D104">
        <v>109749</v>
      </c>
      <c r="E104">
        <v>88537</v>
      </c>
      <c r="F104">
        <v>5017</v>
      </c>
      <c r="G104">
        <v>166</v>
      </c>
      <c r="H104">
        <v>223</v>
      </c>
      <c r="I104">
        <v>35</v>
      </c>
      <c r="J104">
        <v>3208</v>
      </c>
      <c r="K104">
        <v>6.1454533133040425E-2</v>
      </c>
      <c r="L104" t="s">
        <v>22</v>
      </c>
    </row>
    <row r="105" spans="1:12" x14ac:dyDescent="0.25">
      <c r="A105" t="s">
        <v>20</v>
      </c>
      <c r="B105" t="s">
        <v>104</v>
      </c>
      <c r="C105">
        <v>276425</v>
      </c>
      <c r="D105">
        <v>76473</v>
      </c>
      <c r="E105">
        <v>61946</v>
      </c>
      <c r="F105">
        <v>4433</v>
      </c>
      <c r="G105">
        <v>531</v>
      </c>
      <c r="H105">
        <v>544</v>
      </c>
      <c r="I105">
        <v>876</v>
      </c>
      <c r="J105">
        <v>1038</v>
      </c>
      <c r="K105">
        <v>0.1030575016950247</v>
      </c>
      <c r="L105" t="s">
        <v>66</v>
      </c>
    </row>
    <row r="106" spans="1:12" x14ac:dyDescent="0.25">
      <c r="A106" t="s">
        <v>20</v>
      </c>
      <c r="B106" t="s">
        <v>21</v>
      </c>
      <c r="C106">
        <v>428292</v>
      </c>
      <c r="D106">
        <v>161940</v>
      </c>
      <c r="E106">
        <v>128610</v>
      </c>
      <c r="F106">
        <v>9851</v>
      </c>
      <c r="G106">
        <v>464</v>
      </c>
      <c r="H106">
        <v>636</v>
      </c>
      <c r="I106">
        <v>1215</v>
      </c>
      <c r="J106">
        <v>2667</v>
      </c>
      <c r="K106">
        <v>9.4596065624757017E-2</v>
      </c>
      <c r="L106" t="s">
        <v>22</v>
      </c>
    </row>
    <row r="107" spans="1:12" x14ac:dyDescent="0.25">
      <c r="A107" t="s">
        <v>20</v>
      </c>
      <c r="B107" t="s">
        <v>70</v>
      </c>
      <c r="C107">
        <v>305313</v>
      </c>
      <c r="D107">
        <v>150603</v>
      </c>
      <c r="E107">
        <v>115699</v>
      </c>
      <c r="F107">
        <v>5024</v>
      </c>
      <c r="G107">
        <v>228</v>
      </c>
      <c r="H107">
        <v>258</v>
      </c>
      <c r="I107">
        <v>27</v>
      </c>
      <c r="J107">
        <v>3863</v>
      </c>
      <c r="K107">
        <v>4.7856939126526589E-2</v>
      </c>
      <c r="L107" t="s">
        <v>22</v>
      </c>
    </row>
    <row r="108" spans="1:12" x14ac:dyDescent="0.25">
      <c r="A108" t="s">
        <v>20</v>
      </c>
      <c r="B108" t="s">
        <v>107</v>
      </c>
      <c r="C108">
        <v>767261</v>
      </c>
      <c r="D108">
        <v>399615</v>
      </c>
      <c r="E108">
        <v>340064</v>
      </c>
      <c r="F108">
        <v>8405</v>
      </c>
      <c r="G108">
        <v>808</v>
      </c>
      <c r="H108">
        <v>420</v>
      </c>
      <c r="I108">
        <v>11</v>
      </c>
      <c r="J108">
        <v>10266</v>
      </c>
      <c r="K108">
        <v>2.8359367648442647E-2</v>
      </c>
      <c r="L108" t="s">
        <v>22</v>
      </c>
    </row>
    <row r="109" spans="1:12" x14ac:dyDescent="0.25">
      <c r="A109" t="s">
        <v>20</v>
      </c>
      <c r="B109" t="s">
        <v>58</v>
      </c>
      <c r="C109">
        <v>542228</v>
      </c>
      <c r="D109">
        <v>315074</v>
      </c>
      <c r="E109">
        <v>222158</v>
      </c>
      <c r="F109">
        <v>24170</v>
      </c>
      <c r="G109">
        <v>2557</v>
      </c>
      <c r="H109">
        <v>3520</v>
      </c>
      <c r="I109">
        <v>2248</v>
      </c>
      <c r="J109">
        <v>4911</v>
      </c>
      <c r="K109">
        <v>0.14626977196409763</v>
      </c>
      <c r="L109" t="s">
        <v>22</v>
      </c>
    </row>
    <row r="110" spans="1:12" x14ac:dyDescent="0.25">
      <c r="A110" t="s">
        <v>20</v>
      </c>
      <c r="B110" t="s">
        <v>51</v>
      </c>
      <c r="C110">
        <v>642202</v>
      </c>
      <c r="D110">
        <v>394639</v>
      </c>
      <c r="E110">
        <v>343513</v>
      </c>
      <c r="F110">
        <v>25959</v>
      </c>
      <c r="G110">
        <v>2088</v>
      </c>
      <c r="H110">
        <v>1201</v>
      </c>
      <c r="I110">
        <v>50</v>
      </c>
      <c r="J110">
        <v>4278</v>
      </c>
      <c r="K110">
        <v>8.5289348583605276E-2</v>
      </c>
      <c r="L110" t="s">
        <v>29</v>
      </c>
    </row>
    <row r="111" spans="1:12" x14ac:dyDescent="0.25">
      <c r="A111" t="s">
        <v>20</v>
      </c>
      <c r="B111" t="s">
        <v>78</v>
      </c>
      <c r="C111">
        <v>192387</v>
      </c>
      <c r="D111">
        <v>42912</v>
      </c>
      <c r="E111">
        <v>34601</v>
      </c>
      <c r="F111">
        <v>1468</v>
      </c>
      <c r="G111">
        <v>185</v>
      </c>
      <c r="H111">
        <v>44</v>
      </c>
      <c r="I111">
        <v>138</v>
      </c>
      <c r="J111">
        <v>567</v>
      </c>
      <c r="K111">
        <v>5.303314933094419E-2</v>
      </c>
      <c r="L111" t="s">
        <v>22</v>
      </c>
    </row>
    <row r="112" spans="1:12" x14ac:dyDescent="0.25">
      <c r="A112" t="s">
        <v>20</v>
      </c>
      <c r="B112" t="s">
        <v>107</v>
      </c>
      <c r="C112">
        <v>658283</v>
      </c>
      <c r="D112">
        <v>76348</v>
      </c>
      <c r="E112">
        <v>59376</v>
      </c>
      <c r="F112">
        <v>3421</v>
      </c>
      <c r="G112">
        <v>146</v>
      </c>
      <c r="H112">
        <v>262</v>
      </c>
      <c r="I112">
        <v>23</v>
      </c>
      <c r="J112">
        <v>1151</v>
      </c>
      <c r="K112">
        <v>6.4874696847210991E-2</v>
      </c>
      <c r="L112" t="s">
        <v>29</v>
      </c>
    </row>
    <row r="113" spans="1:12" x14ac:dyDescent="0.25">
      <c r="A113" t="s">
        <v>20</v>
      </c>
      <c r="B113" t="s">
        <v>58</v>
      </c>
      <c r="C113">
        <v>245784</v>
      </c>
      <c r="D113">
        <v>84569</v>
      </c>
      <c r="E113">
        <v>67524</v>
      </c>
      <c r="F113">
        <v>4147</v>
      </c>
      <c r="G113">
        <v>400</v>
      </c>
      <c r="H113">
        <v>218</v>
      </c>
      <c r="I113">
        <v>806</v>
      </c>
      <c r="J113">
        <v>2505</v>
      </c>
      <c r="K113">
        <v>8.2503998578283277E-2</v>
      </c>
      <c r="L113" t="s">
        <v>22</v>
      </c>
    </row>
    <row r="114" spans="1:12" x14ac:dyDescent="0.25">
      <c r="A114" t="s">
        <v>20</v>
      </c>
      <c r="B114" t="s">
        <v>70</v>
      </c>
      <c r="C114">
        <v>797446</v>
      </c>
      <c r="D114">
        <v>367046</v>
      </c>
      <c r="E114">
        <v>283678</v>
      </c>
      <c r="F114">
        <v>22493</v>
      </c>
      <c r="G114">
        <v>3009</v>
      </c>
      <c r="H114">
        <v>2168</v>
      </c>
      <c r="I114">
        <v>35</v>
      </c>
      <c r="J114">
        <v>4550</v>
      </c>
      <c r="K114">
        <v>9.7663548107361164E-2</v>
      </c>
      <c r="L114" t="s">
        <v>29</v>
      </c>
    </row>
    <row r="115" spans="1:12" x14ac:dyDescent="0.25">
      <c r="A115" t="s">
        <v>20</v>
      </c>
      <c r="B115" t="s">
        <v>70</v>
      </c>
      <c r="C115">
        <v>107155</v>
      </c>
      <c r="D115">
        <v>25794</v>
      </c>
      <c r="E115">
        <v>20507</v>
      </c>
      <c r="F115">
        <v>569</v>
      </c>
      <c r="G115">
        <v>77</v>
      </c>
      <c r="H115">
        <v>25</v>
      </c>
      <c r="I115">
        <v>14</v>
      </c>
      <c r="J115">
        <v>579</v>
      </c>
      <c r="K115">
        <v>3.3403228165992102E-2</v>
      </c>
      <c r="L115" t="s">
        <v>22</v>
      </c>
    </row>
    <row r="116" spans="1:12" x14ac:dyDescent="0.25">
      <c r="A116" t="s">
        <v>20</v>
      </c>
      <c r="B116" t="s">
        <v>46</v>
      </c>
      <c r="C116">
        <v>136873</v>
      </c>
      <c r="D116">
        <v>70569</v>
      </c>
      <c r="E116">
        <v>56400</v>
      </c>
      <c r="F116">
        <v>2179</v>
      </c>
      <c r="G116">
        <v>214</v>
      </c>
      <c r="H116">
        <v>146</v>
      </c>
      <c r="I116">
        <v>43</v>
      </c>
      <c r="J116">
        <v>1070</v>
      </c>
      <c r="K116">
        <v>4.5780141843971632E-2</v>
      </c>
      <c r="L116" t="s">
        <v>22</v>
      </c>
    </row>
    <row r="117" spans="1:12" x14ac:dyDescent="0.25">
      <c r="A117" t="s">
        <v>20</v>
      </c>
      <c r="B117" t="s">
        <v>78</v>
      </c>
      <c r="C117">
        <v>382980</v>
      </c>
      <c r="D117">
        <v>34508</v>
      </c>
      <c r="E117">
        <v>27090</v>
      </c>
      <c r="F117">
        <v>2260</v>
      </c>
      <c r="G117">
        <v>164</v>
      </c>
      <c r="H117">
        <v>178</v>
      </c>
      <c r="I117">
        <v>464</v>
      </c>
      <c r="J117">
        <v>862</v>
      </c>
      <c r="K117">
        <v>0.11317829457364341</v>
      </c>
      <c r="L117" t="s">
        <v>22</v>
      </c>
    </row>
    <row r="118" spans="1:12" x14ac:dyDescent="0.25">
      <c r="A118" t="s">
        <v>20</v>
      </c>
      <c r="B118" t="s">
        <v>70</v>
      </c>
      <c r="C118">
        <v>648084</v>
      </c>
      <c r="D118">
        <v>140239</v>
      </c>
      <c r="E118">
        <v>118833</v>
      </c>
      <c r="F118">
        <v>7273</v>
      </c>
      <c r="G118">
        <v>914</v>
      </c>
      <c r="H118">
        <v>195</v>
      </c>
      <c r="I118">
        <v>26</v>
      </c>
      <c r="J118">
        <v>2090</v>
      </c>
      <c r="K118">
        <v>7.075475667533429E-2</v>
      </c>
      <c r="L118" t="s">
        <v>22</v>
      </c>
    </row>
    <row r="119" spans="1:12" x14ac:dyDescent="0.25">
      <c r="A119" t="s">
        <v>20</v>
      </c>
      <c r="B119" t="s">
        <v>46</v>
      </c>
      <c r="C119">
        <v>459250</v>
      </c>
      <c r="D119">
        <v>73088</v>
      </c>
      <c r="E119">
        <v>59826</v>
      </c>
      <c r="F119">
        <v>1825</v>
      </c>
      <c r="G119">
        <v>102</v>
      </c>
      <c r="H119">
        <v>117</v>
      </c>
      <c r="I119">
        <v>16</v>
      </c>
      <c r="J119">
        <v>634</v>
      </c>
      <c r="K119">
        <v>3.4433189583124392E-2</v>
      </c>
      <c r="L119" t="s">
        <v>22</v>
      </c>
    </row>
    <row r="120" spans="1:12" x14ac:dyDescent="0.25">
      <c r="A120" t="s">
        <v>20</v>
      </c>
      <c r="B120" t="s">
        <v>40</v>
      </c>
      <c r="C120">
        <v>819634</v>
      </c>
      <c r="D120">
        <v>182973</v>
      </c>
      <c r="E120">
        <v>144056</v>
      </c>
      <c r="F120">
        <v>9192</v>
      </c>
      <c r="G120">
        <v>294</v>
      </c>
      <c r="H120">
        <v>569</v>
      </c>
      <c r="I120">
        <v>32</v>
      </c>
      <c r="J120">
        <v>2013</v>
      </c>
      <c r="K120">
        <v>7.0021380574221137E-2</v>
      </c>
      <c r="L120" t="s">
        <v>22</v>
      </c>
    </row>
    <row r="121" spans="1:12" x14ac:dyDescent="0.25">
      <c r="A121" t="s">
        <v>20</v>
      </c>
      <c r="B121" t="s">
        <v>70</v>
      </c>
      <c r="C121">
        <v>301773</v>
      </c>
      <c r="D121">
        <v>131411</v>
      </c>
      <c r="E121">
        <v>100753</v>
      </c>
      <c r="F121">
        <v>9938</v>
      </c>
      <c r="G121">
        <v>1147</v>
      </c>
      <c r="H121">
        <v>1172</v>
      </c>
      <c r="I121">
        <v>18</v>
      </c>
      <c r="J121">
        <v>3216</v>
      </c>
      <c r="K121">
        <v>0.12183260051809872</v>
      </c>
      <c r="L121" t="s">
        <v>22</v>
      </c>
    </row>
    <row r="122" spans="1:12" x14ac:dyDescent="0.25">
      <c r="A122" t="s">
        <v>20</v>
      </c>
      <c r="B122" t="s">
        <v>155</v>
      </c>
      <c r="C122">
        <v>374331</v>
      </c>
      <c r="D122">
        <v>155853</v>
      </c>
      <c r="E122">
        <v>123846</v>
      </c>
      <c r="F122">
        <v>10659</v>
      </c>
      <c r="G122">
        <v>1054</v>
      </c>
      <c r="H122">
        <v>986</v>
      </c>
      <c r="I122">
        <v>948</v>
      </c>
      <c r="J122">
        <v>2655</v>
      </c>
      <c r="K122">
        <v>0.11019330458795601</v>
      </c>
      <c r="L122" t="s">
        <v>29</v>
      </c>
    </row>
    <row r="123" spans="1:12" x14ac:dyDescent="0.25">
      <c r="A123" t="s">
        <v>20</v>
      </c>
      <c r="B123" t="s">
        <v>73</v>
      </c>
      <c r="C123">
        <v>847436</v>
      </c>
      <c r="D123">
        <v>293851</v>
      </c>
      <c r="E123">
        <v>224461</v>
      </c>
      <c r="F123">
        <v>21129</v>
      </c>
      <c r="G123">
        <v>928</v>
      </c>
      <c r="H123">
        <v>1120</v>
      </c>
      <c r="I123">
        <v>4477</v>
      </c>
      <c r="J123">
        <v>5778</v>
      </c>
      <c r="K123">
        <v>0.12320180343133105</v>
      </c>
      <c r="L123" t="s">
        <v>29</v>
      </c>
    </row>
    <row r="124" spans="1:12" x14ac:dyDescent="0.25">
      <c r="A124" t="s">
        <v>20</v>
      </c>
      <c r="B124" t="s">
        <v>28</v>
      </c>
      <c r="C124">
        <v>7477</v>
      </c>
      <c r="D124">
        <v>3073</v>
      </c>
      <c r="E124">
        <v>2397</v>
      </c>
      <c r="F124">
        <v>135</v>
      </c>
      <c r="G124">
        <v>6</v>
      </c>
      <c r="H124">
        <v>13</v>
      </c>
      <c r="I124">
        <v>25</v>
      </c>
      <c r="J124">
        <v>59</v>
      </c>
      <c r="K124">
        <v>7.4676679182311217E-2</v>
      </c>
      <c r="L124" t="s">
        <v>22</v>
      </c>
    </row>
    <row r="125" spans="1:12" x14ac:dyDescent="0.25">
      <c r="A125" t="s">
        <v>20</v>
      </c>
      <c r="B125" t="s">
        <v>155</v>
      </c>
      <c r="C125">
        <v>415385</v>
      </c>
      <c r="D125">
        <v>46975</v>
      </c>
      <c r="E125">
        <v>41679</v>
      </c>
      <c r="F125">
        <v>3180</v>
      </c>
      <c r="G125">
        <v>221</v>
      </c>
      <c r="H125">
        <v>124</v>
      </c>
      <c r="I125">
        <v>514</v>
      </c>
      <c r="J125">
        <v>1000</v>
      </c>
      <c r="K125">
        <v>9.6907315434631353E-2</v>
      </c>
      <c r="L125" t="s">
        <v>22</v>
      </c>
    </row>
    <row r="126" spans="1:12" x14ac:dyDescent="0.25">
      <c r="A126" t="s">
        <v>20</v>
      </c>
      <c r="B126" t="s">
        <v>128</v>
      </c>
      <c r="C126">
        <v>542875</v>
      </c>
      <c r="D126">
        <v>49728</v>
      </c>
      <c r="E126">
        <v>43057</v>
      </c>
      <c r="F126">
        <v>1807</v>
      </c>
      <c r="G126">
        <v>236</v>
      </c>
      <c r="H126">
        <v>236</v>
      </c>
      <c r="I126">
        <v>42</v>
      </c>
      <c r="J126">
        <v>406</v>
      </c>
      <c r="K126">
        <v>5.3905288338713796E-2</v>
      </c>
      <c r="L126" t="s">
        <v>22</v>
      </c>
    </row>
    <row r="127" spans="1:12" x14ac:dyDescent="0.25">
      <c r="A127" t="s">
        <v>20</v>
      </c>
      <c r="B127" t="s">
        <v>21</v>
      </c>
      <c r="C127">
        <v>695842</v>
      </c>
      <c r="D127">
        <v>448517</v>
      </c>
      <c r="E127">
        <v>405741</v>
      </c>
      <c r="F127">
        <v>9789</v>
      </c>
      <c r="G127">
        <v>918</v>
      </c>
      <c r="H127">
        <v>761</v>
      </c>
      <c r="I127">
        <v>983</v>
      </c>
      <c r="J127">
        <v>6815</v>
      </c>
      <c r="K127">
        <v>3.06870639151577E-2</v>
      </c>
      <c r="L127" t="s">
        <v>66</v>
      </c>
    </row>
    <row r="128" spans="1:12" x14ac:dyDescent="0.25">
      <c r="A128" t="s">
        <v>20</v>
      </c>
      <c r="B128" t="s">
        <v>146</v>
      </c>
      <c r="C128">
        <v>814293</v>
      </c>
      <c r="D128">
        <v>155671</v>
      </c>
      <c r="E128">
        <v>134399</v>
      </c>
      <c r="F128">
        <v>11025</v>
      </c>
      <c r="G128">
        <v>353</v>
      </c>
      <c r="H128">
        <v>329</v>
      </c>
      <c r="I128">
        <v>700</v>
      </c>
      <c r="J128">
        <v>5098</v>
      </c>
      <c r="K128">
        <v>9.2314674960379164E-2</v>
      </c>
      <c r="L128" t="s">
        <v>29</v>
      </c>
    </row>
    <row r="129" spans="1:12" x14ac:dyDescent="0.25">
      <c r="A129" t="s">
        <v>20</v>
      </c>
      <c r="B129" t="s">
        <v>70</v>
      </c>
      <c r="C129">
        <v>485500</v>
      </c>
      <c r="D129">
        <v>115121</v>
      </c>
      <c r="E129">
        <v>99971</v>
      </c>
      <c r="F129">
        <v>2524</v>
      </c>
      <c r="G129">
        <v>325</v>
      </c>
      <c r="H129">
        <v>252</v>
      </c>
      <c r="I129">
        <v>1</v>
      </c>
      <c r="J129">
        <v>1406</v>
      </c>
      <c r="K129">
        <v>3.1028998409538766E-2</v>
      </c>
      <c r="L129" t="s">
        <v>22</v>
      </c>
    </row>
    <row r="130" spans="1:12" x14ac:dyDescent="0.25">
      <c r="A130" t="s">
        <v>20</v>
      </c>
      <c r="B130" t="s">
        <v>54</v>
      </c>
      <c r="C130">
        <v>66529</v>
      </c>
      <c r="D130">
        <v>31475</v>
      </c>
      <c r="E130">
        <v>24885</v>
      </c>
      <c r="F130">
        <v>2081</v>
      </c>
      <c r="G130">
        <v>197</v>
      </c>
      <c r="H130">
        <v>308</v>
      </c>
      <c r="I130">
        <v>508</v>
      </c>
      <c r="J130">
        <v>652</v>
      </c>
      <c r="K130">
        <v>0.12433192686357243</v>
      </c>
      <c r="L130" t="s">
        <v>22</v>
      </c>
    </row>
    <row r="131" spans="1:12" x14ac:dyDescent="0.25">
      <c r="A131" t="s">
        <v>20</v>
      </c>
      <c r="B131" t="s">
        <v>146</v>
      </c>
      <c r="C131">
        <v>436149</v>
      </c>
      <c r="D131">
        <v>50046</v>
      </c>
      <c r="E131">
        <v>44717</v>
      </c>
      <c r="F131">
        <v>3738</v>
      </c>
      <c r="G131">
        <v>463</v>
      </c>
      <c r="H131">
        <v>282</v>
      </c>
      <c r="I131">
        <v>557</v>
      </c>
      <c r="J131">
        <v>1710</v>
      </c>
      <c r="K131">
        <v>0.1127088132030324</v>
      </c>
      <c r="L131" t="s">
        <v>66</v>
      </c>
    </row>
    <row r="132" spans="1:12" x14ac:dyDescent="0.25">
      <c r="A132" t="s">
        <v>20</v>
      </c>
      <c r="B132" t="s">
        <v>70</v>
      </c>
      <c r="C132">
        <v>317757</v>
      </c>
      <c r="D132">
        <v>185846</v>
      </c>
      <c r="E132">
        <v>141495</v>
      </c>
      <c r="F132">
        <v>7296</v>
      </c>
      <c r="G132">
        <v>277</v>
      </c>
      <c r="H132">
        <v>219</v>
      </c>
      <c r="I132">
        <v>21</v>
      </c>
      <c r="J132">
        <v>4957</v>
      </c>
      <c r="K132">
        <v>5.5217498851549522E-2</v>
      </c>
      <c r="L132" t="s">
        <v>29</v>
      </c>
    </row>
    <row r="133" spans="1:12" x14ac:dyDescent="0.25">
      <c r="A133" t="s">
        <v>20</v>
      </c>
      <c r="B133" t="s">
        <v>58</v>
      </c>
      <c r="C133">
        <v>376211</v>
      </c>
      <c r="D133">
        <v>106318</v>
      </c>
      <c r="E133">
        <v>81450</v>
      </c>
      <c r="F133">
        <v>7272</v>
      </c>
      <c r="G133">
        <v>957</v>
      </c>
      <c r="H133">
        <v>1042</v>
      </c>
      <c r="I133">
        <v>1117</v>
      </c>
      <c r="J133">
        <v>997</v>
      </c>
      <c r="K133">
        <v>0.12753836709637814</v>
      </c>
      <c r="L133" t="s">
        <v>29</v>
      </c>
    </row>
    <row r="134" spans="1:12" x14ac:dyDescent="0.25">
      <c r="A134" t="s">
        <v>20</v>
      </c>
      <c r="B134" t="s">
        <v>46</v>
      </c>
      <c r="C134">
        <v>221536</v>
      </c>
      <c r="D134">
        <v>59768</v>
      </c>
      <c r="E134">
        <v>44622</v>
      </c>
      <c r="F134">
        <v>1876</v>
      </c>
      <c r="G134">
        <v>264</v>
      </c>
      <c r="H134">
        <v>219</v>
      </c>
      <c r="I134">
        <v>48</v>
      </c>
      <c r="J134">
        <v>1157</v>
      </c>
      <c r="K134">
        <v>5.3942001703195734E-2</v>
      </c>
      <c r="L134" t="s">
        <v>22</v>
      </c>
    </row>
    <row r="135" spans="1:12" x14ac:dyDescent="0.25">
      <c r="A135" t="s">
        <v>20</v>
      </c>
      <c r="B135" t="s">
        <v>65</v>
      </c>
      <c r="C135">
        <v>337614</v>
      </c>
      <c r="D135">
        <v>78932</v>
      </c>
      <c r="E135">
        <v>63995</v>
      </c>
      <c r="F135">
        <v>5141</v>
      </c>
      <c r="G135">
        <v>297</v>
      </c>
      <c r="H135">
        <v>557</v>
      </c>
      <c r="I135">
        <v>270</v>
      </c>
      <c r="J135">
        <v>1383</v>
      </c>
      <c r="K135">
        <v>9.7898273302601771E-2</v>
      </c>
      <c r="L135" t="s">
        <v>22</v>
      </c>
    </row>
    <row r="136" spans="1:12" x14ac:dyDescent="0.25">
      <c r="A136" t="s">
        <v>20</v>
      </c>
      <c r="B136" t="s">
        <v>155</v>
      </c>
      <c r="C136">
        <v>19507</v>
      </c>
      <c r="D136">
        <v>11954</v>
      </c>
      <c r="E136">
        <v>10261</v>
      </c>
      <c r="F136">
        <v>450</v>
      </c>
      <c r="G136">
        <v>26</v>
      </c>
      <c r="H136">
        <v>22</v>
      </c>
      <c r="I136">
        <v>73</v>
      </c>
      <c r="J136">
        <v>147</v>
      </c>
      <c r="K136">
        <v>5.5647597700029236E-2</v>
      </c>
      <c r="L136" t="s">
        <v>22</v>
      </c>
    </row>
    <row r="137" spans="1:12" x14ac:dyDescent="0.25">
      <c r="A137" t="s">
        <v>20</v>
      </c>
      <c r="B137" t="s">
        <v>40</v>
      </c>
      <c r="C137">
        <v>287840</v>
      </c>
      <c r="D137">
        <v>150566</v>
      </c>
      <c r="E137">
        <v>128133</v>
      </c>
      <c r="F137">
        <v>8102</v>
      </c>
      <c r="G137">
        <v>869</v>
      </c>
      <c r="H137">
        <v>484</v>
      </c>
      <c r="I137">
        <v>5</v>
      </c>
      <c r="J137">
        <v>4274</v>
      </c>
      <c r="K137">
        <v>7.3829536497233339E-2</v>
      </c>
      <c r="L137" t="s">
        <v>22</v>
      </c>
    </row>
    <row r="138" spans="1:12" x14ac:dyDescent="0.25">
      <c r="A138" t="s">
        <v>20</v>
      </c>
      <c r="B138" t="s">
        <v>155</v>
      </c>
      <c r="C138">
        <v>73769</v>
      </c>
      <c r="D138">
        <v>6285</v>
      </c>
      <c r="E138">
        <v>5030</v>
      </c>
      <c r="F138">
        <v>148</v>
      </c>
      <c r="G138">
        <v>18</v>
      </c>
      <c r="H138">
        <v>20</v>
      </c>
      <c r="I138">
        <v>34</v>
      </c>
      <c r="J138">
        <v>155</v>
      </c>
      <c r="K138">
        <v>4.37375745526839E-2</v>
      </c>
      <c r="L138" t="s">
        <v>22</v>
      </c>
    </row>
    <row r="139" spans="1:12" x14ac:dyDescent="0.25">
      <c r="A139" t="s">
        <v>20</v>
      </c>
      <c r="B139" t="s">
        <v>146</v>
      </c>
      <c r="C139">
        <v>579825</v>
      </c>
      <c r="D139">
        <v>79501</v>
      </c>
      <c r="E139">
        <v>58413</v>
      </c>
      <c r="F139">
        <v>5207</v>
      </c>
      <c r="G139">
        <v>607</v>
      </c>
      <c r="H139">
        <v>393</v>
      </c>
      <c r="I139">
        <v>1148</v>
      </c>
      <c r="J139">
        <v>1419</v>
      </c>
      <c r="K139">
        <v>0.12591375207573657</v>
      </c>
      <c r="L139" t="s">
        <v>22</v>
      </c>
    </row>
    <row r="140" spans="1:12" x14ac:dyDescent="0.25">
      <c r="A140" t="s">
        <v>20</v>
      </c>
      <c r="B140" t="s">
        <v>35</v>
      </c>
      <c r="C140">
        <v>685051</v>
      </c>
      <c r="D140">
        <v>295603</v>
      </c>
      <c r="E140">
        <v>218314</v>
      </c>
      <c r="F140">
        <v>7218</v>
      </c>
      <c r="G140">
        <v>483</v>
      </c>
      <c r="H140">
        <v>532</v>
      </c>
      <c r="I140">
        <v>20</v>
      </c>
      <c r="J140">
        <v>6634</v>
      </c>
      <c r="K140">
        <v>3.7803347471989886E-2</v>
      </c>
      <c r="L140" t="s">
        <v>22</v>
      </c>
    </row>
    <row r="141" spans="1:12" x14ac:dyDescent="0.25">
      <c r="A141" t="s">
        <v>20</v>
      </c>
      <c r="B141" t="s">
        <v>107</v>
      </c>
      <c r="C141">
        <v>699410</v>
      </c>
      <c r="D141">
        <v>339072</v>
      </c>
      <c r="E141">
        <v>286274</v>
      </c>
      <c r="F141">
        <v>10109</v>
      </c>
      <c r="G141">
        <v>1458</v>
      </c>
      <c r="H141">
        <v>815</v>
      </c>
      <c r="I141">
        <v>50</v>
      </c>
      <c r="J141">
        <v>7828</v>
      </c>
      <c r="K141">
        <v>4.3426926650691297E-2</v>
      </c>
      <c r="L141" t="s">
        <v>29</v>
      </c>
    </row>
    <row r="142" spans="1:12" x14ac:dyDescent="0.25">
      <c r="A142" t="s">
        <v>20</v>
      </c>
      <c r="B142" t="s">
        <v>54</v>
      </c>
      <c r="C142">
        <v>231091</v>
      </c>
      <c r="D142">
        <v>59128</v>
      </c>
      <c r="E142">
        <v>43654</v>
      </c>
      <c r="F142">
        <v>2759</v>
      </c>
      <c r="G142">
        <v>440</v>
      </c>
      <c r="H142">
        <v>409</v>
      </c>
      <c r="I142">
        <v>252</v>
      </c>
      <c r="J142">
        <v>1703</v>
      </c>
      <c r="K142">
        <v>8.8422595867503548E-2</v>
      </c>
      <c r="L142" t="s">
        <v>22</v>
      </c>
    </row>
    <row r="143" spans="1:12" x14ac:dyDescent="0.25">
      <c r="A143" t="s">
        <v>20</v>
      </c>
      <c r="B143" t="s">
        <v>46</v>
      </c>
      <c r="C143">
        <v>717811</v>
      </c>
      <c r="D143">
        <v>399825</v>
      </c>
      <c r="E143">
        <v>338579</v>
      </c>
      <c r="F143">
        <v>13423</v>
      </c>
      <c r="G143">
        <v>1184</v>
      </c>
      <c r="H143">
        <v>1001</v>
      </c>
      <c r="I143">
        <v>9</v>
      </c>
      <c r="J143">
        <v>4083</v>
      </c>
      <c r="K143">
        <v>4.6125128847329576E-2</v>
      </c>
      <c r="L143" t="s">
        <v>22</v>
      </c>
    </row>
    <row r="144" spans="1:12" x14ac:dyDescent="0.25">
      <c r="A144" t="s">
        <v>20</v>
      </c>
      <c r="B144" t="s">
        <v>104</v>
      </c>
      <c r="C144">
        <v>511607</v>
      </c>
      <c r="D144">
        <v>251825</v>
      </c>
      <c r="E144">
        <v>203904</v>
      </c>
      <c r="F144">
        <v>11951</v>
      </c>
      <c r="G144">
        <v>1189</v>
      </c>
      <c r="H144">
        <v>612</v>
      </c>
      <c r="I144">
        <v>1591</v>
      </c>
      <c r="J144">
        <v>7040</v>
      </c>
      <c r="K144">
        <v>7.5246194287507853E-2</v>
      </c>
      <c r="L144" t="s">
        <v>22</v>
      </c>
    </row>
    <row r="145" spans="1:12" x14ac:dyDescent="0.25">
      <c r="A145" t="s">
        <v>20</v>
      </c>
      <c r="B145" t="s">
        <v>51</v>
      </c>
      <c r="C145">
        <v>827245</v>
      </c>
      <c r="D145">
        <v>300223</v>
      </c>
      <c r="E145">
        <v>267844</v>
      </c>
      <c r="F145">
        <v>23120</v>
      </c>
      <c r="G145">
        <v>2648</v>
      </c>
      <c r="H145">
        <v>620</v>
      </c>
      <c r="I145">
        <v>3</v>
      </c>
      <c r="J145">
        <v>8885</v>
      </c>
      <c r="K145">
        <v>9.853123459924433E-2</v>
      </c>
      <c r="L145" t="s">
        <v>29</v>
      </c>
    </row>
    <row r="146" spans="1:12" x14ac:dyDescent="0.25">
      <c r="A146" t="s">
        <v>20</v>
      </c>
      <c r="B146" t="s">
        <v>70</v>
      </c>
      <c r="C146">
        <v>546577</v>
      </c>
      <c r="D146">
        <v>229945</v>
      </c>
      <c r="E146">
        <v>192772</v>
      </c>
      <c r="F146">
        <v>9921</v>
      </c>
      <c r="G146">
        <v>310</v>
      </c>
      <c r="H146">
        <v>298</v>
      </c>
      <c r="I146">
        <v>49</v>
      </c>
      <c r="J146">
        <v>2986</v>
      </c>
      <c r="K146">
        <v>5.4873114352706823E-2</v>
      </c>
      <c r="L146" t="s">
        <v>22</v>
      </c>
    </row>
    <row r="147" spans="1:12" x14ac:dyDescent="0.25">
      <c r="A147" t="s">
        <v>20</v>
      </c>
      <c r="B147" t="s">
        <v>107</v>
      </c>
      <c r="C147">
        <v>401726</v>
      </c>
      <c r="D147">
        <v>93716</v>
      </c>
      <c r="E147">
        <v>75768</v>
      </c>
      <c r="F147">
        <v>2230</v>
      </c>
      <c r="G147">
        <v>212</v>
      </c>
      <c r="H147">
        <v>166</v>
      </c>
      <c r="I147">
        <v>30</v>
      </c>
      <c r="J147">
        <v>2669</v>
      </c>
      <c r="K147">
        <v>3.4816809207053108E-2</v>
      </c>
      <c r="L147" t="s">
        <v>22</v>
      </c>
    </row>
    <row r="148" spans="1:12" x14ac:dyDescent="0.25">
      <c r="A148" t="s">
        <v>20</v>
      </c>
      <c r="B148" t="s">
        <v>46</v>
      </c>
      <c r="C148">
        <v>114668</v>
      </c>
      <c r="D148">
        <v>9615</v>
      </c>
      <c r="E148">
        <v>7433</v>
      </c>
      <c r="F148">
        <v>550</v>
      </c>
      <c r="G148">
        <v>82</v>
      </c>
      <c r="H148">
        <v>34</v>
      </c>
      <c r="I148">
        <v>21</v>
      </c>
      <c r="J148">
        <v>172</v>
      </c>
      <c r="K148">
        <v>9.242566931252523E-2</v>
      </c>
      <c r="L148" t="s">
        <v>29</v>
      </c>
    </row>
    <row r="149" spans="1:12" x14ac:dyDescent="0.25">
      <c r="A149" t="s">
        <v>20</v>
      </c>
      <c r="B149" t="s">
        <v>73</v>
      </c>
      <c r="C149">
        <v>117487</v>
      </c>
      <c r="D149">
        <v>14394</v>
      </c>
      <c r="E149">
        <v>10428</v>
      </c>
      <c r="F149">
        <v>1133</v>
      </c>
      <c r="G149">
        <v>103</v>
      </c>
      <c r="H149">
        <v>133</v>
      </c>
      <c r="I149">
        <v>202</v>
      </c>
      <c r="J149">
        <v>146</v>
      </c>
      <c r="K149">
        <v>0.15065209052550824</v>
      </c>
      <c r="L149" t="s">
        <v>22</v>
      </c>
    </row>
    <row r="150" spans="1:12" x14ac:dyDescent="0.25">
      <c r="A150" t="s">
        <v>20</v>
      </c>
      <c r="B150" t="s">
        <v>54</v>
      </c>
      <c r="C150">
        <v>126027</v>
      </c>
      <c r="D150">
        <v>49386</v>
      </c>
      <c r="E150">
        <v>35987</v>
      </c>
      <c r="F150">
        <v>2057</v>
      </c>
      <c r="G150">
        <v>89</v>
      </c>
      <c r="H150">
        <v>83</v>
      </c>
      <c r="I150">
        <v>442</v>
      </c>
      <c r="J150">
        <v>625</v>
      </c>
      <c r="K150">
        <v>7.4221246561258239E-2</v>
      </c>
      <c r="L150" t="s">
        <v>22</v>
      </c>
    </row>
    <row r="151" spans="1:12" x14ac:dyDescent="0.25">
      <c r="A151" t="s">
        <v>20</v>
      </c>
      <c r="B151" t="s">
        <v>28</v>
      </c>
      <c r="C151">
        <v>693158</v>
      </c>
      <c r="D151">
        <v>222630</v>
      </c>
      <c r="E151">
        <v>159463</v>
      </c>
      <c r="F151">
        <v>17686</v>
      </c>
      <c r="G151">
        <v>1801</v>
      </c>
      <c r="H151">
        <v>1275</v>
      </c>
      <c r="I151">
        <v>2676</v>
      </c>
      <c r="J151">
        <v>7260</v>
      </c>
      <c r="K151">
        <v>0.14698080432451416</v>
      </c>
      <c r="L151" t="s">
        <v>29</v>
      </c>
    </row>
    <row r="152" spans="1:12" x14ac:dyDescent="0.25">
      <c r="A152" t="s">
        <v>20</v>
      </c>
      <c r="B152" t="s">
        <v>107</v>
      </c>
      <c r="C152">
        <v>307859</v>
      </c>
      <c r="D152">
        <v>110506</v>
      </c>
      <c r="E152">
        <v>83011</v>
      </c>
      <c r="F152">
        <v>5502</v>
      </c>
      <c r="G152">
        <v>371</v>
      </c>
      <c r="H152">
        <v>433</v>
      </c>
      <c r="I152">
        <v>31</v>
      </c>
      <c r="J152">
        <v>716</v>
      </c>
      <c r="K152">
        <v>7.6339280336340964E-2</v>
      </c>
      <c r="L152" t="s">
        <v>22</v>
      </c>
    </row>
    <row r="153" spans="1:12" x14ac:dyDescent="0.25">
      <c r="A153" t="s">
        <v>20</v>
      </c>
      <c r="B153" t="s">
        <v>155</v>
      </c>
      <c r="C153">
        <v>469932</v>
      </c>
      <c r="D153">
        <v>161631</v>
      </c>
      <c r="E153">
        <v>134071</v>
      </c>
      <c r="F153">
        <v>8086</v>
      </c>
      <c r="G153">
        <v>660</v>
      </c>
      <c r="H153">
        <v>187</v>
      </c>
      <c r="I153">
        <v>573</v>
      </c>
      <c r="J153">
        <v>2825</v>
      </c>
      <c r="K153">
        <v>7.0902730642719153E-2</v>
      </c>
      <c r="L153" t="s">
        <v>66</v>
      </c>
    </row>
    <row r="154" spans="1:12" x14ac:dyDescent="0.25">
      <c r="A154" t="s">
        <v>20</v>
      </c>
      <c r="B154" t="s">
        <v>58</v>
      </c>
      <c r="C154">
        <v>326412</v>
      </c>
      <c r="D154">
        <v>73962</v>
      </c>
      <c r="E154">
        <v>64532</v>
      </c>
      <c r="F154">
        <v>3743</v>
      </c>
      <c r="G154">
        <v>549</v>
      </c>
      <c r="H154">
        <v>130</v>
      </c>
      <c r="I154">
        <v>870</v>
      </c>
      <c r="J154">
        <v>1063</v>
      </c>
      <c r="K154">
        <v>8.2005826566664594E-2</v>
      </c>
      <c r="L154" t="s">
        <v>29</v>
      </c>
    </row>
    <row r="155" spans="1:12" x14ac:dyDescent="0.25">
      <c r="A155" t="s">
        <v>20</v>
      </c>
      <c r="B155" t="s">
        <v>146</v>
      </c>
      <c r="C155">
        <v>349567</v>
      </c>
      <c r="D155">
        <v>218942</v>
      </c>
      <c r="E155">
        <v>191685</v>
      </c>
      <c r="F155">
        <v>12651</v>
      </c>
      <c r="G155">
        <v>733</v>
      </c>
      <c r="H155">
        <v>1334</v>
      </c>
      <c r="I155">
        <v>1633</v>
      </c>
      <c r="J155">
        <v>5938</v>
      </c>
      <c r="K155">
        <v>8.530140595247411E-2</v>
      </c>
      <c r="L155" t="s">
        <v>66</v>
      </c>
    </row>
    <row r="156" spans="1:12" x14ac:dyDescent="0.25">
      <c r="A156" t="s">
        <v>20</v>
      </c>
      <c r="B156" t="s">
        <v>78</v>
      </c>
      <c r="C156">
        <v>791370</v>
      </c>
      <c r="D156">
        <v>422373</v>
      </c>
      <c r="E156">
        <v>305116</v>
      </c>
      <c r="F156">
        <v>30545</v>
      </c>
      <c r="G156">
        <v>1772</v>
      </c>
      <c r="H156">
        <v>1905</v>
      </c>
      <c r="I156">
        <v>4322</v>
      </c>
      <c r="J156">
        <v>5436</v>
      </c>
      <c r="K156">
        <v>0.12632572529791947</v>
      </c>
      <c r="L156" t="s">
        <v>29</v>
      </c>
    </row>
    <row r="157" spans="1:12" x14ac:dyDescent="0.25">
      <c r="A157" t="s">
        <v>20</v>
      </c>
      <c r="B157" t="s">
        <v>28</v>
      </c>
      <c r="C157">
        <v>755209</v>
      </c>
      <c r="D157">
        <v>238144</v>
      </c>
      <c r="E157">
        <v>209663</v>
      </c>
      <c r="F157">
        <v>13418</v>
      </c>
      <c r="G157">
        <v>735</v>
      </c>
      <c r="H157">
        <v>1944</v>
      </c>
      <c r="I157">
        <v>2623</v>
      </c>
      <c r="J157">
        <v>3123</v>
      </c>
      <c r="K157">
        <v>8.9286140139175726E-2</v>
      </c>
      <c r="L157" t="s">
        <v>22</v>
      </c>
    </row>
    <row r="158" spans="1:12" x14ac:dyDescent="0.25">
      <c r="A158" t="s">
        <v>20</v>
      </c>
      <c r="B158" t="s">
        <v>58</v>
      </c>
      <c r="C158">
        <v>265887</v>
      </c>
      <c r="D158">
        <v>80725</v>
      </c>
      <c r="E158">
        <v>60964</v>
      </c>
      <c r="F158">
        <v>5604</v>
      </c>
      <c r="G158">
        <v>797</v>
      </c>
      <c r="H158">
        <v>522</v>
      </c>
      <c r="I158">
        <v>1170</v>
      </c>
      <c r="J158">
        <v>1828</v>
      </c>
      <c r="K158">
        <v>0.1327504756905715</v>
      </c>
      <c r="L158" t="s">
        <v>22</v>
      </c>
    </row>
    <row r="159" spans="1:12" x14ac:dyDescent="0.25">
      <c r="A159" t="s">
        <v>20</v>
      </c>
      <c r="B159" t="s">
        <v>87</v>
      </c>
      <c r="C159">
        <v>830634</v>
      </c>
      <c r="D159">
        <v>265977</v>
      </c>
      <c r="E159">
        <v>197124</v>
      </c>
      <c r="F159">
        <v>8148</v>
      </c>
      <c r="G159">
        <v>1262</v>
      </c>
      <c r="H159">
        <v>910</v>
      </c>
      <c r="I159">
        <v>1802</v>
      </c>
      <c r="J159">
        <v>7088</v>
      </c>
      <c r="K159">
        <v>6.1494287859418434E-2</v>
      </c>
      <c r="L159" t="s">
        <v>22</v>
      </c>
    </row>
    <row r="160" spans="1:12" x14ac:dyDescent="0.25">
      <c r="A160" t="s">
        <v>20</v>
      </c>
      <c r="B160" t="s">
        <v>78</v>
      </c>
      <c r="C160">
        <v>235895</v>
      </c>
      <c r="D160">
        <v>95432</v>
      </c>
      <c r="E160">
        <v>70111</v>
      </c>
      <c r="F160">
        <v>5451</v>
      </c>
      <c r="G160">
        <v>769</v>
      </c>
      <c r="H160">
        <v>798</v>
      </c>
      <c r="I160">
        <v>974</v>
      </c>
      <c r="J160">
        <v>1423</v>
      </c>
      <c r="K160">
        <v>0.11399067193450386</v>
      </c>
      <c r="L160" t="s">
        <v>22</v>
      </c>
    </row>
    <row r="161" spans="1:12" x14ac:dyDescent="0.25">
      <c r="A161" t="s">
        <v>20</v>
      </c>
      <c r="B161" t="s">
        <v>28</v>
      </c>
      <c r="C161">
        <v>557426</v>
      </c>
      <c r="D161">
        <v>283854</v>
      </c>
      <c r="E161">
        <v>201774</v>
      </c>
      <c r="F161">
        <v>10446</v>
      </c>
      <c r="G161">
        <v>336</v>
      </c>
      <c r="H161">
        <v>1505</v>
      </c>
      <c r="I161">
        <v>1776</v>
      </c>
      <c r="J161">
        <v>7699</v>
      </c>
      <c r="K161">
        <v>6.9696789477336027E-2</v>
      </c>
      <c r="L161" t="s">
        <v>22</v>
      </c>
    </row>
    <row r="162" spans="1:12" x14ac:dyDescent="0.25">
      <c r="A162" t="s">
        <v>20</v>
      </c>
      <c r="B162" t="s">
        <v>28</v>
      </c>
      <c r="C162">
        <v>254768</v>
      </c>
      <c r="D162">
        <v>33646</v>
      </c>
      <c r="E162">
        <v>23659</v>
      </c>
      <c r="F162">
        <v>781</v>
      </c>
      <c r="G162">
        <v>81</v>
      </c>
      <c r="H162">
        <v>47</v>
      </c>
      <c r="I162">
        <v>172</v>
      </c>
      <c r="J162">
        <v>932</v>
      </c>
      <c r="K162">
        <v>4.5690857601758318E-2</v>
      </c>
      <c r="L162" t="s">
        <v>29</v>
      </c>
    </row>
    <row r="163" spans="1:12" x14ac:dyDescent="0.25">
      <c r="A163" t="s">
        <v>20</v>
      </c>
      <c r="B163" t="s">
        <v>70</v>
      </c>
      <c r="C163">
        <v>85316</v>
      </c>
      <c r="D163">
        <v>12273</v>
      </c>
      <c r="E163">
        <v>9300</v>
      </c>
      <c r="F163">
        <v>261</v>
      </c>
      <c r="G163">
        <v>21</v>
      </c>
      <c r="H163">
        <v>22</v>
      </c>
      <c r="I163">
        <v>20</v>
      </c>
      <c r="J163">
        <v>187</v>
      </c>
      <c r="K163">
        <v>3.4838709677419352E-2</v>
      </c>
      <c r="L163" t="s">
        <v>22</v>
      </c>
    </row>
    <row r="164" spans="1:12" x14ac:dyDescent="0.25">
      <c r="A164" t="s">
        <v>20</v>
      </c>
      <c r="B164" t="s">
        <v>46</v>
      </c>
      <c r="C164">
        <v>219806</v>
      </c>
      <c r="D164">
        <v>103539</v>
      </c>
      <c r="E164">
        <v>74348</v>
      </c>
      <c r="F164">
        <v>3071</v>
      </c>
      <c r="G164">
        <v>186</v>
      </c>
      <c r="H164">
        <v>148</v>
      </c>
      <c r="I164">
        <v>37</v>
      </c>
      <c r="J164">
        <v>3109</v>
      </c>
      <c r="K164">
        <v>4.6295798138483883E-2</v>
      </c>
      <c r="L164" t="s">
        <v>22</v>
      </c>
    </row>
    <row r="165" spans="1:12" x14ac:dyDescent="0.25">
      <c r="A165" t="s">
        <v>20</v>
      </c>
      <c r="B165" t="s">
        <v>35</v>
      </c>
      <c r="C165">
        <v>434829</v>
      </c>
      <c r="D165">
        <v>202620</v>
      </c>
      <c r="E165">
        <v>161684</v>
      </c>
      <c r="F165">
        <v>10151</v>
      </c>
      <c r="G165">
        <v>1759</v>
      </c>
      <c r="H165">
        <v>340</v>
      </c>
      <c r="I165">
        <v>7</v>
      </c>
      <c r="J165">
        <v>2763</v>
      </c>
      <c r="K165">
        <v>7.5808366937977781E-2</v>
      </c>
      <c r="L165" t="s">
        <v>29</v>
      </c>
    </row>
    <row r="166" spans="1:12" x14ac:dyDescent="0.25">
      <c r="A166" t="s">
        <v>20</v>
      </c>
      <c r="B166" t="s">
        <v>107</v>
      </c>
      <c r="C166">
        <v>667948</v>
      </c>
      <c r="D166">
        <v>409198</v>
      </c>
      <c r="E166">
        <v>371757</v>
      </c>
      <c r="F166">
        <v>31209</v>
      </c>
      <c r="G166">
        <v>3089</v>
      </c>
      <c r="H166">
        <v>2949</v>
      </c>
      <c r="I166">
        <v>9</v>
      </c>
      <c r="J166">
        <v>10463</v>
      </c>
      <c r="K166">
        <v>0.10021600131268543</v>
      </c>
      <c r="L166" t="s">
        <v>22</v>
      </c>
    </row>
    <row r="167" spans="1:12" x14ac:dyDescent="0.25">
      <c r="A167" t="s">
        <v>20</v>
      </c>
      <c r="B167" t="s">
        <v>35</v>
      </c>
      <c r="C167">
        <v>145185</v>
      </c>
      <c r="D167">
        <v>89245</v>
      </c>
      <c r="E167">
        <v>64516</v>
      </c>
      <c r="F167">
        <v>4338</v>
      </c>
      <c r="G167">
        <v>261</v>
      </c>
      <c r="H167">
        <v>473</v>
      </c>
      <c r="I167">
        <v>49</v>
      </c>
      <c r="J167">
        <v>598</v>
      </c>
      <c r="K167">
        <v>7.9375658751317496E-2</v>
      </c>
      <c r="L167" t="s">
        <v>22</v>
      </c>
    </row>
    <row r="168" spans="1:12" x14ac:dyDescent="0.25">
      <c r="A168" t="s">
        <v>20</v>
      </c>
      <c r="B168" t="s">
        <v>46</v>
      </c>
      <c r="C168">
        <v>274340</v>
      </c>
      <c r="D168">
        <v>150555</v>
      </c>
      <c r="E168">
        <v>117250</v>
      </c>
      <c r="F168">
        <v>5544</v>
      </c>
      <c r="G168">
        <v>749</v>
      </c>
      <c r="H168">
        <v>465</v>
      </c>
      <c r="I168">
        <v>30</v>
      </c>
      <c r="J168">
        <v>1895</v>
      </c>
      <c r="K168">
        <v>5.7893390191897653E-2</v>
      </c>
      <c r="L168" t="s">
        <v>29</v>
      </c>
    </row>
    <row r="169" spans="1:12" x14ac:dyDescent="0.25">
      <c r="A169" t="s">
        <v>20</v>
      </c>
      <c r="B169" t="s">
        <v>70</v>
      </c>
      <c r="C169">
        <v>290764</v>
      </c>
      <c r="D169">
        <v>120536</v>
      </c>
      <c r="E169">
        <v>93433</v>
      </c>
      <c r="F169">
        <v>6036</v>
      </c>
      <c r="G169">
        <v>1022</v>
      </c>
      <c r="H169">
        <v>755</v>
      </c>
      <c r="I169">
        <v>5</v>
      </c>
      <c r="J169">
        <v>2935</v>
      </c>
      <c r="K169">
        <v>8.3674932839574889E-2</v>
      </c>
      <c r="L169" t="s">
        <v>29</v>
      </c>
    </row>
    <row r="170" spans="1:12" x14ac:dyDescent="0.25">
      <c r="A170" t="s">
        <v>20</v>
      </c>
      <c r="B170" t="s">
        <v>128</v>
      </c>
      <c r="C170">
        <v>515380</v>
      </c>
      <c r="D170">
        <v>270692</v>
      </c>
      <c r="E170">
        <v>220614</v>
      </c>
      <c r="F170">
        <v>17826</v>
      </c>
      <c r="G170">
        <v>2917</v>
      </c>
      <c r="H170">
        <v>1652</v>
      </c>
      <c r="I170">
        <v>37</v>
      </c>
      <c r="J170">
        <v>5854</v>
      </c>
      <c r="K170">
        <v>0.10167985712602101</v>
      </c>
      <c r="L170" t="s">
        <v>29</v>
      </c>
    </row>
    <row r="171" spans="1:12" x14ac:dyDescent="0.25">
      <c r="A171" t="s">
        <v>20</v>
      </c>
      <c r="B171" t="s">
        <v>107</v>
      </c>
      <c r="C171">
        <v>413280</v>
      </c>
      <c r="D171">
        <v>45917</v>
      </c>
      <c r="E171">
        <v>41785</v>
      </c>
      <c r="F171">
        <v>2281</v>
      </c>
      <c r="G171">
        <v>107</v>
      </c>
      <c r="H171">
        <v>193</v>
      </c>
      <c r="I171">
        <v>38</v>
      </c>
      <c r="J171">
        <v>327</v>
      </c>
      <c r="K171">
        <v>6.2677994495632411E-2</v>
      </c>
      <c r="L171" t="s">
        <v>66</v>
      </c>
    </row>
    <row r="172" spans="1:12" x14ac:dyDescent="0.25">
      <c r="A172" t="s">
        <v>20</v>
      </c>
      <c r="B172" t="s">
        <v>107</v>
      </c>
      <c r="C172">
        <v>86573</v>
      </c>
      <c r="D172">
        <v>50688</v>
      </c>
      <c r="E172">
        <v>44581</v>
      </c>
      <c r="F172">
        <v>3002</v>
      </c>
      <c r="G172">
        <v>346</v>
      </c>
      <c r="H172">
        <v>149</v>
      </c>
      <c r="I172">
        <v>19</v>
      </c>
      <c r="J172">
        <v>1279</v>
      </c>
      <c r="K172">
        <v>7.8867679056100135E-2</v>
      </c>
      <c r="L172" t="s">
        <v>29</v>
      </c>
    </row>
    <row r="173" spans="1:12" x14ac:dyDescent="0.25">
      <c r="A173" t="s">
        <v>20</v>
      </c>
      <c r="B173" t="s">
        <v>28</v>
      </c>
      <c r="C173">
        <v>143332</v>
      </c>
      <c r="D173">
        <v>68824</v>
      </c>
      <c r="E173">
        <v>60090</v>
      </c>
      <c r="F173">
        <v>3301</v>
      </c>
      <c r="G173">
        <v>574</v>
      </c>
      <c r="H173">
        <v>82</v>
      </c>
      <c r="I173">
        <v>633</v>
      </c>
      <c r="J173">
        <v>2168</v>
      </c>
      <c r="K173">
        <v>7.6385421867199196E-2</v>
      </c>
      <c r="L173" t="s">
        <v>29</v>
      </c>
    </row>
    <row r="174" spans="1:12" x14ac:dyDescent="0.25">
      <c r="A174" t="s">
        <v>20</v>
      </c>
      <c r="B174" t="s">
        <v>21</v>
      </c>
      <c r="C174">
        <v>744872</v>
      </c>
      <c r="D174">
        <v>2214748</v>
      </c>
      <c r="E174">
        <v>1721355</v>
      </c>
      <c r="F174">
        <v>57087</v>
      </c>
      <c r="G174">
        <v>5253</v>
      </c>
      <c r="H174">
        <v>6035</v>
      </c>
      <c r="I174">
        <v>6900</v>
      </c>
      <c r="J174">
        <v>72248</v>
      </c>
      <c r="K174">
        <v>4.3730084729762309E-2</v>
      </c>
      <c r="L174" t="s">
        <v>29</v>
      </c>
    </row>
    <row r="175" spans="1:12" x14ac:dyDescent="0.25">
      <c r="A175" t="s">
        <v>20</v>
      </c>
      <c r="B175" t="s">
        <v>58</v>
      </c>
      <c r="C175">
        <v>292441</v>
      </c>
      <c r="D175">
        <v>81129</v>
      </c>
      <c r="E175">
        <v>64587</v>
      </c>
      <c r="F175">
        <v>5569</v>
      </c>
      <c r="G175">
        <v>993</v>
      </c>
      <c r="H175">
        <v>540</v>
      </c>
      <c r="I175">
        <v>509</v>
      </c>
      <c r="J175">
        <v>838</v>
      </c>
      <c r="K175">
        <v>0.11784105160481212</v>
      </c>
      <c r="L175" t="s">
        <v>66</v>
      </c>
    </row>
    <row r="176" spans="1:12" x14ac:dyDescent="0.25">
      <c r="A176" t="s">
        <v>20</v>
      </c>
      <c r="B176" t="s">
        <v>78</v>
      </c>
      <c r="C176">
        <v>530748</v>
      </c>
      <c r="D176">
        <v>75785</v>
      </c>
      <c r="E176">
        <v>65572</v>
      </c>
      <c r="F176">
        <v>2499</v>
      </c>
      <c r="G176">
        <v>267</v>
      </c>
      <c r="H176">
        <v>167</v>
      </c>
      <c r="I176">
        <v>476</v>
      </c>
      <c r="J176">
        <v>2428</v>
      </c>
      <c r="K176">
        <v>5.1988653693649731E-2</v>
      </c>
      <c r="L176" t="s">
        <v>22</v>
      </c>
    </row>
    <row r="177" spans="1:12" x14ac:dyDescent="0.25">
      <c r="A177" t="s">
        <v>20</v>
      </c>
      <c r="B177" t="s">
        <v>107</v>
      </c>
      <c r="C177">
        <v>264600</v>
      </c>
      <c r="D177">
        <v>21766</v>
      </c>
      <c r="E177">
        <v>18831</v>
      </c>
      <c r="F177">
        <v>756</v>
      </c>
      <c r="G177">
        <v>56</v>
      </c>
      <c r="H177">
        <v>42</v>
      </c>
      <c r="I177">
        <v>24</v>
      </c>
      <c r="J177">
        <v>705</v>
      </c>
      <c r="K177">
        <v>4.6625245605650255E-2</v>
      </c>
      <c r="L177" t="s">
        <v>66</v>
      </c>
    </row>
    <row r="178" spans="1:12" x14ac:dyDescent="0.25">
      <c r="A178" t="s">
        <v>20</v>
      </c>
      <c r="B178" t="s">
        <v>28</v>
      </c>
      <c r="C178">
        <v>472574</v>
      </c>
      <c r="D178">
        <v>124261</v>
      </c>
      <c r="E178">
        <v>95366</v>
      </c>
      <c r="F178">
        <v>6233</v>
      </c>
      <c r="G178">
        <v>779</v>
      </c>
      <c r="H178">
        <v>206</v>
      </c>
      <c r="I178">
        <v>716</v>
      </c>
      <c r="J178">
        <v>2483</v>
      </c>
      <c r="K178">
        <v>8.3195268754063287E-2</v>
      </c>
      <c r="L178" t="s">
        <v>29</v>
      </c>
    </row>
    <row r="179" spans="1:12" x14ac:dyDescent="0.25">
      <c r="A179" t="s">
        <v>20</v>
      </c>
      <c r="B179" t="s">
        <v>70</v>
      </c>
      <c r="C179">
        <v>609635</v>
      </c>
      <c r="D179">
        <v>201839</v>
      </c>
      <c r="E179">
        <v>163963</v>
      </c>
      <c r="F179">
        <v>8101</v>
      </c>
      <c r="G179">
        <v>1376</v>
      </c>
      <c r="H179">
        <v>997</v>
      </c>
      <c r="I179">
        <v>36</v>
      </c>
      <c r="J179">
        <v>4951</v>
      </c>
      <c r="K179">
        <v>6.4099827400084172E-2</v>
      </c>
      <c r="L179" t="s">
        <v>29</v>
      </c>
    </row>
    <row r="180" spans="1:12" x14ac:dyDescent="0.25">
      <c r="A180" t="s">
        <v>20</v>
      </c>
      <c r="B180" t="s">
        <v>58</v>
      </c>
      <c r="C180">
        <v>215447</v>
      </c>
      <c r="D180">
        <v>18035</v>
      </c>
      <c r="E180">
        <v>15436</v>
      </c>
      <c r="F180">
        <v>759</v>
      </c>
      <c r="G180">
        <v>57</v>
      </c>
      <c r="H180">
        <v>61</v>
      </c>
      <c r="I180">
        <v>170</v>
      </c>
      <c r="J180">
        <v>91</v>
      </c>
      <c r="K180">
        <v>6.7828452967089919E-2</v>
      </c>
      <c r="L180" t="s">
        <v>29</v>
      </c>
    </row>
    <row r="181" spans="1:12" x14ac:dyDescent="0.25">
      <c r="A181" t="s">
        <v>20</v>
      </c>
      <c r="B181" t="s">
        <v>107</v>
      </c>
      <c r="C181">
        <v>38698</v>
      </c>
      <c r="D181">
        <v>21981</v>
      </c>
      <c r="E181">
        <v>19767</v>
      </c>
      <c r="F181">
        <v>865</v>
      </c>
      <c r="G181">
        <v>65</v>
      </c>
      <c r="H181">
        <v>74</v>
      </c>
      <c r="I181">
        <v>49</v>
      </c>
      <c r="J181">
        <v>318</v>
      </c>
      <c r="K181">
        <v>5.3270602519350431E-2</v>
      </c>
      <c r="L181" t="s">
        <v>22</v>
      </c>
    </row>
    <row r="182" spans="1:12" x14ac:dyDescent="0.25">
      <c r="A182" t="s">
        <v>20</v>
      </c>
      <c r="B182" t="s">
        <v>78</v>
      </c>
      <c r="C182">
        <v>478227</v>
      </c>
      <c r="D182">
        <v>130494</v>
      </c>
      <c r="E182">
        <v>104462</v>
      </c>
      <c r="F182">
        <v>3696</v>
      </c>
      <c r="G182">
        <v>140</v>
      </c>
      <c r="H182">
        <v>190</v>
      </c>
      <c r="I182">
        <v>649</v>
      </c>
      <c r="J182">
        <v>2504</v>
      </c>
      <c r="K182">
        <v>4.4753115965614293E-2</v>
      </c>
      <c r="L182" t="s">
        <v>22</v>
      </c>
    </row>
    <row r="183" spans="1:12" x14ac:dyDescent="0.25">
      <c r="A183" t="s">
        <v>20</v>
      </c>
      <c r="B183" t="s">
        <v>87</v>
      </c>
      <c r="C183">
        <v>641700</v>
      </c>
      <c r="D183">
        <v>154484</v>
      </c>
      <c r="E183">
        <v>111095</v>
      </c>
      <c r="F183">
        <v>6924</v>
      </c>
      <c r="G183">
        <v>634</v>
      </c>
      <c r="H183">
        <v>496</v>
      </c>
      <c r="I183">
        <v>406</v>
      </c>
      <c r="J183">
        <v>1799</v>
      </c>
      <c r="K183">
        <v>7.6151041901075661E-2</v>
      </c>
      <c r="L183" t="s">
        <v>22</v>
      </c>
    </row>
    <row r="184" spans="1:12" x14ac:dyDescent="0.25">
      <c r="A184" t="s">
        <v>20</v>
      </c>
      <c r="B184" t="s">
        <v>21</v>
      </c>
      <c r="C184">
        <v>426535</v>
      </c>
      <c r="D184">
        <v>169289</v>
      </c>
      <c r="E184">
        <v>127807</v>
      </c>
      <c r="F184">
        <v>8078</v>
      </c>
      <c r="G184">
        <v>1216</v>
      </c>
      <c r="H184">
        <v>308</v>
      </c>
      <c r="I184">
        <v>423</v>
      </c>
      <c r="J184">
        <v>5063</v>
      </c>
      <c r="K184">
        <v>7.8438583176195356E-2</v>
      </c>
      <c r="L184" t="s">
        <v>66</v>
      </c>
    </row>
    <row r="185" spans="1:12" x14ac:dyDescent="0.25">
      <c r="A185" t="s">
        <v>20</v>
      </c>
      <c r="B185" t="s">
        <v>128</v>
      </c>
      <c r="C185">
        <v>589280</v>
      </c>
      <c r="D185">
        <v>118100</v>
      </c>
      <c r="E185">
        <v>90031</v>
      </c>
      <c r="F185">
        <v>9016</v>
      </c>
      <c r="G185">
        <v>973</v>
      </c>
      <c r="H185">
        <v>1062</v>
      </c>
      <c r="I185">
        <v>26</v>
      </c>
      <c r="J185">
        <v>3328</v>
      </c>
      <c r="K185">
        <v>0.12303539891815042</v>
      </c>
      <c r="L185" t="s">
        <v>22</v>
      </c>
    </row>
    <row r="186" spans="1:12" x14ac:dyDescent="0.25">
      <c r="A186" t="s">
        <v>20</v>
      </c>
      <c r="B186" t="s">
        <v>46</v>
      </c>
      <c r="C186">
        <v>385366</v>
      </c>
      <c r="D186">
        <v>181418</v>
      </c>
      <c r="E186">
        <v>148060</v>
      </c>
      <c r="F186">
        <v>9353</v>
      </c>
      <c r="G186">
        <v>1296</v>
      </c>
      <c r="H186">
        <v>596</v>
      </c>
      <c r="I186">
        <v>21</v>
      </c>
      <c r="J186">
        <v>4127</v>
      </c>
      <c r="K186">
        <v>7.6090774010536266E-2</v>
      </c>
      <c r="L186" t="s">
        <v>22</v>
      </c>
    </row>
    <row r="187" spans="1:12" x14ac:dyDescent="0.25">
      <c r="A187" t="s">
        <v>20</v>
      </c>
      <c r="B187" t="s">
        <v>73</v>
      </c>
      <c r="C187">
        <v>112577</v>
      </c>
      <c r="D187">
        <v>14437</v>
      </c>
      <c r="E187">
        <v>11649</v>
      </c>
      <c r="F187">
        <v>1033</v>
      </c>
      <c r="G187">
        <v>60</v>
      </c>
      <c r="H187">
        <v>89</v>
      </c>
      <c r="I187">
        <v>80</v>
      </c>
      <c r="J187">
        <v>475</v>
      </c>
      <c r="K187">
        <v>0.1083354794402953</v>
      </c>
      <c r="L187" t="s">
        <v>29</v>
      </c>
    </row>
    <row r="188" spans="1:12" x14ac:dyDescent="0.25">
      <c r="A188" t="s">
        <v>20</v>
      </c>
      <c r="B188" t="s">
        <v>21</v>
      </c>
      <c r="C188">
        <v>699070</v>
      </c>
      <c r="D188">
        <v>111723</v>
      </c>
      <c r="E188">
        <v>96838</v>
      </c>
      <c r="F188">
        <v>6879</v>
      </c>
      <c r="G188">
        <v>603</v>
      </c>
      <c r="H188">
        <v>600</v>
      </c>
      <c r="I188">
        <v>1455</v>
      </c>
      <c r="J188">
        <v>744</v>
      </c>
      <c r="K188">
        <v>9.8484066172370349E-2</v>
      </c>
      <c r="L188" t="s">
        <v>22</v>
      </c>
    </row>
    <row r="189" spans="1:12" x14ac:dyDescent="0.25">
      <c r="A189" t="s">
        <v>20</v>
      </c>
      <c r="B189" t="s">
        <v>146</v>
      </c>
      <c r="C189">
        <v>658506</v>
      </c>
      <c r="D189">
        <v>2843758</v>
      </c>
      <c r="E189">
        <v>2263224</v>
      </c>
      <c r="F189">
        <v>201009</v>
      </c>
      <c r="G189">
        <v>30900</v>
      </c>
      <c r="H189">
        <v>8057</v>
      </c>
      <c r="I189">
        <v>34947</v>
      </c>
      <c r="J189">
        <v>80868</v>
      </c>
      <c r="K189">
        <v>0.12146963800313182</v>
      </c>
      <c r="L189" t="s">
        <v>22</v>
      </c>
    </row>
    <row r="190" spans="1:12" x14ac:dyDescent="0.25">
      <c r="A190" t="s">
        <v>20</v>
      </c>
      <c r="B190" t="s">
        <v>128</v>
      </c>
      <c r="C190">
        <v>451314</v>
      </c>
      <c r="D190">
        <v>169683</v>
      </c>
      <c r="E190">
        <v>142078</v>
      </c>
      <c r="F190">
        <v>11829</v>
      </c>
      <c r="G190">
        <v>2037</v>
      </c>
      <c r="H190">
        <v>1764</v>
      </c>
      <c r="I190">
        <v>2</v>
      </c>
      <c r="J190">
        <v>3652</v>
      </c>
      <c r="K190">
        <v>0.11002407128478722</v>
      </c>
      <c r="L190" t="s">
        <v>29</v>
      </c>
    </row>
    <row r="191" spans="1:12" x14ac:dyDescent="0.25">
      <c r="A191" t="s">
        <v>20</v>
      </c>
      <c r="B191" t="s">
        <v>128</v>
      </c>
      <c r="C191">
        <v>136063</v>
      </c>
      <c r="D191">
        <v>46694</v>
      </c>
      <c r="E191">
        <v>38831</v>
      </c>
      <c r="F191">
        <v>2581</v>
      </c>
      <c r="G191">
        <v>451</v>
      </c>
      <c r="H191">
        <v>373</v>
      </c>
      <c r="I191">
        <v>6</v>
      </c>
      <c r="J191">
        <v>1213</v>
      </c>
      <c r="K191">
        <v>8.7842187942623162E-2</v>
      </c>
      <c r="L191" t="s">
        <v>66</v>
      </c>
    </row>
    <row r="192" spans="1:12" x14ac:dyDescent="0.25">
      <c r="A192" t="s">
        <v>20</v>
      </c>
      <c r="B192" t="s">
        <v>35</v>
      </c>
      <c r="C192">
        <v>32901</v>
      </c>
      <c r="D192">
        <v>18773</v>
      </c>
      <c r="E192">
        <v>14521</v>
      </c>
      <c r="F192">
        <v>1227</v>
      </c>
      <c r="G192">
        <v>47</v>
      </c>
      <c r="H192">
        <v>38</v>
      </c>
      <c r="I192">
        <v>44</v>
      </c>
      <c r="J192">
        <v>398</v>
      </c>
      <c r="K192">
        <v>9.3381998484952822E-2</v>
      </c>
      <c r="L192" t="s">
        <v>66</v>
      </c>
    </row>
    <row r="193" spans="1:12" x14ac:dyDescent="0.25">
      <c r="A193" t="s">
        <v>20</v>
      </c>
      <c r="B193" t="s">
        <v>58</v>
      </c>
      <c r="C193">
        <v>471409</v>
      </c>
      <c r="D193">
        <v>137456</v>
      </c>
      <c r="E193">
        <v>124841</v>
      </c>
      <c r="F193">
        <v>7104</v>
      </c>
      <c r="G193">
        <v>437</v>
      </c>
      <c r="H193">
        <v>457</v>
      </c>
      <c r="I193">
        <v>1699</v>
      </c>
      <c r="J193">
        <v>4445</v>
      </c>
      <c r="K193">
        <v>7.767480234858741E-2</v>
      </c>
      <c r="L193" t="s">
        <v>29</v>
      </c>
    </row>
    <row r="194" spans="1:12" x14ac:dyDescent="0.25">
      <c r="A194" t="s">
        <v>20</v>
      </c>
      <c r="B194" t="s">
        <v>65</v>
      </c>
      <c r="C194">
        <v>279802</v>
      </c>
      <c r="D194">
        <v>117220</v>
      </c>
      <c r="E194">
        <v>83438</v>
      </c>
      <c r="F194">
        <v>9060</v>
      </c>
      <c r="G194">
        <v>1053</v>
      </c>
      <c r="H194">
        <v>1144</v>
      </c>
      <c r="I194">
        <v>579</v>
      </c>
      <c r="J194">
        <v>3670</v>
      </c>
      <c r="K194">
        <v>0.14185383158752607</v>
      </c>
      <c r="L194" t="s">
        <v>22</v>
      </c>
    </row>
    <row r="195" spans="1:12" x14ac:dyDescent="0.25">
      <c r="A195" t="s">
        <v>20</v>
      </c>
      <c r="B195" t="s">
        <v>51</v>
      </c>
      <c r="C195">
        <v>759168</v>
      </c>
      <c r="D195">
        <v>167908</v>
      </c>
      <c r="E195">
        <v>131564</v>
      </c>
      <c r="F195">
        <v>13191</v>
      </c>
      <c r="G195">
        <v>1434</v>
      </c>
      <c r="H195">
        <v>1458</v>
      </c>
      <c r="I195">
        <v>17</v>
      </c>
      <c r="J195">
        <v>4926</v>
      </c>
      <c r="K195">
        <v>0.12237390167523031</v>
      </c>
      <c r="L195" t="s">
        <v>22</v>
      </c>
    </row>
    <row r="196" spans="1:12" x14ac:dyDescent="0.25">
      <c r="A196" t="s">
        <v>20</v>
      </c>
      <c r="B196" t="s">
        <v>107</v>
      </c>
      <c r="C196">
        <v>206497</v>
      </c>
      <c r="D196">
        <v>64863</v>
      </c>
      <c r="E196">
        <v>58014</v>
      </c>
      <c r="F196">
        <v>1495</v>
      </c>
      <c r="G196">
        <v>130</v>
      </c>
      <c r="H196">
        <v>59</v>
      </c>
      <c r="I196">
        <v>25</v>
      </c>
      <c r="J196">
        <v>1958</v>
      </c>
      <c r="K196">
        <v>2.9458406591512394E-2</v>
      </c>
      <c r="L196" t="s">
        <v>29</v>
      </c>
    </row>
    <row r="197" spans="1:12" x14ac:dyDescent="0.25">
      <c r="A197" t="s">
        <v>20</v>
      </c>
      <c r="B197" t="s">
        <v>73</v>
      </c>
      <c r="C197">
        <v>210967</v>
      </c>
      <c r="D197">
        <v>47074</v>
      </c>
      <c r="E197">
        <v>34570</v>
      </c>
      <c r="F197">
        <v>1152</v>
      </c>
      <c r="G197">
        <v>206</v>
      </c>
      <c r="H197">
        <v>113</v>
      </c>
      <c r="I197">
        <v>77</v>
      </c>
      <c r="J197">
        <v>1455</v>
      </c>
      <c r="K197">
        <v>4.4778709864043968E-2</v>
      </c>
      <c r="L197" t="s">
        <v>22</v>
      </c>
    </row>
    <row r="198" spans="1:12" x14ac:dyDescent="0.25">
      <c r="A198" t="s">
        <v>20</v>
      </c>
      <c r="B198" t="s">
        <v>21</v>
      </c>
      <c r="C198">
        <v>54546</v>
      </c>
      <c r="D198">
        <v>21453</v>
      </c>
      <c r="E198">
        <v>15741</v>
      </c>
      <c r="F198">
        <v>893</v>
      </c>
      <c r="G198">
        <v>84</v>
      </c>
      <c r="H198">
        <v>52</v>
      </c>
      <c r="I198">
        <v>162</v>
      </c>
      <c r="J198">
        <v>493</v>
      </c>
      <c r="K198">
        <v>7.5662283209453021E-2</v>
      </c>
      <c r="L198" t="s">
        <v>22</v>
      </c>
    </row>
    <row r="199" spans="1:12" x14ac:dyDescent="0.25">
      <c r="A199" t="s">
        <v>20</v>
      </c>
      <c r="B199" t="s">
        <v>51</v>
      </c>
      <c r="C199">
        <v>639830</v>
      </c>
      <c r="D199">
        <v>299030</v>
      </c>
      <c r="E199">
        <v>265208</v>
      </c>
      <c r="F199">
        <v>8043</v>
      </c>
      <c r="G199">
        <v>1285</v>
      </c>
      <c r="H199">
        <v>195</v>
      </c>
      <c r="I199">
        <v>4</v>
      </c>
      <c r="J199">
        <v>2230</v>
      </c>
      <c r="K199">
        <v>3.592274742843353E-2</v>
      </c>
      <c r="L199" t="s">
        <v>29</v>
      </c>
    </row>
    <row r="200" spans="1:12" x14ac:dyDescent="0.25">
      <c r="A200" t="s">
        <v>20</v>
      </c>
      <c r="B200" t="s">
        <v>128</v>
      </c>
      <c r="C200">
        <v>221205</v>
      </c>
      <c r="D200">
        <v>69406</v>
      </c>
      <c r="E200">
        <v>54598</v>
      </c>
      <c r="F200">
        <v>3787</v>
      </c>
      <c r="G200">
        <v>214</v>
      </c>
      <c r="H200">
        <v>272</v>
      </c>
      <c r="I200">
        <v>27</v>
      </c>
      <c r="J200">
        <v>1429</v>
      </c>
      <c r="K200">
        <v>7.8757463643356895E-2</v>
      </c>
      <c r="L200" t="s">
        <v>22</v>
      </c>
    </row>
    <row r="201" spans="1:12" x14ac:dyDescent="0.25">
      <c r="A201" t="s">
        <v>20</v>
      </c>
      <c r="B201" t="s">
        <v>35</v>
      </c>
      <c r="C201">
        <v>315869</v>
      </c>
      <c r="D201">
        <v>187810</v>
      </c>
      <c r="E201">
        <v>132901</v>
      </c>
      <c r="F201">
        <v>10193</v>
      </c>
      <c r="G201">
        <v>1095</v>
      </c>
      <c r="H201">
        <v>961</v>
      </c>
      <c r="I201">
        <v>39</v>
      </c>
      <c r="J201">
        <v>1769</v>
      </c>
      <c r="K201">
        <v>9.2459800904432621E-2</v>
      </c>
      <c r="L201" t="s">
        <v>66</v>
      </c>
    </row>
    <row r="202" spans="1:12" x14ac:dyDescent="0.25">
      <c r="A202" t="s">
        <v>20</v>
      </c>
      <c r="B202" t="s">
        <v>58</v>
      </c>
      <c r="C202">
        <v>276627</v>
      </c>
      <c r="D202">
        <v>56108</v>
      </c>
      <c r="E202">
        <v>41714</v>
      </c>
      <c r="F202">
        <v>1159</v>
      </c>
      <c r="G202">
        <v>86</v>
      </c>
      <c r="H202">
        <v>140</v>
      </c>
      <c r="I202">
        <v>207</v>
      </c>
      <c r="J202">
        <v>1960</v>
      </c>
      <c r="K202">
        <v>3.816464496332167E-2</v>
      </c>
      <c r="L202" t="s">
        <v>22</v>
      </c>
    </row>
    <row r="203" spans="1:12" x14ac:dyDescent="0.25">
      <c r="A203" t="s">
        <v>20</v>
      </c>
      <c r="B203" t="s">
        <v>21</v>
      </c>
      <c r="C203">
        <v>292564</v>
      </c>
      <c r="D203">
        <v>178966</v>
      </c>
      <c r="E203">
        <v>149774</v>
      </c>
      <c r="F203">
        <v>12620</v>
      </c>
      <c r="G203">
        <v>1263</v>
      </c>
      <c r="H203">
        <v>403</v>
      </c>
      <c r="I203">
        <v>2524</v>
      </c>
      <c r="J203">
        <v>4901</v>
      </c>
      <c r="K203">
        <v>0.11223576855796066</v>
      </c>
      <c r="L203" t="s">
        <v>29</v>
      </c>
    </row>
    <row r="204" spans="1:12" x14ac:dyDescent="0.25">
      <c r="A204" t="s">
        <v>20</v>
      </c>
      <c r="B204" t="s">
        <v>73</v>
      </c>
      <c r="C204">
        <v>829253</v>
      </c>
      <c r="D204">
        <v>246878</v>
      </c>
      <c r="E204">
        <v>191961</v>
      </c>
      <c r="F204">
        <v>11771</v>
      </c>
      <c r="G204">
        <v>832</v>
      </c>
      <c r="H204">
        <v>548</v>
      </c>
      <c r="I204">
        <v>751</v>
      </c>
      <c r="J204">
        <v>7127</v>
      </c>
      <c r="K204">
        <v>7.2420960507603105E-2</v>
      </c>
      <c r="L204" t="s">
        <v>29</v>
      </c>
    </row>
    <row r="205" spans="1:12" x14ac:dyDescent="0.25">
      <c r="A205" t="s">
        <v>20</v>
      </c>
      <c r="B205" t="s">
        <v>54</v>
      </c>
      <c r="C205">
        <v>691065</v>
      </c>
      <c r="D205">
        <v>244661</v>
      </c>
      <c r="E205">
        <v>209579</v>
      </c>
      <c r="F205">
        <v>18700</v>
      </c>
      <c r="G205">
        <v>1281</v>
      </c>
      <c r="H205">
        <v>2694</v>
      </c>
      <c r="I205">
        <v>1757</v>
      </c>
      <c r="J205">
        <v>5888</v>
      </c>
      <c r="K205">
        <v>0.11657656540015937</v>
      </c>
      <c r="L205" t="s">
        <v>22</v>
      </c>
    </row>
    <row r="206" spans="1:12" x14ac:dyDescent="0.25">
      <c r="A206" t="s">
        <v>20</v>
      </c>
      <c r="B206" t="s">
        <v>28</v>
      </c>
      <c r="C206">
        <v>190521</v>
      </c>
      <c r="D206">
        <v>52186</v>
      </c>
      <c r="E206">
        <v>46034</v>
      </c>
      <c r="F206">
        <v>2265</v>
      </c>
      <c r="G206">
        <v>79</v>
      </c>
      <c r="H206">
        <v>198</v>
      </c>
      <c r="I206">
        <v>450</v>
      </c>
      <c r="J206">
        <v>1078</v>
      </c>
      <c r="K206">
        <v>6.4995438154407614E-2</v>
      </c>
      <c r="L206" t="s">
        <v>29</v>
      </c>
    </row>
    <row r="207" spans="1:12" x14ac:dyDescent="0.25">
      <c r="A207" t="s">
        <v>20</v>
      </c>
      <c r="B207" t="s">
        <v>78</v>
      </c>
      <c r="C207">
        <v>373507</v>
      </c>
      <c r="D207">
        <v>50037</v>
      </c>
      <c r="E207">
        <v>36045</v>
      </c>
      <c r="F207">
        <v>2125</v>
      </c>
      <c r="G207">
        <v>81</v>
      </c>
      <c r="H207">
        <v>249</v>
      </c>
      <c r="I207">
        <v>384</v>
      </c>
      <c r="J207">
        <v>386</v>
      </c>
      <c r="K207">
        <v>7.8762657788875021E-2</v>
      </c>
      <c r="L207" t="s">
        <v>22</v>
      </c>
    </row>
    <row r="208" spans="1:12" x14ac:dyDescent="0.25">
      <c r="A208" t="s">
        <v>20</v>
      </c>
      <c r="B208" t="s">
        <v>51</v>
      </c>
      <c r="C208">
        <v>180770</v>
      </c>
      <c r="D208">
        <v>35533</v>
      </c>
      <c r="E208">
        <v>28406</v>
      </c>
      <c r="F208">
        <v>1913</v>
      </c>
      <c r="G208">
        <v>229</v>
      </c>
      <c r="H208">
        <v>54</v>
      </c>
      <c r="I208">
        <v>42</v>
      </c>
      <c r="J208">
        <v>594</v>
      </c>
      <c r="K208">
        <v>7.8786171935506577E-2</v>
      </c>
      <c r="L208" t="s">
        <v>29</v>
      </c>
    </row>
    <row r="209" spans="1:12" x14ac:dyDescent="0.25">
      <c r="A209" t="s">
        <v>20</v>
      </c>
      <c r="B209" t="s">
        <v>107</v>
      </c>
      <c r="C209">
        <v>238547</v>
      </c>
      <c r="D209">
        <v>55671</v>
      </c>
      <c r="E209">
        <v>45256</v>
      </c>
      <c r="F209">
        <v>4001</v>
      </c>
      <c r="G209">
        <v>700</v>
      </c>
      <c r="H209">
        <v>434</v>
      </c>
      <c r="I209">
        <v>30</v>
      </c>
      <c r="J209">
        <v>1800</v>
      </c>
      <c r="K209">
        <v>0.11412851334629662</v>
      </c>
      <c r="L209" t="s">
        <v>29</v>
      </c>
    </row>
    <row r="210" spans="1:12" x14ac:dyDescent="0.25">
      <c r="A210" t="s">
        <v>20</v>
      </c>
      <c r="B210" t="s">
        <v>107</v>
      </c>
      <c r="C210">
        <v>158198</v>
      </c>
      <c r="D210">
        <v>48699</v>
      </c>
      <c r="E210">
        <v>38032</v>
      </c>
      <c r="F210">
        <v>1339</v>
      </c>
      <c r="G210">
        <v>182</v>
      </c>
      <c r="H210">
        <v>61</v>
      </c>
      <c r="I210">
        <v>48</v>
      </c>
      <c r="J210">
        <v>1168</v>
      </c>
      <c r="K210">
        <v>4.2858645351283128E-2</v>
      </c>
      <c r="L210" t="s">
        <v>22</v>
      </c>
    </row>
    <row r="211" spans="1:12" x14ac:dyDescent="0.25">
      <c r="A211" t="s">
        <v>20</v>
      </c>
      <c r="B211" t="s">
        <v>58</v>
      </c>
      <c r="C211">
        <v>467335</v>
      </c>
      <c r="D211">
        <v>40079</v>
      </c>
      <c r="E211">
        <v>34747</v>
      </c>
      <c r="F211">
        <v>3204</v>
      </c>
      <c r="G211">
        <v>317</v>
      </c>
      <c r="H211">
        <v>386</v>
      </c>
      <c r="I211">
        <v>325</v>
      </c>
      <c r="J211">
        <v>1114</v>
      </c>
      <c r="K211">
        <v>0.12179468731113477</v>
      </c>
      <c r="L211" t="s">
        <v>29</v>
      </c>
    </row>
    <row r="212" spans="1:12" x14ac:dyDescent="0.25">
      <c r="A212" t="s">
        <v>20</v>
      </c>
      <c r="B212" t="s">
        <v>46</v>
      </c>
      <c r="C212">
        <v>509036</v>
      </c>
      <c r="D212">
        <v>210622</v>
      </c>
      <c r="E212">
        <v>166391</v>
      </c>
      <c r="F212">
        <v>9341</v>
      </c>
      <c r="G212">
        <v>1300</v>
      </c>
      <c r="H212">
        <v>367</v>
      </c>
      <c r="I212">
        <v>27</v>
      </c>
      <c r="J212">
        <v>3331</v>
      </c>
      <c r="K212">
        <v>6.6319692771844629E-2</v>
      </c>
      <c r="L212" t="s">
        <v>29</v>
      </c>
    </row>
    <row r="213" spans="1:12" x14ac:dyDescent="0.25">
      <c r="A213" t="s">
        <v>20</v>
      </c>
      <c r="B213" t="s">
        <v>65</v>
      </c>
      <c r="C213">
        <v>750073</v>
      </c>
      <c r="D213">
        <v>233324</v>
      </c>
      <c r="E213">
        <v>192779</v>
      </c>
      <c r="F213">
        <v>12433</v>
      </c>
      <c r="G213">
        <v>1603</v>
      </c>
      <c r="H213">
        <v>326</v>
      </c>
      <c r="I213">
        <v>966</v>
      </c>
      <c r="J213">
        <v>7363</v>
      </c>
      <c r="K213">
        <v>7.9510735090440349E-2</v>
      </c>
      <c r="L213" t="s">
        <v>22</v>
      </c>
    </row>
    <row r="214" spans="1:12" x14ac:dyDescent="0.25">
      <c r="A214" t="s">
        <v>20</v>
      </c>
      <c r="B214" t="s">
        <v>58</v>
      </c>
      <c r="C214">
        <v>236676</v>
      </c>
      <c r="D214">
        <v>60361</v>
      </c>
      <c r="E214">
        <v>54029</v>
      </c>
      <c r="F214">
        <v>2553</v>
      </c>
      <c r="G214">
        <v>300</v>
      </c>
      <c r="H214">
        <v>204</v>
      </c>
      <c r="I214">
        <v>187</v>
      </c>
      <c r="J214">
        <v>399</v>
      </c>
      <c r="K214">
        <v>6.0041829387921304E-2</v>
      </c>
      <c r="L214" t="s">
        <v>29</v>
      </c>
    </row>
    <row r="215" spans="1:12" x14ac:dyDescent="0.25">
      <c r="A215" t="s">
        <v>20</v>
      </c>
      <c r="B215" t="s">
        <v>21</v>
      </c>
      <c r="C215">
        <v>330750</v>
      </c>
      <c r="D215">
        <v>180320</v>
      </c>
      <c r="E215">
        <v>134668</v>
      </c>
      <c r="F215">
        <v>6072</v>
      </c>
      <c r="G215">
        <v>329</v>
      </c>
      <c r="H215">
        <v>341</v>
      </c>
      <c r="I215">
        <v>1192</v>
      </c>
      <c r="J215">
        <v>4180</v>
      </c>
      <c r="K215">
        <v>5.8915258264769656E-2</v>
      </c>
      <c r="L215" t="s">
        <v>29</v>
      </c>
    </row>
    <row r="216" spans="1:12" x14ac:dyDescent="0.25">
      <c r="A216" t="s">
        <v>20</v>
      </c>
      <c r="B216" t="s">
        <v>107</v>
      </c>
      <c r="C216">
        <v>499379</v>
      </c>
      <c r="D216">
        <v>49607</v>
      </c>
      <c r="E216">
        <v>39308</v>
      </c>
      <c r="F216">
        <v>3404</v>
      </c>
      <c r="G216">
        <v>575</v>
      </c>
      <c r="H216">
        <v>214</v>
      </c>
      <c r="I216">
        <v>42</v>
      </c>
      <c r="J216">
        <v>1105</v>
      </c>
      <c r="K216">
        <v>0.10773888267019437</v>
      </c>
      <c r="L216" t="s">
        <v>29</v>
      </c>
    </row>
    <row r="217" spans="1:12" x14ac:dyDescent="0.25">
      <c r="A217" t="s">
        <v>20</v>
      </c>
      <c r="B217" t="s">
        <v>87</v>
      </c>
      <c r="C217">
        <v>92921</v>
      </c>
      <c r="D217">
        <v>58030</v>
      </c>
      <c r="E217">
        <v>53124</v>
      </c>
      <c r="F217">
        <v>1690</v>
      </c>
      <c r="G217">
        <v>247</v>
      </c>
      <c r="H217">
        <v>243</v>
      </c>
      <c r="I217">
        <v>411</v>
      </c>
      <c r="J217">
        <v>945</v>
      </c>
      <c r="K217">
        <v>4.8772682779911154E-2</v>
      </c>
      <c r="L217" t="s">
        <v>22</v>
      </c>
    </row>
    <row r="218" spans="1:12" x14ac:dyDescent="0.25">
      <c r="A218" t="s">
        <v>20</v>
      </c>
      <c r="B218" t="s">
        <v>21</v>
      </c>
      <c r="C218">
        <v>404681</v>
      </c>
      <c r="D218">
        <v>102985</v>
      </c>
      <c r="E218">
        <v>90755</v>
      </c>
      <c r="F218">
        <v>3902</v>
      </c>
      <c r="G218">
        <v>287</v>
      </c>
      <c r="H218">
        <v>447</v>
      </c>
      <c r="I218">
        <v>660</v>
      </c>
      <c r="J218">
        <v>1558</v>
      </c>
      <c r="K218">
        <v>5.8354911575119829E-2</v>
      </c>
      <c r="L218" t="s">
        <v>66</v>
      </c>
    </row>
    <row r="219" spans="1:12" x14ac:dyDescent="0.25">
      <c r="A219" t="s">
        <v>20</v>
      </c>
      <c r="B219" t="s">
        <v>58</v>
      </c>
      <c r="C219">
        <v>22553</v>
      </c>
      <c r="D219">
        <v>11152</v>
      </c>
      <c r="E219">
        <v>8324</v>
      </c>
      <c r="F219">
        <v>237</v>
      </c>
      <c r="G219">
        <v>25</v>
      </c>
      <c r="H219">
        <v>8</v>
      </c>
      <c r="I219">
        <v>45</v>
      </c>
      <c r="J219">
        <v>320</v>
      </c>
      <c r="K219">
        <v>3.7842383469485825E-2</v>
      </c>
      <c r="L219" t="s">
        <v>22</v>
      </c>
    </row>
    <row r="220" spans="1:12" x14ac:dyDescent="0.25">
      <c r="A220" t="s">
        <v>20</v>
      </c>
      <c r="B220" t="s">
        <v>54</v>
      </c>
      <c r="C220">
        <v>36622</v>
      </c>
      <c r="D220">
        <v>7843</v>
      </c>
      <c r="E220">
        <v>6247</v>
      </c>
      <c r="F220">
        <v>401</v>
      </c>
      <c r="G220">
        <v>36</v>
      </c>
      <c r="H220">
        <v>54</v>
      </c>
      <c r="I220">
        <v>41</v>
      </c>
      <c r="J220">
        <v>140</v>
      </c>
      <c r="K220">
        <v>8.5160877221066106E-2</v>
      </c>
      <c r="L220" t="s">
        <v>22</v>
      </c>
    </row>
    <row r="221" spans="1:12" x14ac:dyDescent="0.25">
      <c r="A221" t="s">
        <v>20</v>
      </c>
      <c r="B221" t="s">
        <v>65</v>
      </c>
      <c r="C221">
        <v>64644</v>
      </c>
      <c r="D221">
        <v>128410</v>
      </c>
      <c r="E221">
        <v>98878</v>
      </c>
      <c r="F221">
        <v>8876</v>
      </c>
      <c r="G221">
        <v>1306</v>
      </c>
      <c r="H221">
        <v>846</v>
      </c>
      <c r="I221">
        <v>1982</v>
      </c>
      <c r="J221">
        <v>895</v>
      </c>
      <c r="K221">
        <v>0.13157628592811343</v>
      </c>
      <c r="L221" t="s">
        <v>29</v>
      </c>
    </row>
    <row r="222" spans="1:12" x14ac:dyDescent="0.25">
      <c r="A222" t="s">
        <v>20</v>
      </c>
      <c r="B222" t="s">
        <v>35</v>
      </c>
      <c r="C222">
        <v>811461</v>
      </c>
      <c r="D222">
        <v>261273</v>
      </c>
      <c r="E222">
        <v>184196</v>
      </c>
      <c r="F222">
        <v>10639</v>
      </c>
      <c r="G222">
        <v>1288</v>
      </c>
      <c r="H222">
        <v>769</v>
      </c>
      <c r="I222">
        <v>38</v>
      </c>
      <c r="J222">
        <v>8068</v>
      </c>
      <c r="K222">
        <v>6.9132880192838059E-2</v>
      </c>
      <c r="L222" t="s">
        <v>66</v>
      </c>
    </row>
    <row r="223" spans="1:12" x14ac:dyDescent="0.25">
      <c r="A223" t="s">
        <v>20</v>
      </c>
      <c r="B223" t="s">
        <v>35</v>
      </c>
      <c r="C223">
        <v>658945</v>
      </c>
      <c r="D223">
        <v>72935</v>
      </c>
      <c r="E223">
        <v>66679</v>
      </c>
      <c r="F223">
        <v>4572</v>
      </c>
      <c r="G223">
        <v>614</v>
      </c>
      <c r="H223">
        <v>132</v>
      </c>
      <c r="I223">
        <v>30</v>
      </c>
      <c r="J223">
        <v>550</v>
      </c>
      <c r="K223">
        <v>8.0205162045021677E-2</v>
      </c>
      <c r="L223" t="s">
        <v>29</v>
      </c>
    </row>
    <row r="224" spans="1:12" x14ac:dyDescent="0.25">
      <c r="A224" t="s">
        <v>20</v>
      </c>
      <c r="B224" t="s">
        <v>21</v>
      </c>
      <c r="C224">
        <v>125201</v>
      </c>
      <c r="D224">
        <v>17701</v>
      </c>
      <c r="E224">
        <v>15774</v>
      </c>
      <c r="F224">
        <v>392</v>
      </c>
      <c r="G224">
        <v>20</v>
      </c>
      <c r="H224">
        <v>42</v>
      </c>
      <c r="I224">
        <v>34</v>
      </c>
      <c r="J224">
        <v>296</v>
      </c>
      <c r="K224">
        <v>3.0936984911880308E-2</v>
      </c>
      <c r="L224" t="s">
        <v>22</v>
      </c>
    </row>
    <row r="225" spans="1:12" x14ac:dyDescent="0.25">
      <c r="A225" t="s">
        <v>20</v>
      </c>
      <c r="B225" t="s">
        <v>104</v>
      </c>
      <c r="C225">
        <v>728014</v>
      </c>
      <c r="D225">
        <v>249823</v>
      </c>
      <c r="E225">
        <v>197740</v>
      </c>
      <c r="F225">
        <v>7779</v>
      </c>
      <c r="G225">
        <v>512</v>
      </c>
      <c r="H225">
        <v>984</v>
      </c>
      <c r="I225">
        <v>569</v>
      </c>
      <c r="J225">
        <v>2122</v>
      </c>
      <c r="K225">
        <v>4.978254273288156E-2</v>
      </c>
      <c r="L225" t="s">
        <v>22</v>
      </c>
    </row>
    <row r="226" spans="1:12" x14ac:dyDescent="0.25">
      <c r="A226" t="s">
        <v>20</v>
      </c>
      <c r="B226" t="s">
        <v>28</v>
      </c>
      <c r="C226">
        <v>302110</v>
      </c>
      <c r="D226">
        <v>1407844</v>
      </c>
      <c r="E226">
        <v>1047521</v>
      </c>
      <c r="F226">
        <v>93444</v>
      </c>
      <c r="G226">
        <v>6076</v>
      </c>
      <c r="H226">
        <v>9691</v>
      </c>
      <c r="I226">
        <v>19516</v>
      </c>
      <c r="J226">
        <v>7970</v>
      </c>
      <c r="K226">
        <v>0.12288727385894889</v>
      </c>
      <c r="L226" t="s">
        <v>22</v>
      </c>
    </row>
    <row r="227" spans="1:12" x14ac:dyDescent="0.25">
      <c r="A227" t="s">
        <v>20</v>
      </c>
      <c r="B227" t="s">
        <v>65</v>
      </c>
      <c r="C227">
        <v>402673</v>
      </c>
      <c r="D227">
        <v>257184</v>
      </c>
      <c r="E227">
        <v>224594</v>
      </c>
      <c r="F227">
        <v>19486</v>
      </c>
      <c r="G227">
        <v>2773</v>
      </c>
      <c r="H227">
        <v>1770</v>
      </c>
      <c r="I227">
        <v>1505</v>
      </c>
      <c r="J227">
        <v>8575</v>
      </c>
      <c r="K227">
        <v>0.11368959099530709</v>
      </c>
      <c r="L227" t="s">
        <v>29</v>
      </c>
    </row>
    <row r="228" spans="1:12" x14ac:dyDescent="0.25">
      <c r="A228" t="s">
        <v>20</v>
      </c>
      <c r="B228" t="s">
        <v>40</v>
      </c>
      <c r="C228">
        <v>456542</v>
      </c>
      <c r="D228">
        <v>253393</v>
      </c>
      <c r="E228">
        <v>206524</v>
      </c>
      <c r="F228">
        <v>5504</v>
      </c>
      <c r="G228">
        <v>683</v>
      </c>
      <c r="H228">
        <v>504</v>
      </c>
      <c r="I228">
        <v>33</v>
      </c>
      <c r="J228">
        <v>2605</v>
      </c>
      <c r="K228">
        <v>3.255795936549747E-2</v>
      </c>
      <c r="L228" t="s">
        <v>22</v>
      </c>
    </row>
    <row r="229" spans="1:12" x14ac:dyDescent="0.25">
      <c r="A229" t="s">
        <v>20</v>
      </c>
      <c r="B229" t="s">
        <v>40</v>
      </c>
      <c r="C229">
        <v>394547</v>
      </c>
      <c r="D229">
        <v>102930</v>
      </c>
      <c r="E229">
        <v>88731</v>
      </c>
      <c r="F229">
        <v>2733</v>
      </c>
      <c r="G229">
        <v>451</v>
      </c>
      <c r="H229">
        <v>86</v>
      </c>
      <c r="I229">
        <v>3</v>
      </c>
      <c r="J229">
        <v>3327</v>
      </c>
      <c r="K229">
        <v>3.6886770125435307E-2</v>
      </c>
      <c r="L229" t="s">
        <v>22</v>
      </c>
    </row>
    <row r="230" spans="1:12" x14ac:dyDescent="0.25">
      <c r="A230" t="s">
        <v>20</v>
      </c>
      <c r="B230" t="s">
        <v>21</v>
      </c>
      <c r="C230">
        <v>483362</v>
      </c>
      <c r="D230">
        <v>309583</v>
      </c>
      <c r="E230">
        <v>232357</v>
      </c>
      <c r="F230">
        <v>14441</v>
      </c>
      <c r="G230">
        <v>1351</v>
      </c>
      <c r="H230">
        <v>1699</v>
      </c>
      <c r="I230">
        <v>2863</v>
      </c>
      <c r="J230">
        <v>8712</v>
      </c>
      <c r="K230">
        <v>8.759796347861265E-2</v>
      </c>
      <c r="L230" t="s">
        <v>29</v>
      </c>
    </row>
    <row r="231" spans="1:12" x14ac:dyDescent="0.25">
      <c r="A231" t="s">
        <v>20</v>
      </c>
      <c r="B231" t="s">
        <v>65</v>
      </c>
      <c r="C231">
        <v>697817</v>
      </c>
      <c r="D231">
        <v>300655</v>
      </c>
      <c r="E231">
        <v>227518</v>
      </c>
      <c r="F231">
        <v>17710</v>
      </c>
      <c r="G231">
        <v>680</v>
      </c>
      <c r="H231">
        <v>546</v>
      </c>
      <c r="I231">
        <v>1892</v>
      </c>
      <c r="J231">
        <v>4653</v>
      </c>
      <c r="K231">
        <v>9.1544405277824176E-2</v>
      </c>
      <c r="L231" t="s">
        <v>29</v>
      </c>
    </row>
    <row r="232" spans="1:12" x14ac:dyDescent="0.25">
      <c r="A232" t="s">
        <v>20</v>
      </c>
      <c r="B232" t="s">
        <v>87</v>
      </c>
      <c r="C232">
        <v>505332</v>
      </c>
      <c r="D232">
        <v>70227</v>
      </c>
      <c r="E232">
        <v>56440</v>
      </c>
      <c r="F232">
        <v>2606</v>
      </c>
      <c r="G232">
        <v>189</v>
      </c>
      <c r="H232">
        <v>128</v>
      </c>
      <c r="I232">
        <v>638</v>
      </c>
      <c r="J232">
        <v>1570</v>
      </c>
      <c r="K232">
        <v>6.3093550673281359E-2</v>
      </c>
      <c r="L232" t="s">
        <v>29</v>
      </c>
    </row>
    <row r="233" spans="1:12" x14ac:dyDescent="0.25">
      <c r="A233" t="s">
        <v>20</v>
      </c>
      <c r="B233" t="s">
        <v>35</v>
      </c>
      <c r="C233">
        <v>819764</v>
      </c>
      <c r="D233">
        <v>199252</v>
      </c>
      <c r="E233">
        <v>153685</v>
      </c>
      <c r="F233">
        <v>12776</v>
      </c>
      <c r="G233">
        <v>1409</v>
      </c>
      <c r="H233">
        <v>994</v>
      </c>
      <c r="I233">
        <v>10</v>
      </c>
      <c r="J233">
        <v>6320</v>
      </c>
      <c r="K233">
        <v>9.8832026547808829E-2</v>
      </c>
      <c r="L233" t="s">
        <v>66</v>
      </c>
    </row>
    <row r="234" spans="1:12" x14ac:dyDescent="0.25">
      <c r="A234" t="s">
        <v>20</v>
      </c>
      <c r="B234" t="s">
        <v>65</v>
      </c>
      <c r="C234">
        <v>332865</v>
      </c>
      <c r="D234">
        <v>113640</v>
      </c>
      <c r="E234">
        <v>96907</v>
      </c>
      <c r="F234">
        <v>7120</v>
      </c>
      <c r="G234">
        <v>1077</v>
      </c>
      <c r="H234">
        <v>405</v>
      </c>
      <c r="I234">
        <v>997</v>
      </c>
      <c r="J234">
        <v>1463</v>
      </c>
      <c r="K234">
        <v>9.9053731928550048E-2</v>
      </c>
      <c r="L234" t="s">
        <v>29</v>
      </c>
    </row>
    <row r="235" spans="1:12" x14ac:dyDescent="0.25">
      <c r="A235" t="s">
        <v>20</v>
      </c>
      <c r="B235" t="s">
        <v>70</v>
      </c>
      <c r="C235">
        <v>209458</v>
      </c>
      <c r="D235">
        <v>76577</v>
      </c>
      <c r="E235">
        <v>53833</v>
      </c>
      <c r="F235">
        <v>5685</v>
      </c>
      <c r="G235">
        <v>519</v>
      </c>
      <c r="H235">
        <v>548</v>
      </c>
      <c r="I235">
        <v>21</v>
      </c>
      <c r="J235">
        <v>681</v>
      </c>
      <c r="K235">
        <v>0.12581502052644289</v>
      </c>
      <c r="L235" t="s">
        <v>22</v>
      </c>
    </row>
    <row r="236" spans="1:12" x14ac:dyDescent="0.25">
      <c r="A236" t="s">
        <v>20</v>
      </c>
      <c r="B236" t="s">
        <v>146</v>
      </c>
      <c r="C236">
        <v>399821</v>
      </c>
      <c r="D236">
        <v>167610</v>
      </c>
      <c r="E236">
        <v>119568</v>
      </c>
      <c r="F236">
        <v>12558</v>
      </c>
      <c r="G236">
        <v>745</v>
      </c>
      <c r="H236">
        <v>999</v>
      </c>
      <c r="I236">
        <v>2337</v>
      </c>
      <c r="J236">
        <v>1191</v>
      </c>
      <c r="K236">
        <v>0.13915930683794994</v>
      </c>
      <c r="L236" t="s">
        <v>29</v>
      </c>
    </row>
    <row r="237" spans="1:12" x14ac:dyDescent="0.25">
      <c r="A237" t="s">
        <v>20</v>
      </c>
      <c r="B237" t="s">
        <v>73</v>
      </c>
      <c r="C237">
        <v>688471</v>
      </c>
      <c r="D237">
        <v>56184</v>
      </c>
      <c r="E237">
        <v>47606</v>
      </c>
      <c r="F237">
        <v>3425</v>
      </c>
      <c r="G237">
        <v>553</v>
      </c>
      <c r="H237">
        <v>353</v>
      </c>
      <c r="I237">
        <v>306</v>
      </c>
      <c r="J237">
        <v>1051</v>
      </c>
      <c r="K237">
        <v>9.7403688610679329E-2</v>
      </c>
      <c r="L237" t="s">
        <v>29</v>
      </c>
    </row>
    <row r="238" spans="1:12" x14ac:dyDescent="0.25">
      <c r="A238" t="s">
        <v>20</v>
      </c>
      <c r="B238" t="s">
        <v>28</v>
      </c>
      <c r="C238">
        <v>670960</v>
      </c>
      <c r="D238">
        <v>249213</v>
      </c>
      <c r="E238">
        <v>227167</v>
      </c>
      <c r="F238">
        <v>17523</v>
      </c>
      <c r="G238">
        <v>975</v>
      </c>
      <c r="H238">
        <v>602</v>
      </c>
      <c r="I238">
        <v>3988</v>
      </c>
      <c r="J238">
        <v>6352</v>
      </c>
      <c r="K238">
        <v>0.1016344803602636</v>
      </c>
      <c r="L238" t="s">
        <v>22</v>
      </c>
    </row>
    <row r="239" spans="1:12" x14ac:dyDescent="0.25">
      <c r="A239" t="s">
        <v>20</v>
      </c>
      <c r="B239" t="s">
        <v>70</v>
      </c>
      <c r="C239">
        <v>24510</v>
      </c>
      <c r="D239">
        <v>12447</v>
      </c>
      <c r="E239">
        <v>10704</v>
      </c>
      <c r="F239">
        <v>545</v>
      </c>
      <c r="G239">
        <v>39</v>
      </c>
      <c r="H239">
        <v>44</v>
      </c>
      <c r="I239">
        <v>4</v>
      </c>
      <c r="J239">
        <v>300</v>
      </c>
      <c r="K239">
        <v>5.9043348281016442E-2</v>
      </c>
      <c r="L239" t="s">
        <v>29</v>
      </c>
    </row>
    <row r="240" spans="1:12" x14ac:dyDescent="0.25">
      <c r="A240" t="s">
        <v>20</v>
      </c>
      <c r="B240" t="s">
        <v>70</v>
      </c>
      <c r="C240">
        <v>468226</v>
      </c>
      <c r="D240">
        <v>66988</v>
      </c>
      <c r="E240">
        <v>53410</v>
      </c>
      <c r="F240">
        <v>3645</v>
      </c>
      <c r="G240">
        <v>524</v>
      </c>
      <c r="H240">
        <v>467</v>
      </c>
      <c r="I240">
        <v>2</v>
      </c>
      <c r="J240">
        <v>893</v>
      </c>
      <c r="K240">
        <v>8.6837670848155774E-2</v>
      </c>
      <c r="L240" t="s">
        <v>22</v>
      </c>
    </row>
    <row r="241" spans="1:12" x14ac:dyDescent="0.25">
      <c r="A241" t="s">
        <v>20</v>
      </c>
      <c r="B241" t="s">
        <v>146</v>
      </c>
      <c r="C241">
        <v>840568</v>
      </c>
      <c r="D241">
        <v>399795</v>
      </c>
      <c r="E241">
        <v>301938</v>
      </c>
      <c r="F241">
        <v>21050</v>
      </c>
      <c r="G241">
        <v>1872</v>
      </c>
      <c r="H241">
        <v>2402</v>
      </c>
      <c r="I241">
        <v>2081</v>
      </c>
      <c r="J241">
        <v>7534</v>
      </c>
      <c r="K241">
        <v>9.0763666713033805E-2</v>
      </c>
      <c r="L241" t="s">
        <v>22</v>
      </c>
    </row>
    <row r="242" spans="1:12" x14ac:dyDescent="0.25">
      <c r="A242" t="s">
        <v>20</v>
      </c>
      <c r="B242" t="s">
        <v>73</v>
      </c>
      <c r="C242">
        <v>646012</v>
      </c>
      <c r="D242">
        <v>141464</v>
      </c>
      <c r="E242">
        <v>120267</v>
      </c>
      <c r="F242">
        <v>5553</v>
      </c>
      <c r="G242">
        <v>929</v>
      </c>
      <c r="H242">
        <v>793</v>
      </c>
      <c r="I242">
        <v>706</v>
      </c>
      <c r="J242">
        <v>3000</v>
      </c>
      <c r="K242">
        <v>6.6360680818512138E-2</v>
      </c>
      <c r="L242" t="s">
        <v>22</v>
      </c>
    </row>
    <row r="243" spans="1:12" x14ac:dyDescent="0.25">
      <c r="A243" t="s">
        <v>20</v>
      </c>
      <c r="B243" t="s">
        <v>58</v>
      </c>
      <c r="C243">
        <v>263536</v>
      </c>
      <c r="D243">
        <v>34512</v>
      </c>
      <c r="E243">
        <v>31114</v>
      </c>
      <c r="F243">
        <v>2048</v>
      </c>
      <c r="G243">
        <v>125</v>
      </c>
      <c r="H243">
        <v>289</v>
      </c>
      <c r="I243">
        <v>109</v>
      </c>
      <c r="J243">
        <v>206</v>
      </c>
      <c r="K243">
        <v>8.2631612778813396E-2</v>
      </c>
      <c r="L243" t="s">
        <v>22</v>
      </c>
    </row>
    <row r="244" spans="1:12" x14ac:dyDescent="0.25">
      <c r="A244" t="s">
        <v>20</v>
      </c>
      <c r="B244" t="s">
        <v>35</v>
      </c>
      <c r="C244">
        <v>680468</v>
      </c>
      <c r="D244">
        <v>82410</v>
      </c>
      <c r="E244">
        <v>60474</v>
      </c>
      <c r="F244">
        <v>3918</v>
      </c>
      <c r="G244">
        <v>312</v>
      </c>
      <c r="H244">
        <v>122</v>
      </c>
      <c r="I244">
        <v>3</v>
      </c>
      <c r="J244">
        <v>852</v>
      </c>
      <c r="K244">
        <v>7.2014419419916001E-2</v>
      </c>
      <c r="L244" t="s">
        <v>22</v>
      </c>
    </row>
    <row r="245" spans="1:12" x14ac:dyDescent="0.25">
      <c r="A245" t="s">
        <v>20</v>
      </c>
      <c r="B245" t="s">
        <v>155</v>
      </c>
      <c r="C245">
        <v>681589</v>
      </c>
      <c r="D245">
        <v>316808</v>
      </c>
      <c r="E245">
        <v>249175</v>
      </c>
      <c r="F245">
        <v>7689</v>
      </c>
      <c r="G245">
        <v>915</v>
      </c>
      <c r="H245">
        <v>309</v>
      </c>
      <c r="I245">
        <v>1634</v>
      </c>
      <c r="J245">
        <v>9718</v>
      </c>
      <c r="K245">
        <v>4.2327681348449886E-2</v>
      </c>
      <c r="L245" t="s">
        <v>22</v>
      </c>
    </row>
    <row r="246" spans="1:12" x14ac:dyDescent="0.25">
      <c r="A246" t="s">
        <v>20</v>
      </c>
      <c r="B246" t="s">
        <v>146</v>
      </c>
      <c r="C246">
        <v>446153</v>
      </c>
      <c r="D246">
        <v>250615</v>
      </c>
      <c r="E246">
        <v>191591</v>
      </c>
      <c r="F246">
        <v>12164</v>
      </c>
      <c r="G246">
        <v>827</v>
      </c>
      <c r="H246">
        <v>1245</v>
      </c>
      <c r="I246">
        <v>1918</v>
      </c>
      <c r="J246">
        <v>2688</v>
      </c>
      <c r="K246">
        <v>8.4315025236049709E-2</v>
      </c>
      <c r="L246" t="s">
        <v>29</v>
      </c>
    </row>
    <row r="247" spans="1:12" x14ac:dyDescent="0.25">
      <c r="A247" t="s">
        <v>20</v>
      </c>
      <c r="B247" t="s">
        <v>78</v>
      </c>
      <c r="C247">
        <v>496274</v>
      </c>
      <c r="D247">
        <v>158159</v>
      </c>
      <c r="E247">
        <v>132509</v>
      </c>
      <c r="F247">
        <v>10005</v>
      </c>
      <c r="G247">
        <v>1152</v>
      </c>
      <c r="H247">
        <v>212</v>
      </c>
      <c r="I247">
        <v>631</v>
      </c>
      <c r="J247">
        <v>4107</v>
      </c>
      <c r="K247">
        <v>9.0559886498275594E-2</v>
      </c>
      <c r="L247" t="s">
        <v>22</v>
      </c>
    </row>
    <row r="248" spans="1:12" x14ac:dyDescent="0.25">
      <c r="A248" t="s">
        <v>20</v>
      </c>
      <c r="B248" t="s">
        <v>70</v>
      </c>
      <c r="C248">
        <v>234012</v>
      </c>
      <c r="D248">
        <v>52433</v>
      </c>
      <c r="E248">
        <v>38795</v>
      </c>
      <c r="F248">
        <v>3564</v>
      </c>
      <c r="G248">
        <v>562</v>
      </c>
      <c r="H248">
        <v>465</v>
      </c>
      <c r="I248">
        <v>35</v>
      </c>
      <c r="J248">
        <v>987</v>
      </c>
      <c r="K248">
        <v>0.11924217038278129</v>
      </c>
      <c r="L248" t="s">
        <v>22</v>
      </c>
    </row>
    <row r="249" spans="1:12" x14ac:dyDescent="0.25">
      <c r="A249" t="s">
        <v>20</v>
      </c>
      <c r="B249" t="s">
        <v>146</v>
      </c>
      <c r="C249">
        <v>595052</v>
      </c>
      <c r="D249">
        <v>48876</v>
      </c>
      <c r="E249">
        <v>40399</v>
      </c>
      <c r="F249">
        <v>3473</v>
      </c>
      <c r="G249">
        <v>496</v>
      </c>
      <c r="H249">
        <v>333</v>
      </c>
      <c r="I249">
        <v>524</v>
      </c>
      <c r="J249">
        <v>1114</v>
      </c>
      <c r="K249">
        <v>0.11945840243570385</v>
      </c>
      <c r="L249" t="s">
        <v>22</v>
      </c>
    </row>
    <row r="250" spans="1:12" x14ac:dyDescent="0.25">
      <c r="A250" t="s">
        <v>20</v>
      </c>
      <c r="B250" t="s">
        <v>146</v>
      </c>
      <c r="C250">
        <v>179482</v>
      </c>
      <c r="D250">
        <v>105175</v>
      </c>
      <c r="E250">
        <v>74413</v>
      </c>
      <c r="F250">
        <v>7778</v>
      </c>
      <c r="G250">
        <v>958</v>
      </c>
      <c r="H250">
        <v>880</v>
      </c>
      <c r="I250">
        <v>896</v>
      </c>
      <c r="J250">
        <v>1792</v>
      </c>
      <c r="K250">
        <v>0.14126563906844233</v>
      </c>
      <c r="L250" t="s">
        <v>22</v>
      </c>
    </row>
    <row r="251" spans="1:12" x14ac:dyDescent="0.25">
      <c r="A251" t="s">
        <v>20</v>
      </c>
      <c r="B251" t="s">
        <v>70</v>
      </c>
      <c r="C251">
        <v>695282</v>
      </c>
      <c r="D251">
        <v>216868</v>
      </c>
      <c r="E251">
        <v>195524</v>
      </c>
      <c r="F251">
        <v>8077</v>
      </c>
      <c r="G251">
        <v>440</v>
      </c>
      <c r="H251">
        <v>363</v>
      </c>
      <c r="I251">
        <v>49</v>
      </c>
      <c r="J251">
        <v>2657</v>
      </c>
      <c r="K251">
        <v>4.5667028088623392E-2</v>
      </c>
      <c r="L251" t="s">
        <v>29</v>
      </c>
    </row>
    <row r="252" spans="1:12" x14ac:dyDescent="0.25">
      <c r="A252" t="s">
        <v>20</v>
      </c>
      <c r="B252" t="s">
        <v>58</v>
      </c>
      <c r="C252">
        <v>735084</v>
      </c>
      <c r="D252">
        <v>197059</v>
      </c>
      <c r="E252">
        <v>148925</v>
      </c>
      <c r="F252">
        <v>13508</v>
      </c>
      <c r="G252">
        <v>1946</v>
      </c>
      <c r="H252">
        <v>1378</v>
      </c>
      <c r="I252">
        <v>2270</v>
      </c>
      <c r="J252">
        <v>2219</v>
      </c>
      <c r="K252">
        <v>0.12826590565720999</v>
      </c>
      <c r="L252" t="s">
        <v>22</v>
      </c>
    </row>
    <row r="253" spans="1:12" x14ac:dyDescent="0.25">
      <c r="A253" t="s">
        <v>20</v>
      </c>
      <c r="B253" t="s">
        <v>46</v>
      </c>
      <c r="C253">
        <v>849776</v>
      </c>
      <c r="D253">
        <v>360009</v>
      </c>
      <c r="E253">
        <v>291035</v>
      </c>
      <c r="F253">
        <v>17848</v>
      </c>
      <c r="G253">
        <v>2829</v>
      </c>
      <c r="H253">
        <v>1979</v>
      </c>
      <c r="I253">
        <v>12</v>
      </c>
      <c r="J253">
        <v>2152</v>
      </c>
      <c r="K253">
        <v>7.7887539299396985E-2</v>
      </c>
      <c r="L253" t="s">
        <v>22</v>
      </c>
    </row>
    <row r="254" spans="1:12" x14ac:dyDescent="0.25">
      <c r="A254" t="s">
        <v>20</v>
      </c>
      <c r="B254" t="s">
        <v>58</v>
      </c>
      <c r="C254">
        <v>245507</v>
      </c>
      <c r="D254">
        <v>71338</v>
      </c>
      <c r="E254">
        <v>60429</v>
      </c>
      <c r="F254">
        <v>3643</v>
      </c>
      <c r="G254">
        <v>541</v>
      </c>
      <c r="H254">
        <v>256</v>
      </c>
      <c r="I254">
        <v>850</v>
      </c>
      <c r="J254">
        <v>2243</v>
      </c>
      <c r="K254">
        <v>8.7540750302007309E-2</v>
      </c>
      <c r="L254" t="s">
        <v>22</v>
      </c>
    </row>
    <row r="255" spans="1:12" x14ac:dyDescent="0.25">
      <c r="A255" t="s">
        <v>20</v>
      </c>
      <c r="B255" t="s">
        <v>87</v>
      </c>
      <c r="C255">
        <v>446512</v>
      </c>
      <c r="D255">
        <v>272219</v>
      </c>
      <c r="E255">
        <v>223515</v>
      </c>
      <c r="F255">
        <v>13775</v>
      </c>
      <c r="G255">
        <v>1171</v>
      </c>
      <c r="H255">
        <v>770</v>
      </c>
      <c r="I255">
        <v>717</v>
      </c>
      <c r="J255">
        <v>8423</v>
      </c>
      <c r="K255">
        <v>7.3520792787956063E-2</v>
      </c>
      <c r="L255" t="s">
        <v>66</v>
      </c>
    </row>
    <row r="256" spans="1:12" x14ac:dyDescent="0.25">
      <c r="A256" t="s">
        <v>20</v>
      </c>
      <c r="B256" t="s">
        <v>40</v>
      </c>
      <c r="C256">
        <v>139536</v>
      </c>
      <c r="D256">
        <v>63815</v>
      </c>
      <c r="E256">
        <v>54570</v>
      </c>
      <c r="F256">
        <v>3559</v>
      </c>
      <c r="G256">
        <v>471</v>
      </c>
      <c r="H256">
        <v>128</v>
      </c>
      <c r="I256">
        <v>4</v>
      </c>
      <c r="J256">
        <v>1730</v>
      </c>
      <c r="K256">
        <v>7.6269012277808315E-2</v>
      </c>
      <c r="L256" t="s">
        <v>22</v>
      </c>
    </row>
    <row r="257" spans="1:12" x14ac:dyDescent="0.25">
      <c r="A257" t="s">
        <v>20</v>
      </c>
      <c r="B257" t="s">
        <v>65</v>
      </c>
      <c r="C257">
        <v>14472</v>
      </c>
      <c r="D257">
        <v>5349</v>
      </c>
      <c r="E257">
        <v>4209</v>
      </c>
      <c r="F257">
        <v>200</v>
      </c>
      <c r="G257">
        <v>33</v>
      </c>
      <c r="H257">
        <v>5</v>
      </c>
      <c r="I257">
        <v>32</v>
      </c>
      <c r="J257">
        <v>185</v>
      </c>
      <c r="K257">
        <v>6.4148253741981465E-2</v>
      </c>
      <c r="L257" t="s">
        <v>29</v>
      </c>
    </row>
    <row r="258" spans="1:12" x14ac:dyDescent="0.25">
      <c r="A258" t="s">
        <v>20</v>
      </c>
      <c r="B258" t="s">
        <v>128</v>
      </c>
      <c r="C258">
        <v>723028</v>
      </c>
      <c r="D258">
        <v>81720</v>
      </c>
      <c r="E258">
        <v>72045</v>
      </c>
      <c r="F258">
        <v>4789</v>
      </c>
      <c r="G258">
        <v>215</v>
      </c>
      <c r="H258">
        <v>465</v>
      </c>
      <c r="I258">
        <v>28</v>
      </c>
      <c r="J258">
        <v>2461</v>
      </c>
      <c r="K258">
        <v>7.6299535012839204E-2</v>
      </c>
      <c r="L258" t="s">
        <v>29</v>
      </c>
    </row>
    <row r="259" spans="1:12" x14ac:dyDescent="0.25">
      <c r="A259" t="s">
        <v>20</v>
      </c>
      <c r="B259" t="s">
        <v>65</v>
      </c>
      <c r="C259">
        <v>89121</v>
      </c>
      <c r="D259">
        <v>36876</v>
      </c>
      <c r="E259">
        <v>31020</v>
      </c>
      <c r="F259">
        <v>1993</v>
      </c>
      <c r="G259">
        <v>352</v>
      </c>
      <c r="H259">
        <v>258</v>
      </c>
      <c r="I259">
        <v>422</v>
      </c>
      <c r="J259">
        <v>1141</v>
      </c>
      <c r="K259">
        <v>9.7517730496453903E-2</v>
      </c>
      <c r="L259" t="s">
        <v>22</v>
      </c>
    </row>
    <row r="260" spans="1:12" x14ac:dyDescent="0.25">
      <c r="A260" t="s">
        <v>20</v>
      </c>
      <c r="B260" t="s">
        <v>58</v>
      </c>
      <c r="C260">
        <v>427371</v>
      </c>
      <c r="D260">
        <v>259005</v>
      </c>
      <c r="E260">
        <v>208642</v>
      </c>
      <c r="F260">
        <v>17175</v>
      </c>
      <c r="G260">
        <v>1977</v>
      </c>
      <c r="H260">
        <v>1329</v>
      </c>
      <c r="I260">
        <v>3676</v>
      </c>
      <c r="J260">
        <v>1781</v>
      </c>
      <c r="K260">
        <v>0.11578205730389854</v>
      </c>
      <c r="L260" t="s">
        <v>29</v>
      </c>
    </row>
    <row r="261" spans="1:12" x14ac:dyDescent="0.25">
      <c r="A261" t="s">
        <v>20</v>
      </c>
      <c r="B261" t="s">
        <v>51</v>
      </c>
      <c r="C261">
        <v>780190</v>
      </c>
      <c r="D261">
        <v>412444</v>
      </c>
      <c r="E261">
        <v>316109</v>
      </c>
      <c r="F261">
        <v>8295</v>
      </c>
      <c r="G261">
        <v>271</v>
      </c>
      <c r="H261">
        <v>275</v>
      </c>
      <c r="I261">
        <v>25</v>
      </c>
      <c r="J261">
        <v>12045</v>
      </c>
      <c r="K261">
        <v>2.8047287486278466E-2</v>
      </c>
      <c r="L261" t="s">
        <v>66</v>
      </c>
    </row>
    <row r="262" spans="1:12" x14ac:dyDescent="0.25">
      <c r="A262" t="s">
        <v>20</v>
      </c>
      <c r="B262" t="s">
        <v>54</v>
      </c>
      <c r="C262">
        <v>708797</v>
      </c>
      <c r="D262">
        <v>194143</v>
      </c>
      <c r="E262">
        <v>159349</v>
      </c>
      <c r="F262">
        <v>4923</v>
      </c>
      <c r="G262">
        <v>264</v>
      </c>
      <c r="H262">
        <v>215</v>
      </c>
      <c r="I262">
        <v>501</v>
      </c>
      <c r="J262">
        <v>6459</v>
      </c>
      <c r="K262">
        <v>3.7044474706461918E-2</v>
      </c>
      <c r="L262" t="s">
        <v>22</v>
      </c>
    </row>
    <row r="263" spans="1:12" x14ac:dyDescent="0.25">
      <c r="A263" t="s">
        <v>20</v>
      </c>
      <c r="B263" t="s">
        <v>155</v>
      </c>
      <c r="C263">
        <v>259893</v>
      </c>
      <c r="D263">
        <v>26973</v>
      </c>
      <c r="E263">
        <v>21932</v>
      </c>
      <c r="F263">
        <v>1230</v>
      </c>
      <c r="G263">
        <v>171</v>
      </c>
      <c r="H263">
        <v>133</v>
      </c>
      <c r="I263">
        <v>266</v>
      </c>
      <c r="J263">
        <v>527</v>
      </c>
      <c r="K263">
        <v>8.2071858471639614E-2</v>
      </c>
      <c r="L263" t="s">
        <v>22</v>
      </c>
    </row>
    <row r="264" spans="1:12" x14ac:dyDescent="0.25">
      <c r="A264" t="s">
        <v>20</v>
      </c>
      <c r="B264" t="s">
        <v>87</v>
      </c>
      <c r="C264">
        <v>350983</v>
      </c>
      <c r="D264">
        <v>99371</v>
      </c>
      <c r="E264">
        <v>88119</v>
      </c>
      <c r="F264">
        <v>7665</v>
      </c>
      <c r="G264">
        <v>598</v>
      </c>
      <c r="H264">
        <v>192</v>
      </c>
      <c r="I264">
        <v>473</v>
      </c>
      <c r="J264">
        <v>1412</v>
      </c>
      <c r="K264">
        <v>0.10131753651312429</v>
      </c>
      <c r="L264" t="s">
        <v>22</v>
      </c>
    </row>
    <row r="265" spans="1:12" x14ac:dyDescent="0.25">
      <c r="A265" t="s">
        <v>20</v>
      </c>
      <c r="B265" t="s">
        <v>128</v>
      </c>
      <c r="C265">
        <v>565812</v>
      </c>
      <c r="D265">
        <v>355846</v>
      </c>
      <c r="E265">
        <v>266499</v>
      </c>
      <c r="F265">
        <v>16505</v>
      </c>
      <c r="G265">
        <v>1539</v>
      </c>
      <c r="H265">
        <v>1353</v>
      </c>
      <c r="I265">
        <v>47</v>
      </c>
      <c r="J265">
        <v>11410</v>
      </c>
      <c r="K265">
        <v>7.2960874149621574E-2</v>
      </c>
      <c r="L265" t="s">
        <v>22</v>
      </c>
    </row>
    <row r="266" spans="1:12" x14ac:dyDescent="0.25">
      <c r="A266" t="s">
        <v>20</v>
      </c>
      <c r="B266" t="s">
        <v>40</v>
      </c>
      <c r="C266">
        <v>206706</v>
      </c>
      <c r="D266">
        <v>867713</v>
      </c>
      <c r="E266">
        <v>740730</v>
      </c>
      <c r="F266">
        <v>49382</v>
      </c>
      <c r="G266">
        <v>6474</v>
      </c>
      <c r="H266">
        <v>3297</v>
      </c>
      <c r="I266">
        <v>41</v>
      </c>
      <c r="J266">
        <v>4346</v>
      </c>
      <c r="K266">
        <v>7.9913058739351714E-2</v>
      </c>
      <c r="L266" t="s">
        <v>22</v>
      </c>
    </row>
    <row r="267" spans="1:12" x14ac:dyDescent="0.25">
      <c r="A267" t="s">
        <v>20</v>
      </c>
      <c r="B267" t="s">
        <v>65</v>
      </c>
      <c r="C267">
        <v>652850</v>
      </c>
      <c r="D267">
        <v>258565</v>
      </c>
      <c r="E267">
        <v>182180</v>
      </c>
      <c r="F267">
        <v>9344</v>
      </c>
      <c r="G267">
        <v>756</v>
      </c>
      <c r="H267">
        <v>1198</v>
      </c>
      <c r="I267">
        <v>1546</v>
      </c>
      <c r="J267">
        <v>3987</v>
      </c>
      <c r="K267">
        <v>7.0501701613788562E-2</v>
      </c>
      <c r="L267" t="s">
        <v>66</v>
      </c>
    </row>
    <row r="268" spans="1:12" x14ac:dyDescent="0.25">
      <c r="A268" t="s">
        <v>20</v>
      </c>
      <c r="B268" t="s">
        <v>46</v>
      </c>
      <c r="C268">
        <v>221324</v>
      </c>
      <c r="D268">
        <v>30640</v>
      </c>
      <c r="E268">
        <v>24999</v>
      </c>
      <c r="F268">
        <v>1414</v>
      </c>
      <c r="G268">
        <v>172</v>
      </c>
      <c r="H268">
        <v>162</v>
      </c>
      <c r="I268">
        <v>32</v>
      </c>
      <c r="J268">
        <v>552</v>
      </c>
      <c r="K268">
        <v>7.1202848113924563E-2</v>
      </c>
      <c r="L268" t="s">
        <v>29</v>
      </c>
    </row>
    <row r="269" spans="1:12" x14ac:dyDescent="0.25">
      <c r="A269" t="s">
        <v>20</v>
      </c>
      <c r="B269" t="s">
        <v>146</v>
      </c>
      <c r="C269">
        <v>680235</v>
      </c>
      <c r="D269">
        <v>384374</v>
      </c>
      <c r="E269">
        <v>277015</v>
      </c>
      <c r="F269">
        <v>21910</v>
      </c>
      <c r="G269">
        <v>3547</v>
      </c>
      <c r="H269">
        <v>2829</v>
      </c>
      <c r="I269">
        <v>2101</v>
      </c>
      <c r="J269">
        <v>11254</v>
      </c>
      <c r="K269">
        <v>0.10969442087973576</v>
      </c>
      <c r="L269" t="s">
        <v>22</v>
      </c>
    </row>
    <row r="270" spans="1:12" x14ac:dyDescent="0.25">
      <c r="A270" t="s">
        <v>20</v>
      </c>
      <c r="B270" t="s">
        <v>21</v>
      </c>
      <c r="C270">
        <v>296958</v>
      </c>
      <c r="D270">
        <v>40776</v>
      </c>
      <c r="E270">
        <v>29975</v>
      </c>
      <c r="F270">
        <v>822</v>
      </c>
      <c r="G270">
        <v>53</v>
      </c>
      <c r="H270">
        <v>86</v>
      </c>
      <c r="I270">
        <v>68</v>
      </c>
      <c r="J270">
        <v>1177</v>
      </c>
      <c r="K270">
        <v>3.4328607172643869E-2</v>
      </c>
      <c r="L270" t="s">
        <v>22</v>
      </c>
    </row>
    <row r="271" spans="1:12" x14ac:dyDescent="0.25">
      <c r="A271" t="s">
        <v>20</v>
      </c>
      <c r="B271" t="s">
        <v>73</v>
      </c>
      <c r="C271">
        <v>334068</v>
      </c>
      <c r="D271">
        <v>112906</v>
      </c>
      <c r="E271">
        <v>80207</v>
      </c>
      <c r="F271">
        <v>6651</v>
      </c>
      <c r="G271">
        <v>246</v>
      </c>
      <c r="H271">
        <v>140</v>
      </c>
      <c r="I271">
        <v>1371</v>
      </c>
      <c r="J271">
        <v>3235</v>
      </c>
      <c r="K271">
        <v>0.1048287555948982</v>
      </c>
      <c r="L271" t="s">
        <v>22</v>
      </c>
    </row>
    <row r="272" spans="1:12" x14ac:dyDescent="0.25">
      <c r="A272" t="s">
        <v>20</v>
      </c>
      <c r="B272" t="s">
        <v>35</v>
      </c>
      <c r="C272">
        <v>151270</v>
      </c>
      <c r="D272">
        <v>62998</v>
      </c>
      <c r="E272">
        <v>52898</v>
      </c>
      <c r="F272">
        <v>4745</v>
      </c>
      <c r="G272">
        <v>617</v>
      </c>
      <c r="H272">
        <v>692</v>
      </c>
      <c r="I272">
        <v>0</v>
      </c>
      <c r="J272">
        <v>771</v>
      </c>
      <c r="K272">
        <v>0.11444667095164278</v>
      </c>
      <c r="L272" t="s">
        <v>66</v>
      </c>
    </row>
    <row r="273" spans="1:12" x14ac:dyDescent="0.25">
      <c r="A273" t="s">
        <v>20</v>
      </c>
      <c r="B273" t="s">
        <v>51</v>
      </c>
      <c r="C273">
        <v>579528</v>
      </c>
      <c r="D273">
        <v>245296</v>
      </c>
      <c r="E273">
        <v>200728</v>
      </c>
      <c r="F273">
        <v>13871</v>
      </c>
      <c r="G273">
        <v>1381</v>
      </c>
      <c r="H273">
        <v>1324</v>
      </c>
      <c r="I273">
        <v>15</v>
      </c>
      <c r="J273">
        <v>7175</v>
      </c>
      <c r="K273">
        <v>8.2654138934279225E-2</v>
      </c>
      <c r="L273" t="s">
        <v>22</v>
      </c>
    </row>
    <row r="274" spans="1:12" x14ac:dyDescent="0.25">
      <c r="A274" t="s">
        <v>20</v>
      </c>
      <c r="B274" t="s">
        <v>51</v>
      </c>
      <c r="C274">
        <v>135862</v>
      </c>
      <c r="D274">
        <v>55742</v>
      </c>
      <c r="E274">
        <v>42187</v>
      </c>
      <c r="F274">
        <v>4406</v>
      </c>
      <c r="G274">
        <v>597</v>
      </c>
      <c r="H274">
        <v>350</v>
      </c>
      <c r="I274">
        <v>23</v>
      </c>
      <c r="J274">
        <v>1438</v>
      </c>
      <c r="K274">
        <v>0.12743262142366132</v>
      </c>
      <c r="L274" t="s">
        <v>22</v>
      </c>
    </row>
    <row r="275" spans="1:12" x14ac:dyDescent="0.25">
      <c r="A275" t="s">
        <v>20</v>
      </c>
      <c r="B275" t="s">
        <v>51</v>
      </c>
      <c r="C275">
        <v>304041</v>
      </c>
      <c r="D275">
        <v>27109</v>
      </c>
      <c r="E275">
        <v>23231</v>
      </c>
      <c r="F275">
        <v>789</v>
      </c>
      <c r="G275">
        <v>134</v>
      </c>
      <c r="H275">
        <v>101</v>
      </c>
      <c r="I275">
        <v>8</v>
      </c>
      <c r="J275">
        <v>937</v>
      </c>
      <c r="K275">
        <v>4.4423399767551976E-2</v>
      </c>
      <c r="L275" t="s">
        <v>22</v>
      </c>
    </row>
    <row r="276" spans="1:12" x14ac:dyDescent="0.25">
      <c r="A276" t="s">
        <v>20</v>
      </c>
      <c r="B276" t="s">
        <v>128</v>
      </c>
      <c r="C276">
        <v>824325</v>
      </c>
      <c r="D276">
        <v>326145</v>
      </c>
      <c r="E276">
        <v>278548</v>
      </c>
      <c r="F276">
        <v>12807</v>
      </c>
      <c r="G276">
        <v>1435</v>
      </c>
      <c r="H276">
        <v>933</v>
      </c>
      <c r="I276">
        <v>4</v>
      </c>
      <c r="J276">
        <v>9430</v>
      </c>
      <c r="K276">
        <v>5.4493300975056363E-2</v>
      </c>
      <c r="L276" t="s">
        <v>29</v>
      </c>
    </row>
    <row r="277" spans="1:12" x14ac:dyDescent="0.25">
      <c r="A277" t="s">
        <v>20</v>
      </c>
      <c r="B277" t="s">
        <v>28</v>
      </c>
      <c r="C277">
        <v>651563</v>
      </c>
      <c r="D277">
        <v>276517</v>
      </c>
      <c r="E277">
        <v>230287</v>
      </c>
      <c r="F277">
        <v>5564</v>
      </c>
      <c r="G277">
        <v>706</v>
      </c>
      <c r="H277">
        <v>244</v>
      </c>
      <c r="I277">
        <v>925</v>
      </c>
      <c r="J277">
        <v>4216</v>
      </c>
      <c r="K277">
        <v>3.2303169523247077E-2</v>
      </c>
      <c r="L277" t="s">
        <v>22</v>
      </c>
    </row>
    <row r="278" spans="1:12" x14ac:dyDescent="0.25">
      <c r="A278" t="s">
        <v>20</v>
      </c>
      <c r="B278" t="s">
        <v>70</v>
      </c>
      <c r="C278">
        <v>319207</v>
      </c>
      <c r="D278">
        <v>109962</v>
      </c>
      <c r="E278">
        <v>81251</v>
      </c>
      <c r="F278">
        <v>2985</v>
      </c>
      <c r="G278">
        <v>396</v>
      </c>
      <c r="H278">
        <v>288</v>
      </c>
      <c r="I278">
        <v>25</v>
      </c>
      <c r="J278">
        <v>1811</v>
      </c>
      <c r="K278">
        <v>4.5464055827005204E-2</v>
      </c>
      <c r="L278" t="s">
        <v>22</v>
      </c>
    </row>
    <row r="279" spans="1:12" x14ac:dyDescent="0.25">
      <c r="A279" t="s">
        <v>20</v>
      </c>
      <c r="B279" t="s">
        <v>40</v>
      </c>
      <c r="C279">
        <v>175035</v>
      </c>
      <c r="D279">
        <v>20132</v>
      </c>
      <c r="E279">
        <v>15035</v>
      </c>
      <c r="F279">
        <v>1196</v>
      </c>
      <c r="G279">
        <v>147</v>
      </c>
      <c r="H279">
        <v>76</v>
      </c>
      <c r="I279">
        <v>38</v>
      </c>
      <c r="J279">
        <v>276</v>
      </c>
      <c r="K279">
        <v>9.6907216494845363E-2</v>
      </c>
      <c r="L279" t="s">
        <v>22</v>
      </c>
    </row>
    <row r="280" spans="1:12" x14ac:dyDescent="0.25">
      <c r="A280" t="s">
        <v>20</v>
      </c>
      <c r="B280" t="s">
        <v>104</v>
      </c>
      <c r="C280">
        <v>110513</v>
      </c>
      <c r="D280">
        <v>67851</v>
      </c>
      <c r="E280">
        <v>55682</v>
      </c>
      <c r="F280">
        <v>1464</v>
      </c>
      <c r="G280">
        <v>131</v>
      </c>
      <c r="H280">
        <v>174</v>
      </c>
      <c r="I280">
        <v>97</v>
      </c>
      <c r="J280">
        <v>873</v>
      </c>
      <c r="K280">
        <v>3.3511727308645524E-2</v>
      </c>
      <c r="L280" t="s">
        <v>22</v>
      </c>
    </row>
    <row r="281" spans="1:12" x14ac:dyDescent="0.25">
      <c r="A281" t="s">
        <v>20</v>
      </c>
      <c r="B281" t="s">
        <v>155</v>
      </c>
      <c r="C281">
        <v>10582</v>
      </c>
      <c r="D281">
        <v>1862</v>
      </c>
      <c r="E281">
        <v>1598</v>
      </c>
      <c r="F281">
        <v>50</v>
      </c>
      <c r="G281">
        <v>8</v>
      </c>
      <c r="H281">
        <v>5</v>
      </c>
      <c r="I281">
        <v>3</v>
      </c>
      <c r="J281">
        <v>17</v>
      </c>
      <c r="K281">
        <v>4.130162703379224E-2</v>
      </c>
      <c r="L281" t="s">
        <v>22</v>
      </c>
    </row>
    <row r="282" spans="1:12" x14ac:dyDescent="0.25">
      <c r="A282" t="s">
        <v>20</v>
      </c>
      <c r="B282" t="s">
        <v>46</v>
      </c>
      <c r="C282">
        <v>44993</v>
      </c>
      <c r="D282">
        <v>16728</v>
      </c>
      <c r="E282">
        <v>14683</v>
      </c>
      <c r="F282">
        <v>1214</v>
      </c>
      <c r="G282">
        <v>37</v>
      </c>
      <c r="H282">
        <v>124</v>
      </c>
      <c r="I282">
        <v>26</v>
      </c>
      <c r="J282">
        <v>288</v>
      </c>
      <c r="K282">
        <v>9.5416468024245721E-2</v>
      </c>
      <c r="L282" t="s">
        <v>22</v>
      </c>
    </row>
    <row r="283" spans="1:12" x14ac:dyDescent="0.25">
      <c r="A283" t="s">
        <v>20</v>
      </c>
      <c r="B283" t="s">
        <v>58</v>
      </c>
      <c r="C283">
        <v>733567</v>
      </c>
      <c r="D283">
        <v>447313</v>
      </c>
      <c r="E283">
        <v>408551</v>
      </c>
      <c r="F283">
        <v>21733</v>
      </c>
      <c r="G283">
        <v>2314</v>
      </c>
      <c r="H283">
        <v>1821</v>
      </c>
      <c r="I283">
        <v>2367</v>
      </c>
      <c r="J283">
        <v>7989</v>
      </c>
      <c r="K283">
        <v>6.9110098861586436E-2</v>
      </c>
      <c r="L283" t="s">
        <v>29</v>
      </c>
    </row>
    <row r="284" spans="1:12" x14ac:dyDescent="0.25">
      <c r="A284" t="s">
        <v>20</v>
      </c>
      <c r="B284" t="s">
        <v>46</v>
      </c>
      <c r="C284">
        <v>590283</v>
      </c>
      <c r="D284">
        <v>131303</v>
      </c>
      <c r="E284">
        <v>113204</v>
      </c>
      <c r="F284">
        <v>5696</v>
      </c>
      <c r="G284">
        <v>494</v>
      </c>
      <c r="H284">
        <v>308</v>
      </c>
      <c r="I284">
        <v>27</v>
      </c>
      <c r="J284">
        <v>3119</v>
      </c>
      <c r="K284">
        <v>5.763930603158899E-2</v>
      </c>
      <c r="L284" t="s">
        <v>22</v>
      </c>
    </row>
    <row r="285" spans="1:12" x14ac:dyDescent="0.25">
      <c r="A285" t="s">
        <v>20</v>
      </c>
      <c r="B285" t="s">
        <v>155</v>
      </c>
      <c r="C285">
        <v>245375</v>
      </c>
      <c r="D285">
        <v>57658</v>
      </c>
      <c r="E285">
        <v>52000</v>
      </c>
      <c r="F285">
        <v>2603</v>
      </c>
      <c r="G285">
        <v>266</v>
      </c>
      <c r="H285">
        <v>322</v>
      </c>
      <c r="I285">
        <v>628</v>
      </c>
      <c r="J285">
        <v>761</v>
      </c>
      <c r="K285">
        <v>7.3442307692307696E-2</v>
      </c>
      <c r="L285" t="s">
        <v>29</v>
      </c>
    </row>
    <row r="286" spans="1:12" x14ac:dyDescent="0.25">
      <c r="A286" t="s">
        <v>20</v>
      </c>
      <c r="B286" t="s">
        <v>46</v>
      </c>
      <c r="C286">
        <v>233893</v>
      </c>
      <c r="D286">
        <v>23092</v>
      </c>
      <c r="E286">
        <v>16710</v>
      </c>
      <c r="F286">
        <v>946</v>
      </c>
      <c r="G286">
        <v>138</v>
      </c>
      <c r="H286">
        <v>22</v>
      </c>
      <c r="I286">
        <v>25</v>
      </c>
      <c r="J286">
        <v>653</v>
      </c>
      <c r="K286">
        <v>6.7684021543985631E-2</v>
      </c>
      <c r="L286" t="s">
        <v>22</v>
      </c>
    </row>
    <row r="287" spans="1:12" x14ac:dyDescent="0.25">
      <c r="A287" t="s">
        <v>20</v>
      </c>
      <c r="B287" t="s">
        <v>21</v>
      </c>
      <c r="C287">
        <v>281949</v>
      </c>
      <c r="D287">
        <v>34028</v>
      </c>
      <c r="E287">
        <v>25179</v>
      </c>
      <c r="F287">
        <v>2509</v>
      </c>
      <c r="G287">
        <v>169</v>
      </c>
      <c r="H287">
        <v>174</v>
      </c>
      <c r="I287">
        <v>131</v>
      </c>
      <c r="J287">
        <v>1165</v>
      </c>
      <c r="K287">
        <v>0.11847174232495333</v>
      </c>
      <c r="L287" t="s">
        <v>29</v>
      </c>
    </row>
    <row r="288" spans="1:12" x14ac:dyDescent="0.25">
      <c r="A288" t="s">
        <v>20</v>
      </c>
      <c r="B288" t="s">
        <v>40</v>
      </c>
      <c r="C288">
        <v>110773</v>
      </c>
      <c r="D288">
        <v>14026</v>
      </c>
      <c r="E288">
        <v>11230</v>
      </c>
      <c r="F288">
        <v>823</v>
      </c>
      <c r="G288">
        <v>139</v>
      </c>
      <c r="H288">
        <v>118</v>
      </c>
      <c r="I288">
        <v>47</v>
      </c>
      <c r="J288">
        <v>333</v>
      </c>
      <c r="K288">
        <v>0.10035618878005342</v>
      </c>
      <c r="L288" t="s">
        <v>66</v>
      </c>
    </row>
    <row r="289" spans="1:12" x14ac:dyDescent="0.25">
      <c r="A289" t="s">
        <v>20</v>
      </c>
      <c r="B289" t="s">
        <v>46</v>
      </c>
      <c r="C289">
        <v>426927</v>
      </c>
      <c r="D289">
        <v>56570</v>
      </c>
      <c r="E289">
        <v>41808</v>
      </c>
      <c r="F289">
        <v>2433</v>
      </c>
      <c r="G289">
        <v>423</v>
      </c>
      <c r="H289">
        <v>165</v>
      </c>
      <c r="I289">
        <v>21</v>
      </c>
      <c r="J289">
        <v>1237</v>
      </c>
      <c r="K289">
        <v>7.2761194029850748E-2</v>
      </c>
      <c r="L289" t="s">
        <v>22</v>
      </c>
    </row>
    <row r="290" spans="1:12" x14ac:dyDescent="0.25">
      <c r="A290" t="s">
        <v>20</v>
      </c>
      <c r="B290" t="s">
        <v>21</v>
      </c>
      <c r="C290">
        <v>526703</v>
      </c>
      <c r="D290">
        <v>227866</v>
      </c>
      <c r="E290">
        <v>190844</v>
      </c>
      <c r="F290">
        <v>5374</v>
      </c>
      <c r="G290">
        <v>680</v>
      </c>
      <c r="H290">
        <v>597</v>
      </c>
      <c r="I290">
        <v>1119</v>
      </c>
      <c r="J290">
        <v>1999</v>
      </c>
      <c r="K290">
        <v>4.0713881494833473E-2</v>
      </c>
      <c r="L290" t="s">
        <v>22</v>
      </c>
    </row>
    <row r="291" spans="1:12" x14ac:dyDescent="0.25">
      <c r="A291" t="s">
        <v>20</v>
      </c>
      <c r="B291" t="s">
        <v>51</v>
      </c>
      <c r="C291">
        <v>137477</v>
      </c>
      <c r="D291">
        <v>21704</v>
      </c>
      <c r="E291">
        <v>15343</v>
      </c>
      <c r="F291">
        <v>850</v>
      </c>
      <c r="G291">
        <v>136</v>
      </c>
      <c r="H291">
        <v>81</v>
      </c>
      <c r="I291">
        <v>11</v>
      </c>
      <c r="J291">
        <v>541</v>
      </c>
      <c r="K291">
        <v>7.0260053444567552E-2</v>
      </c>
      <c r="L291" t="s">
        <v>22</v>
      </c>
    </row>
    <row r="292" spans="1:12" x14ac:dyDescent="0.25">
      <c r="A292" t="s">
        <v>20</v>
      </c>
      <c r="B292" t="s">
        <v>70</v>
      </c>
      <c r="C292">
        <v>559437</v>
      </c>
      <c r="D292">
        <v>139038</v>
      </c>
      <c r="E292">
        <v>113893</v>
      </c>
      <c r="F292">
        <v>6568</v>
      </c>
      <c r="G292">
        <v>961</v>
      </c>
      <c r="H292">
        <v>563</v>
      </c>
      <c r="I292">
        <v>46</v>
      </c>
      <c r="J292">
        <v>1469</v>
      </c>
      <c r="K292">
        <v>7.1453030475973067E-2</v>
      </c>
      <c r="L292" t="s">
        <v>22</v>
      </c>
    </row>
    <row r="293" spans="1:12" x14ac:dyDescent="0.25">
      <c r="A293" t="s">
        <v>20</v>
      </c>
      <c r="B293" t="s">
        <v>58</v>
      </c>
      <c r="C293">
        <v>779390</v>
      </c>
      <c r="D293">
        <v>190862</v>
      </c>
      <c r="E293">
        <v>134750</v>
      </c>
      <c r="F293">
        <v>8499</v>
      </c>
      <c r="G293">
        <v>301</v>
      </c>
      <c r="H293">
        <v>518</v>
      </c>
      <c r="I293">
        <v>860</v>
      </c>
      <c r="J293">
        <v>5183</v>
      </c>
      <c r="K293">
        <v>7.5532467532467534E-2</v>
      </c>
      <c r="L293" t="s">
        <v>22</v>
      </c>
    </row>
    <row r="294" spans="1:12" x14ac:dyDescent="0.25">
      <c r="A294" t="s">
        <v>20</v>
      </c>
      <c r="B294" t="s">
        <v>87</v>
      </c>
      <c r="C294">
        <v>342838</v>
      </c>
      <c r="D294">
        <v>40114</v>
      </c>
      <c r="E294">
        <v>31902</v>
      </c>
      <c r="F294">
        <v>2089</v>
      </c>
      <c r="G294">
        <v>116</v>
      </c>
      <c r="H294">
        <v>69</v>
      </c>
      <c r="I294">
        <v>438</v>
      </c>
      <c r="J294">
        <v>785</v>
      </c>
      <c r="K294">
        <v>8.5010344179048333E-2</v>
      </c>
      <c r="L294" t="s">
        <v>22</v>
      </c>
    </row>
    <row r="295" spans="1:12" x14ac:dyDescent="0.25">
      <c r="A295" t="s">
        <v>20</v>
      </c>
      <c r="B295" t="s">
        <v>21</v>
      </c>
      <c r="C295">
        <v>83159</v>
      </c>
      <c r="D295">
        <v>11110</v>
      </c>
      <c r="E295">
        <v>9125</v>
      </c>
      <c r="F295">
        <v>652</v>
      </c>
      <c r="G295">
        <v>111</v>
      </c>
      <c r="H295">
        <v>88</v>
      </c>
      <c r="I295">
        <v>45</v>
      </c>
      <c r="J295">
        <v>318</v>
      </c>
      <c r="K295">
        <v>9.8191780821917804E-2</v>
      </c>
      <c r="L295" t="s">
        <v>22</v>
      </c>
    </row>
    <row r="296" spans="1:12" x14ac:dyDescent="0.25">
      <c r="A296" t="s">
        <v>20</v>
      </c>
      <c r="B296" t="s">
        <v>73</v>
      </c>
      <c r="C296">
        <v>130774</v>
      </c>
      <c r="D296">
        <v>57586</v>
      </c>
      <c r="E296">
        <v>47211</v>
      </c>
      <c r="F296">
        <v>3398</v>
      </c>
      <c r="G296">
        <v>571</v>
      </c>
      <c r="H296">
        <v>283</v>
      </c>
      <c r="I296">
        <v>673</v>
      </c>
      <c r="J296">
        <v>1883</v>
      </c>
      <c r="K296">
        <v>0.10431890872889793</v>
      </c>
      <c r="L296" t="s">
        <v>29</v>
      </c>
    </row>
    <row r="297" spans="1:12" x14ac:dyDescent="0.25">
      <c r="A297" t="s">
        <v>20</v>
      </c>
      <c r="B297" t="s">
        <v>70</v>
      </c>
      <c r="C297">
        <v>290754</v>
      </c>
      <c r="D297">
        <v>108011</v>
      </c>
      <c r="E297">
        <v>91323</v>
      </c>
      <c r="F297">
        <v>6097</v>
      </c>
      <c r="G297">
        <v>598</v>
      </c>
      <c r="H297">
        <v>158</v>
      </c>
      <c r="I297">
        <v>45</v>
      </c>
      <c r="J297">
        <v>1564</v>
      </c>
      <c r="K297">
        <v>7.5534093273326539E-2</v>
      </c>
      <c r="L297" t="s">
        <v>22</v>
      </c>
    </row>
    <row r="298" spans="1:12" x14ac:dyDescent="0.25">
      <c r="A298" t="s">
        <v>20</v>
      </c>
      <c r="B298" t="s">
        <v>46</v>
      </c>
      <c r="C298">
        <v>442891</v>
      </c>
      <c r="D298">
        <v>109281</v>
      </c>
      <c r="E298">
        <v>81540</v>
      </c>
      <c r="F298">
        <v>7754</v>
      </c>
      <c r="G298">
        <v>748</v>
      </c>
      <c r="H298">
        <v>860</v>
      </c>
      <c r="I298">
        <v>24</v>
      </c>
      <c r="J298">
        <v>1867</v>
      </c>
      <c r="K298">
        <v>0.11510914888398333</v>
      </c>
      <c r="L298" t="s">
        <v>29</v>
      </c>
    </row>
    <row r="299" spans="1:12" x14ac:dyDescent="0.25">
      <c r="A299" t="s">
        <v>20</v>
      </c>
      <c r="B299" t="s">
        <v>58</v>
      </c>
      <c r="C299">
        <v>410648</v>
      </c>
      <c r="D299">
        <v>156119</v>
      </c>
      <c r="E299">
        <v>120197</v>
      </c>
      <c r="F299">
        <v>3518</v>
      </c>
      <c r="G299">
        <v>213</v>
      </c>
      <c r="H299">
        <v>414</v>
      </c>
      <c r="I299">
        <v>441</v>
      </c>
      <c r="J299">
        <v>4018</v>
      </c>
      <c r="K299">
        <v>3.8154030466650585E-2</v>
      </c>
      <c r="L299" t="s">
        <v>22</v>
      </c>
    </row>
    <row r="300" spans="1:12" x14ac:dyDescent="0.25">
      <c r="A300" t="s">
        <v>20</v>
      </c>
      <c r="B300" t="s">
        <v>21</v>
      </c>
      <c r="C300">
        <v>213883</v>
      </c>
      <c r="D300">
        <v>128313</v>
      </c>
      <c r="E300">
        <v>90298</v>
      </c>
      <c r="F300">
        <v>8536</v>
      </c>
      <c r="G300">
        <v>1327</v>
      </c>
      <c r="H300">
        <v>1081</v>
      </c>
      <c r="I300">
        <v>1907</v>
      </c>
      <c r="J300">
        <v>3452</v>
      </c>
      <c r="K300">
        <v>0.14231765930585394</v>
      </c>
      <c r="L300" t="s">
        <v>22</v>
      </c>
    </row>
    <row r="301" spans="1:12" x14ac:dyDescent="0.25">
      <c r="A301" t="s">
        <v>20</v>
      </c>
      <c r="B301" t="s">
        <v>40</v>
      </c>
      <c r="C301">
        <v>718985</v>
      </c>
      <c r="D301">
        <v>86735</v>
      </c>
      <c r="E301">
        <v>67448</v>
      </c>
      <c r="F301">
        <v>3426</v>
      </c>
      <c r="G301">
        <v>181</v>
      </c>
      <c r="H301">
        <v>465</v>
      </c>
      <c r="I301">
        <v>19</v>
      </c>
      <c r="J301">
        <v>1110</v>
      </c>
      <c r="K301">
        <v>6.0654133554738462E-2</v>
      </c>
      <c r="L301" t="s">
        <v>29</v>
      </c>
    </row>
    <row r="302" spans="1:12" x14ac:dyDescent="0.25">
      <c r="A302" t="s">
        <v>20</v>
      </c>
      <c r="B302" t="s">
        <v>104</v>
      </c>
      <c r="C302">
        <v>202683</v>
      </c>
      <c r="D302">
        <v>92736</v>
      </c>
      <c r="E302">
        <v>77855</v>
      </c>
      <c r="F302">
        <v>6271</v>
      </c>
      <c r="G302">
        <v>1075</v>
      </c>
      <c r="H302">
        <v>845</v>
      </c>
      <c r="I302">
        <v>1311</v>
      </c>
      <c r="J302">
        <v>3095</v>
      </c>
      <c r="K302">
        <v>0.1220473957998844</v>
      </c>
      <c r="L302" t="s">
        <v>29</v>
      </c>
    </row>
    <row r="303" spans="1:12" x14ac:dyDescent="0.25">
      <c r="A303" t="s">
        <v>20</v>
      </c>
      <c r="B303" t="s">
        <v>58</v>
      </c>
      <c r="C303">
        <v>285876</v>
      </c>
      <c r="D303">
        <v>1262433</v>
      </c>
      <c r="E303">
        <v>1015139</v>
      </c>
      <c r="F303">
        <v>82710</v>
      </c>
      <c r="G303">
        <v>8763</v>
      </c>
      <c r="H303">
        <v>6256</v>
      </c>
      <c r="I303">
        <v>11087</v>
      </c>
      <c r="J303">
        <v>20372</v>
      </c>
      <c r="K303">
        <v>0.10719320211320814</v>
      </c>
      <c r="L303" t="s">
        <v>66</v>
      </c>
    </row>
    <row r="304" spans="1:12" x14ac:dyDescent="0.25">
      <c r="A304" t="s">
        <v>20</v>
      </c>
      <c r="B304" t="s">
        <v>40</v>
      </c>
      <c r="C304">
        <v>57403</v>
      </c>
      <c r="D304">
        <v>30688</v>
      </c>
      <c r="E304">
        <v>25629</v>
      </c>
      <c r="F304">
        <v>925</v>
      </c>
      <c r="G304">
        <v>97</v>
      </c>
      <c r="H304">
        <v>55</v>
      </c>
      <c r="I304">
        <v>40</v>
      </c>
      <c r="J304">
        <v>418</v>
      </c>
      <c r="K304">
        <v>4.3583440633657183E-2</v>
      </c>
      <c r="L304" t="s">
        <v>29</v>
      </c>
    </row>
    <row r="305" spans="1:12" x14ac:dyDescent="0.25">
      <c r="A305" t="s">
        <v>20</v>
      </c>
      <c r="B305" t="s">
        <v>58</v>
      </c>
      <c r="C305">
        <v>62875</v>
      </c>
      <c r="D305">
        <v>20890</v>
      </c>
      <c r="E305">
        <v>17235</v>
      </c>
      <c r="F305">
        <v>1181</v>
      </c>
      <c r="G305">
        <v>47</v>
      </c>
      <c r="H305">
        <v>108</v>
      </c>
      <c r="I305">
        <v>111</v>
      </c>
      <c r="J305">
        <v>122</v>
      </c>
      <c r="K305">
        <v>8.3957064113722071E-2</v>
      </c>
      <c r="L305" t="s">
        <v>29</v>
      </c>
    </row>
    <row r="306" spans="1:12" x14ac:dyDescent="0.25">
      <c r="A306" t="s">
        <v>20</v>
      </c>
      <c r="B306" t="s">
        <v>155</v>
      </c>
      <c r="C306">
        <v>304159</v>
      </c>
      <c r="D306">
        <v>1405846</v>
      </c>
      <c r="E306">
        <v>1078460</v>
      </c>
      <c r="F306">
        <v>67862</v>
      </c>
      <c r="G306">
        <v>5414</v>
      </c>
      <c r="H306">
        <v>7885</v>
      </c>
      <c r="I306">
        <v>6268</v>
      </c>
      <c r="J306">
        <v>30074</v>
      </c>
      <c r="K306">
        <v>8.1068375275856308E-2</v>
      </c>
      <c r="L306" t="s">
        <v>29</v>
      </c>
    </row>
    <row r="307" spans="1:12" x14ac:dyDescent="0.25">
      <c r="A307" t="s">
        <v>20</v>
      </c>
      <c r="B307" t="s">
        <v>155</v>
      </c>
      <c r="C307">
        <v>29273</v>
      </c>
      <c r="D307">
        <v>9558</v>
      </c>
      <c r="E307">
        <v>7146</v>
      </c>
      <c r="F307">
        <v>678</v>
      </c>
      <c r="G307">
        <v>34</v>
      </c>
      <c r="H307">
        <v>75</v>
      </c>
      <c r="I307">
        <v>128</v>
      </c>
      <c r="J307">
        <v>108</v>
      </c>
      <c r="K307">
        <v>0.12804366078925272</v>
      </c>
      <c r="L307" t="s">
        <v>29</v>
      </c>
    </row>
    <row r="308" spans="1:12" x14ac:dyDescent="0.25">
      <c r="A308" t="s">
        <v>20</v>
      </c>
      <c r="B308" t="s">
        <v>21</v>
      </c>
      <c r="C308">
        <v>60689</v>
      </c>
      <c r="D308">
        <v>25780</v>
      </c>
      <c r="E308">
        <v>19747</v>
      </c>
      <c r="F308">
        <v>1830</v>
      </c>
      <c r="G308">
        <v>193</v>
      </c>
      <c r="H308">
        <v>157</v>
      </c>
      <c r="I308">
        <v>111</v>
      </c>
      <c r="J308">
        <v>723</v>
      </c>
      <c r="K308">
        <v>0.11601762293006533</v>
      </c>
      <c r="L308" t="s">
        <v>22</v>
      </c>
    </row>
    <row r="309" spans="1:12" x14ac:dyDescent="0.25">
      <c r="A309" t="s">
        <v>20</v>
      </c>
      <c r="B309" t="s">
        <v>70</v>
      </c>
      <c r="C309">
        <v>845840</v>
      </c>
      <c r="D309">
        <v>395983</v>
      </c>
      <c r="E309">
        <v>310520</v>
      </c>
      <c r="F309">
        <v>26189</v>
      </c>
      <c r="G309">
        <v>3799</v>
      </c>
      <c r="H309">
        <v>3037</v>
      </c>
      <c r="I309">
        <v>2</v>
      </c>
      <c r="J309">
        <v>4813</v>
      </c>
      <c r="K309">
        <v>0.106360298853536</v>
      </c>
      <c r="L309" t="s">
        <v>22</v>
      </c>
    </row>
    <row r="310" spans="1:12" x14ac:dyDescent="0.25">
      <c r="A310" t="s">
        <v>20</v>
      </c>
      <c r="B310" t="s">
        <v>70</v>
      </c>
      <c r="C310">
        <v>333025</v>
      </c>
      <c r="D310">
        <v>201850</v>
      </c>
      <c r="E310">
        <v>172017</v>
      </c>
      <c r="F310">
        <v>9734</v>
      </c>
      <c r="G310">
        <v>761</v>
      </c>
      <c r="H310">
        <v>1178</v>
      </c>
      <c r="I310">
        <v>38</v>
      </c>
      <c r="J310">
        <v>1440</v>
      </c>
      <c r="K310">
        <v>6.8080480417633135E-2</v>
      </c>
      <c r="L310" t="s">
        <v>22</v>
      </c>
    </row>
    <row r="311" spans="1:12" x14ac:dyDescent="0.25">
      <c r="A311" t="s">
        <v>20</v>
      </c>
      <c r="B311" t="s">
        <v>35</v>
      </c>
      <c r="C311">
        <v>44773</v>
      </c>
      <c r="D311">
        <v>22256</v>
      </c>
      <c r="E311">
        <v>17018</v>
      </c>
      <c r="F311">
        <v>1775</v>
      </c>
      <c r="G311">
        <v>126</v>
      </c>
      <c r="H311">
        <v>139</v>
      </c>
      <c r="I311">
        <v>35</v>
      </c>
      <c r="J311">
        <v>517</v>
      </c>
      <c r="K311">
        <v>0.12192972147138324</v>
      </c>
      <c r="L311" t="s">
        <v>29</v>
      </c>
    </row>
    <row r="312" spans="1:12" x14ac:dyDescent="0.25">
      <c r="A312" t="s">
        <v>20</v>
      </c>
      <c r="B312" t="s">
        <v>51</v>
      </c>
      <c r="C312">
        <v>313771</v>
      </c>
      <c r="D312">
        <v>84033</v>
      </c>
      <c r="E312">
        <v>70820</v>
      </c>
      <c r="F312">
        <v>1961</v>
      </c>
      <c r="G312">
        <v>112</v>
      </c>
      <c r="H312">
        <v>125</v>
      </c>
      <c r="I312">
        <v>14</v>
      </c>
      <c r="J312">
        <v>498</v>
      </c>
      <c r="K312">
        <v>3.1234114656876588E-2</v>
      </c>
      <c r="L312" t="s">
        <v>66</v>
      </c>
    </row>
    <row r="313" spans="1:12" x14ac:dyDescent="0.25">
      <c r="A313" t="s">
        <v>20</v>
      </c>
      <c r="B313" t="s">
        <v>21</v>
      </c>
      <c r="C313">
        <v>140435</v>
      </c>
      <c r="D313">
        <v>72267</v>
      </c>
      <c r="E313">
        <v>60395</v>
      </c>
      <c r="F313">
        <v>4071</v>
      </c>
      <c r="G313">
        <v>496</v>
      </c>
      <c r="H313">
        <v>397</v>
      </c>
      <c r="I313">
        <v>391</v>
      </c>
      <c r="J313">
        <v>417</v>
      </c>
      <c r="K313">
        <v>8.8666280321218649E-2</v>
      </c>
      <c r="L313" t="s">
        <v>22</v>
      </c>
    </row>
    <row r="314" spans="1:12" x14ac:dyDescent="0.25">
      <c r="A314" t="s">
        <v>20</v>
      </c>
      <c r="B314" t="s">
        <v>104</v>
      </c>
      <c r="C314">
        <v>12821</v>
      </c>
      <c r="D314">
        <v>70972</v>
      </c>
      <c r="E314">
        <v>54325</v>
      </c>
      <c r="F314">
        <v>4197</v>
      </c>
      <c r="G314">
        <v>540</v>
      </c>
      <c r="H314">
        <v>338</v>
      </c>
      <c r="I314">
        <v>544</v>
      </c>
      <c r="J314">
        <v>2143</v>
      </c>
      <c r="K314">
        <v>0.10343304187758859</v>
      </c>
      <c r="L314" t="s">
        <v>29</v>
      </c>
    </row>
    <row r="315" spans="1:12" x14ac:dyDescent="0.25">
      <c r="A315" t="s">
        <v>20</v>
      </c>
      <c r="B315" t="s">
        <v>65</v>
      </c>
      <c r="C315">
        <v>649533</v>
      </c>
      <c r="D315">
        <v>172249</v>
      </c>
      <c r="E315">
        <v>154209</v>
      </c>
      <c r="F315">
        <v>7863</v>
      </c>
      <c r="G315">
        <v>1151</v>
      </c>
      <c r="H315">
        <v>778</v>
      </c>
      <c r="I315">
        <v>1689</v>
      </c>
      <c r="J315">
        <v>4582</v>
      </c>
      <c r="K315">
        <v>7.4450907534579697E-2</v>
      </c>
      <c r="L315" t="s">
        <v>22</v>
      </c>
    </row>
    <row r="316" spans="1:12" x14ac:dyDescent="0.25">
      <c r="A316" t="s">
        <v>20</v>
      </c>
      <c r="B316" t="s">
        <v>70</v>
      </c>
      <c r="C316">
        <v>433180</v>
      </c>
      <c r="D316">
        <v>66459</v>
      </c>
      <c r="E316">
        <v>52617</v>
      </c>
      <c r="F316">
        <v>1618</v>
      </c>
      <c r="G316">
        <v>158</v>
      </c>
      <c r="H316">
        <v>228</v>
      </c>
      <c r="I316">
        <v>37</v>
      </c>
      <c r="J316">
        <v>1146</v>
      </c>
      <c r="K316">
        <v>3.8789744759298327E-2</v>
      </c>
      <c r="L316" t="s">
        <v>22</v>
      </c>
    </row>
    <row r="317" spans="1:12" x14ac:dyDescent="0.25">
      <c r="A317" t="s">
        <v>20</v>
      </c>
      <c r="B317" t="s">
        <v>128</v>
      </c>
      <c r="C317">
        <v>540605</v>
      </c>
      <c r="D317">
        <v>52938</v>
      </c>
      <c r="E317">
        <v>47517</v>
      </c>
      <c r="F317">
        <v>4110</v>
      </c>
      <c r="G317">
        <v>163</v>
      </c>
      <c r="H317">
        <v>167</v>
      </c>
      <c r="I317">
        <v>9</v>
      </c>
      <c r="J317">
        <v>1104</v>
      </c>
      <c r="K317">
        <v>9.3629648336384874E-2</v>
      </c>
      <c r="L317" t="s">
        <v>29</v>
      </c>
    </row>
    <row r="318" spans="1:12" x14ac:dyDescent="0.25">
      <c r="A318" t="s">
        <v>20</v>
      </c>
      <c r="B318" t="s">
        <v>155</v>
      </c>
      <c r="C318">
        <v>773093</v>
      </c>
      <c r="D318">
        <v>242657</v>
      </c>
      <c r="E318">
        <v>218505</v>
      </c>
      <c r="F318">
        <v>14205</v>
      </c>
      <c r="G318">
        <v>2079</v>
      </c>
      <c r="H318">
        <v>1418</v>
      </c>
      <c r="I318">
        <v>2900</v>
      </c>
      <c r="J318">
        <v>4504</v>
      </c>
      <c r="K318">
        <v>9.4286171941145511E-2</v>
      </c>
      <c r="L318" t="s">
        <v>29</v>
      </c>
    </row>
    <row r="319" spans="1:12" x14ac:dyDescent="0.25">
      <c r="A319" t="s">
        <v>20</v>
      </c>
      <c r="B319" t="s">
        <v>104</v>
      </c>
      <c r="C319">
        <v>500969</v>
      </c>
      <c r="D319">
        <v>87746</v>
      </c>
      <c r="E319">
        <v>61636</v>
      </c>
      <c r="F319">
        <v>4476</v>
      </c>
      <c r="G319">
        <v>358</v>
      </c>
      <c r="H319">
        <v>495</v>
      </c>
      <c r="I319">
        <v>805</v>
      </c>
      <c r="J319">
        <v>2643</v>
      </c>
      <c r="K319">
        <v>9.9519761178532021E-2</v>
      </c>
      <c r="L319" t="s">
        <v>22</v>
      </c>
    </row>
    <row r="320" spans="1:12" x14ac:dyDescent="0.25">
      <c r="A320" t="s">
        <v>20</v>
      </c>
      <c r="B320" t="s">
        <v>54</v>
      </c>
      <c r="C320">
        <v>442463</v>
      </c>
      <c r="D320">
        <v>219546</v>
      </c>
      <c r="E320">
        <v>167630</v>
      </c>
      <c r="F320">
        <v>6771</v>
      </c>
      <c r="G320">
        <v>1115</v>
      </c>
      <c r="H320">
        <v>980</v>
      </c>
      <c r="I320">
        <v>343</v>
      </c>
      <c r="J320">
        <v>6138</v>
      </c>
      <c r="K320">
        <v>5.4936467219471458E-2</v>
      </c>
      <c r="L320" t="s">
        <v>22</v>
      </c>
    </row>
    <row r="321" spans="1:12" x14ac:dyDescent="0.25">
      <c r="A321" t="s">
        <v>20</v>
      </c>
      <c r="B321" t="s">
        <v>35</v>
      </c>
      <c r="C321">
        <v>794194</v>
      </c>
      <c r="D321">
        <v>314078</v>
      </c>
      <c r="E321">
        <v>282133</v>
      </c>
      <c r="F321">
        <v>21020</v>
      </c>
      <c r="G321">
        <v>1790</v>
      </c>
      <c r="H321">
        <v>1231</v>
      </c>
      <c r="I321">
        <v>44</v>
      </c>
      <c r="J321">
        <v>2391</v>
      </c>
      <c r="K321">
        <v>8.5367539422896294E-2</v>
      </c>
      <c r="L321" t="s">
        <v>22</v>
      </c>
    </row>
    <row r="322" spans="1:12" x14ac:dyDescent="0.25">
      <c r="A322" t="s">
        <v>20</v>
      </c>
      <c r="B322" t="s">
        <v>104</v>
      </c>
      <c r="C322">
        <v>532228</v>
      </c>
      <c r="D322">
        <v>201104</v>
      </c>
      <c r="E322">
        <v>150164</v>
      </c>
      <c r="F322">
        <v>4640</v>
      </c>
      <c r="G322">
        <v>645</v>
      </c>
      <c r="H322">
        <v>142</v>
      </c>
      <c r="I322">
        <v>930</v>
      </c>
      <c r="J322">
        <v>6092</v>
      </c>
      <c r="K322">
        <v>4.2333715138115659E-2</v>
      </c>
      <c r="L322" t="s">
        <v>66</v>
      </c>
    </row>
    <row r="323" spans="1:12" x14ac:dyDescent="0.25">
      <c r="A323" t="s">
        <v>20</v>
      </c>
      <c r="B323" t="s">
        <v>40</v>
      </c>
      <c r="C323">
        <v>820630</v>
      </c>
      <c r="D323">
        <v>73136</v>
      </c>
      <c r="E323">
        <v>51718</v>
      </c>
      <c r="F323">
        <v>4889</v>
      </c>
      <c r="G323">
        <v>496</v>
      </c>
      <c r="H323">
        <v>147</v>
      </c>
      <c r="I323">
        <v>43</v>
      </c>
      <c r="J323">
        <v>1303</v>
      </c>
      <c r="K323">
        <v>0.1077961251401833</v>
      </c>
      <c r="L323" t="s">
        <v>22</v>
      </c>
    </row>
    <row r="324" spans="1:12" x14ac:dyDescent="0.25">
      <c r="A324" t="s">
        <v>20</v>
      </c>
      <c r="B324" t="s">
        <v>35</v>
      </c>
      <c r="C324">
        <v>772094</v>
      </c>
      <c r="D324">
        <v>89589</v>
      </c>
      <c r="E324">
        <v>82012</v>
      </c>
      <c r="F324">
        <v>1809</v>
      </c>
      <c r="G324">
        <v>146</v>
      </c>
      <c r="H324">
        <v>153</v>
      </c>
      <c r="I324">
        <v>21</v>
      </c>
      <c r="J324">
        <v>2129</v>
      </c>
      <c r="K324">
        <v>2.5959615666000097E-2</v>
      </c>
      <c r="L324" t="s">
        <v>22</v>
      </c>
    </row>
    <row r="325" spans="1:12" x14ac:dyDescent="0.25">
      <c r="A325" t="s">
        <v>20</v>
      </c>
      <c r="B325" t="s">
        <v>51</v>
      </c>
      <c r="C325">
        <v>752668</v>
      </c>
      <c r="D325">
        <v>209927</v>
      </c>
      <c r="E325">
        <v>160236</v>
      </c>
      <c r="F325">
        <v>15728</v>
      </c>
      <c r="G325">
        <v>935</v>
      </c>
      <c r="H325">
        <v>679</v>
      </c>
      <c r="I325">
        <v>30</v>
      </c>
      <c r="J325">
        <v>5196</v>
      </c>
      <c r="K325">
        <v>0.10841508774557528</v>
      </c>
      <c r="L325" t="s">
        <v>22</v>
      </c>
    </row>
    <row r="326" spans="1:12" x14ac:dyDescent="0.25">
      <c r="A326" t="s">
        <v>20</v>
      </c>
      <c r="B326" t="s">
        <v>28</v>
      </c>
      <c r="C326">
        <v>488704</v>
      </c>
      <c r="D326">
        <v>303628</v>
      </c>
      <c r="E326">
        <v>238077</v>
      </c>
      <c r="F326">
        <v>6178</v>
      </c>
      <c r="G326">
        <v>228</v>
      </c>
      <c r="H326">
        <v>898</v>
      </c>
      <c r="I326">
        <v>1460</v>
      </c>
      <c r="J326">
        <v>2825</v>
      </c>
      <c r="K326">
        <v>3.681161977007439E-2</v>
      </c>
      <c r="L326" t="s">
        <v>22</v>
      </c>
    </row>
    <row r="327" spans="1:12" x14ac:dyDescent="0.25">
      <c r="A327" t="s">
        <v>20</v>
      </c>
      <c r="B327" t="s">
        <v>65</v>
      </c>
      <c r="C327">
        <v>173639</v>
      </c>
      <c r="D327">
        <v>26981</v>
      </c>
      <c r="E327">
        <v>22076</v>
      </c>
      <c r="F327">
        <v>1101</v>
      </c>
      <c r="G327">
        <v>156</v>
      </c>
      <c r="H327">
        <v>99</v>
      </c>
      <c r="I327">
        <v>197</v>
      </c>
      <c r="J327">
        <v>234</v>
      </c>
      <c r="K327">
        <v>7.0347889110346076E-2</v>
      </c>
      <c r="L327" t="s">
        <v>29</v>
      </c>
    </row>
    <row r="328" spans="1:12" x14ac:dyDescent="0.25">
      <c r="A328" t="s">
        <v>20</v>
      </c>
      <c r="B328" t="s">
        <v>146</v>
      </c>
      <c r="C328">
        <v>218810</v>
      </c>
      <c r="D328">
        <v>136913</v>
      </c>
      <c r="E328">
        <v>106607</v>
      </c>
      <c r="F328">
        <v>3072</v>
      </c>
      <c r="G328">
        <v>465</v>
      </c>
      <c r="H328">
        <v>423</v>
      </c>
      <c r="I328">
        <v>648</v>
      </c>
      <c r="J328">
        <v>2097</v>
      </c>
      <c r="K328">
        <v>4.3224178524862343E-2</v>
      </c>
      <c r="L328" t="s">
        <v>66</v>
      </c>
    </row>
    <row r="329" spans="1:12" x14ac:dyDescent="0.25">
      <c r="A329" t="s">
        <v>20</v>
      </c>
      <c r="B329" t="s">
        <v>70</v>
      </c>
      <c r="C329">
        <v>502520</v>
      </c>
      <c r="D329">
        <v>155475</v>
      </c>
      <c r="E329">
        <v>124410</v>
      </c>
      <c r="F329">
        <v>5033</v>
      </c>
      <c r="G329">
        <v>196</v>
      </c>
      <c r="H329">
        <v>215</v>
      </c>
      <c r="I329">
        <v>41</v>
      </c>
      <c r="J329">
        <v>1464</v>
      </c>
      <c r="K329">
        <v>4.4088095812233746E-2</v>
      </c>
      <c r="L329" t="s">
        <v>22</v>
      </c>
    </row>
    <row r="330" spans="1:12" x14ac:dyDescent="0.25">
      <c r="A330" t="s">
        <v>20</v>
      </c>
      <c r="B330" t="s">
        <v>78</v>
      </c>
      <c r="C330">
        <v>433982</v>
      </c>
      <c r="D330">
        <v>216967</v>
      </c>
      <c r="E330">
        <v>180295</v>
      </c>
      <c r="F330">
        <v>10371</v>
      </c>
      <c r="G330">
        <v>1416</v>
      </c>
      <c r="H330">
        <v>671</v>
      </c>
      <c r="I330">
        <v>847</v>
      </c>
      <c r="J330">
        <v>6620</v>
      </c>
      <c r="K330">
        <v>7.3795723675088049E-2</v>
      </c>
      <c r="L330" t="s">
        <v>22</v>
      </c>
    </row>
    <row r="331" spans="1:12" x14ac:dyDescent="0.25">
      <c r="A331" t="s">
        <v>20</v>
      </c>
      <c r="B331" t="s">
        <v>58</v>
      </c>
      <c r="C331">
        <v>8819</v>
      </c>
      <c r="D331">
        <v>833</v>
      </c>
      <c r="E331">
        <v>756</v>
      </c>
      <c r="F331">
        <v>46</v>
      </c>
      <c r="G331">
        <v>2</v>
      </c>
      <c r="H331">
        <v>2</v>
      </c>
      <c r="I331">
        <v>6</v>
      </c>
      <c r="J331">
        <v>6</v>
      </c>
      <c r="K331">
        <v>7.407407407407407E-2</v>
      </c>
      <c r="L331" t="s">
        <v>66</v>
      </c>
    </row>
    <row r="332" spans="1:12" x14ac:dyDescent="0.25">
      <c r="A332" t="s">
        <v>20</v>
      </c>
      <c r="B332" t="s">
        <v>51</v>
      </c>
      <c r="C332">
        <v>350974</v>
      </c>
      <c r="D332">
        <v>178467</v>
      </c>
      <c r="E332">
        <v>145660</v>
      </c>
      <c r="F332">
        <v>14076</v>
      </c>
      <c r="G332">
        <v>2308</v>
      </c>
      <c r="H332">
        <v>621</v>
      </c>
      <c r="I332">
        <v>33</v>
      </c>
      <c r="J332">
        <v>5357</v>
      </c>
      <c r="K332">
        <v>0.11697102842235342</v>
      </c>
      <c r="L332" t="s">
        <v>66</v>
      </c>
    </row>
    <row r="333" spans="1:12" x14ac:dyDescent="0.25">
      <c r="A333" t="s">
        <v>20</v>
      </c>
      <c r="B333" t="s">
        <v>58</v>
      </c>
      <c r="C333">
        <v>292588</v>
      </c>
      <c r="D333">
        <v>152288</v>
      </c>
      <c r="E333">
        <v>110543</v>
      </c>
      <c r="F333">
        <v>4410</v>
      </c>
      <c r="G333">
        <v>313</v>
      </c>
      <c r="H333">
        <v>96</v>
      </c>
      <c r="I333">
        <v>769</v>
      </c>
      <c r="J333">
        <v>3109</v>
      </c>
      <c r="K333">
        <v>5.0550464525116925E-2</v>
      </c>
      <c r="L333" t="s">
        <v>22</v>
      </c>
    </row>
    <row r="334" spans="1:12" x14ac:dyDescent="0.25">
      <c r="A334" t="s">
        <v>20</v>
      </c>
      <c r="B334" t="s">
        <v>46</v>
      </c>
      <c r="C334">
        <v>579165</v>
      </c>
      <c r="D334">
        <v>47369</v>
      </c>
      <c r="E334">
        <v>41705</v>
      </c>
      <c r="F334">
        <v>3449</v>
      </c>
      <c r="G334">
        <v>246</v>
      </c>
      <c r="H334">
        <v>292</v>
      </c>
      <c r="I334">
        <v>16</v>
      </c>
      <c r="J334">
        <v>1329</v>
      </c>
      <c r="K334">
        <v>9.5983695000599445E-2</v>
      </c>
      <c r="L334" t="s">
        <v>22</v>
      </c>
    </row>
    <row r="335" spans="1:12" x14ac:dyDescent="0.25">
      <c r="A335" t="s">
        <v>20</v>
      </c>
      <c r="B335" t="s">
        <v>104</v>
      </c>
      <c r="C335">
        <v>357807</v>
      </c>
      <c r="D335">
        <v>36847</v>
      </c>
      <c r="E335">
        <v>30329</v>
      </c>
      <c r="F335">
        <v>971</v>
      </c>
      <c r="G335">
        <v>160</v>
      </c>
      <c r="H335">
        <v>42</v>
      </c>
      <c r="I335">
        <v>104</v>
      </c>
      <c r="J335">
        <v>200</v>
      </c>
      <c r="K335">
        <v>4.2104916086913517E-2</v>
      </c>
      <c r="L335" t="s">
        <v>29</v>
      </c>
    </row>
    <row r="336" spans="1:12" x14ac:dyDescent="0.25">
      <c r="A336" t="s">
        <v>20</v>
      </c>
      <c r="B336" t="s">
        <v>128</v>
      </c>
      <c r="C336">
        <v>789154</v>
      </c>
      <c r="D336">
        <v>399388</v>
      </c>
      <c r="E336">
        <v>351852</v>
      </c>
      <c r="F336">
        <v>26246</v>
      </c>
      <c r="G336">
        <v>2971</v>
      </c>
      <c r="H336">
        <v>680</v>
      </c>
      <c r="I336">
        <v>47</v>
      </c>
      <c r="J336">
        <v>3254</v>
      </c>
      <c r="K336">
        <v>8.5103964166751936E-2</v>
      </c>
      <c r="L336" t="s">
        <v>29</v>
      </c>
    </row>
    <row r="337" spans="1:12" x14ac:dyDescent="0.25">
      <c r="A337" t="s">
        <v>20</v>
      </c>
      <c r="B337" t="s">
        <v>104</v>
      </c>
      <c r="C337">
        <v>263676</v>
      </c>
      <c r="D337">
        <v>1188942</v>
      </c>
      <c r="E337">
        <v>912488</v>
      </c>
      <c r="F337">
        <v>47845</v>
      </c>
      <c r="G337">
        <v>5646</v>
      </c>
      <c r="H337">
        <v>2745</v>
      </c>
      <c r="I337">
        <v>10759</v>
      </c>
      <c r="J337">
        <v>23874</v>
      </c>
      <c r="K337">
        <v>7.3420143607367983E-2</v>
      </c>
      <c r="L337" t="s">
        <v>22</v>
      </c>
    </row>
    <row r="338" spans="1:12" x14ac:dyDescent="0.25">
      <c r="A338" t="s">
        <v>20</v>
      </c>
      <c r="B338" t="s">
        <v>28</v>
      </c>
      <c r="C338">
        <v>587955</v>
      </c>
      <c r="D338">
        <v>74877</v>
      </c>
      <c r="E338">
        <v>61222</v>
      </c>
      <c r="F338">
        <v>2230</v>
      </c>
      <c r="G338">
        <v>173</v>
      </c>
      <c r="H338">
        <v>74</v>
      </c>
      <c r="I338">
        <v>414</v>
      </c>
      <c r="J338">
        <v>2229</v>
      </c>
      <c r="K338">
        <v>4.7221587011205123E-2</v>
      </c>
      <c r="L338" t="s">
        <v>29</v>
      </c>
    </row>
    <row r="339" spans="1:12" x14ac:dyDescent="0.25">
      <c r="A339" t="s">
        <v>20</v>
      </c>
      <c r="B339" t="s">
        <v>58</v>
      </c>
      <c r="C339">
        <v>150074</v>
      </c>
      <c r="D339">
        <v>459215</v>
      </c>
      <c r="E339">
        <v>371649</v>
      </c>
      <c r="F339">
        <v>28163</v>
      </c>
      <c r="G339">
        <v>4667</v>
      </c>
      <c r="H339">
        <v>2275</v>
      </c>
      <c r="I339">
        <v>5856</v>
      </c>
      <c r="J339">
        <v>7235</v>
      </c>
      <c r="K339">
        <v>0.11021420749147717</v>
      </c>
      <c r="L339" t="s">
        <v>66</v>
      </c>
    </row>
    <row r="340" spans="1:12" x14ac:dyDescent="0.25">
      <c r="A340" t="s">
        <v>20</v>
      </c>
      <c r="B340" t="s">
        <v>155</v>
      </c>
      <c r="C340">
        <v>611479</v>
      </c>
      <c r="D340">
        <v>270637</v>
      </c>
      <c r="E340">
        <v>234522</v>
      </c>
      <c r="F340">
        <v>16144</v>
      </c>
      <c r="G340">
        <v>1581</v>
      </c>
      <c r="H340">
        <v>934</v>
      </c>
      <c r="I340">
        <v>2794</v>
      </c>
      <c r="J340">
        <v>4983</v>
      </c>
      <c r="K340">
        <v>9.147542661242869E-2</v>
      </c>
      <c r="L340" t="s">
        <v>22</v>
      </c>
    </row>
    <row r="341" spans="1:12" x14ac:dyDescent="0.25">
      <c r="A341" t="s">
        <v>20</v>
      </c>
      <c r="B341" t="s">
        <v>65</v>
      </c>
      <c r="C341">
        <v>213831</v>
      </c>
      <c r="D341">
        <v>107564</v>
      </c>
      <c r="E341">
        <v>91226</v>
      </c>
      <c r="F341">
        <v>8250</v>
      </c>
      <c r="G341">
        <v>961</v>
      </c>
      <c r="H341">
        <v>658</v>
      </c>
      <c r="I341">
        <v>1594</v>
      </c>
      <c r="J341">
        <v>682</v>
      </c>
      <c r="K341">
        <v>0.12565496678578475</v>
      </c>
      <c r="L341" t="s">
        <v>22</v>
      </c>
    </row>
    <row r="342" spans="1:12" x14ac:dyDescent="0.25">
      <c r="A342" t="s">
        <v>20</v>
      </c>
      <c r="B342" t="s">
        <v>58</v>
      </c>
      <c r="C342">
        <v>738833</v>
      </c>
      <c r="D342">
        <v>322406</v>
      </c>
      <c r="E342">
        <v>252835</v>
      </c>
      <c r="F342">
        <v>13829</v>
      </c>
      <c r="G342">
        <v>1545</v>
      </c>
      <c r="H342">
        <v>1467</v>
      </c>
      <c r="I342">
        <v>2004</v>
      </c>
      <c r="J342">
        <v>3432</v>
      </c>
      <c r="K342">
        <v>7.4534775644194834E-2</v>
      </c>
      <c r="L342" t="s">
        <v>22</v>
      </c>
    </row>
    <row r="343" spans="1:12" x14ac:dyDescent="0.25">
      <c r="A343" t="s">
        <v>20</v>
      </c>
      <c r="B343" t="s">
        <v>128</v>
      </c>
      <c r="C343">
        <v>644424</v>
      </c>
      <c r="D343">
        <v>2463446</v>
      </c>
      <c r="E343">
        <v>2140699</v>
      </c>
      <c r="F343">
        <v>133242</v>
      </c>
      <c r="G343">
        <v>5795</v>
      </c>
      <c r="H343">
        <v>7031</v>
      </c>
      <c r="I343">
        <v>25</v>
      </c>
      <c r="J343">
        <v>71315</v>
      </c>
      <c r="K343">
        <v>6.8245465616604675E-2</v>
      </c>
      <c r="L343" t="s">
        <v>22</v>
      </c>
    </row>
    <row r="344" spans="1:12" x14ac:dyDescent="0.25">
      <c r="A344" t="s">
        <v>20</v>
      </c>
      <c r="B344" t="s">
        <v>70</v>
      </c>
      <c r="C344">
        <v>460919</v>
      </c>
      <c r="D344">
        <v>50102</v>
      </c>
      <c r="E344">
        <v>43194</v>
      </c>
      <c r="F344">
        <v>3298</v>
      </c>
      <c r="G344">
        <v>560</v>
      </c>
      <c r="H344">
        <v>395</v>
      </c>
      <c r="I344">
        <v>12</v>
      </c>
      <c r="J344">
        <v>841</v>
      </c>
      <c r="K344">
        <v>9.8740565819326762E-2</v>
      </c>
      <c r="L344" t="s">
        <v>66</v>
      </c>
    </row>
    <row r="345" spans="1:12" x14ac:dyDescent="0.25">
      <c r="A345" t="s">
        <v>20</v>
      </c>
      <c r="B345" t="s">
        <v>46</v>
      </c>
      <c r="C345">
        <v>569247</v>
      </c>
      <c r="D345">
        <v>367858</v>
      </c>
      <c r="E345">
        <v>280608</v>
      </c>
      <c r="F345">
        <v>20746</v>
      </c>
      <c r="G345">
        <v>2289</v>
      </c>
      <c r="H345">
        <v>1530</v>
      </c>
      <c r="I345">
        <v>30</v>
      </c>
      <c r="J345">
        <v>7975</v>
      </c>
      <c r="K345">
        <v>8.7648962253392637E-2</v>
      </c>
      <c r="L345" t="s">
        <v>29</v>
      </c>
    </row>
    <row r="346" spans="1:12" x14ac:dyDescent="0.25">
      <c r="A346" t="s">
        <v>20</v>
      </c>
      <c r="B346" t="s">
        <v>58</v>
      </c>
      <c r="C346">
        <v>220881</v>
      </c>
      <c r="D346">
        <v>113356</v>
      </c>
      <c r="E346">
        <v>91999</v>
      </c>
      <c r="F346">
        <v>3665</v>
      </c>
      <c r="G346">
        <v>368</v>
      </c>
      <c r="H346">
        <v>383</v>
      </c>
      <c r="I346">
        <v>446</v>
      </c>
      <c r="J346">
        <v>2307</v>
      </c>
      <c r="K346">
        <v>5.2848400526092673E-2</v>
      </c>
      <c r="L346" t="s">
        <v>29</v>
      </c>
    </row>
    <row r="347" spans="1:12" x14ac:dyDescent="0.25">
      <c r="A347" t="s">
        <v>20</v>
      </c>
      <c r="B347" t="s">
        <v>46</v>
      </c>
      <c r="C347">
        <v>96274</v>
      </c>
      <c r="D347">
        <v>43755</v>
      </c>
      <c r="E347">
        <v>35485</v>
      </c>
      <c r="F347">
        <v>2846</v>
      </c>
      <c r="G347">
        <v>407</v>
      </c>
      <c r="H347">
        <v>228</v>
      </c>
      <c r="I347">
        <v>47</v>
      </c>
      <c r="J347">
        <v>234</v>
      </c>
      <c r="K347">
        <v>9.9422291108919258E-2</v>
      </c>
      <c r="L347" t="s">
        <v>29</v>
      </c>
    </row>
    <row r="348" spans="1:12" x14ac:dyDescent="0.25">
      <c r="A348" t="s">
        <v>20</v>
      </c>
      <c r="B348" t="s">
        <v>73</v>
      </c>
      <c r="C348">
        <v>297120</v>
      </c>
      <c r="D348">
        <v>67287</v>
      </c>
      <c r="E348">
        <v>48752</v>
      </c>
      <c r="F348">
        <v>2050</v>
      </c>
      <c r="G348">
        <v>243</v>
      </c>
      <c r="H348">
        <v>81</v>
      </c>
      <c r="I348">
        <v>285</v>
      </c>
      <c r="J348">
        <v>1967</v>
      </c>
      <c r="K348">
        <v>5.45413521496554E-2</v>
      </c>
      <c r="L348" t="s">
        <v>22</v>
      </c>
    </row>
    <row r="349" spans="1:12" x14ac:dyDescent="0.25">
      <c r="A349" t="s">
        <v>20</v>
      </c>
      <c r="B349" t="s">
        <v>155</v>
      </c>
      <c r="C349">
        <v>671696</v>
      </c>
      <c r="D349">
        <v>2603986</v>
      </c>
      <c r="E349">
        <v>2253585</v>
      </c>
      <c r="F349">
        <v>184714</v>
      </c>
      <c r="G349">
        <v>8702</v>
      </c>
      <c r="H349">
        <v>5661</v>
      </c>
      <c r="I349">
        <v>18314</v>
      </c>
      <c r="J349">
        <v>90051</v>
      </c>
      <c r="K349">
        <v>9.6464522083702195E-2</v>
      </c>
      <c r="L349" t="s">
        <v>22</v>
      </c>
    </row>
    <row r="350" spans="1:12" x14ac:dyDescent="0.25">
      <c r="A350" t="s">
        <v>20</v>
      </c>
      <c r="B350" t="s">
        <v>78</v>
      </c>
      <c r="C350">
        <v>120511</v>
      </c>
      <c r="D350">
        <v>26300</v>
      </c>
      <c r="E350">
        <v>21412</v>
      </c>
      <c r="F350">
        <v>1520</v>
      </c>
      <c r="G350">
        <v>92</v>
      </c>
      <c r="H350">
        <v>175</v>
      </c>
      <c r="I350">
        <v>239</v>
      </c>
      <c r="J350">
        <v>552</v>
      </c>
      <c r="K350">
        <v>9.4619839342424808E-2</v>
      </c>
      <c r="L350" t="s">
        <v>66</v>
      </c>
    </row>
    <row r="351" spans="1:12" x14ac:dyDescent="0.25">
      <c r="A351" t="s">
        <v>20</v>
      </c>
      <c r="B351" t="s">
        <v>51</v>
      </c>
      <c r="C351">
        <v>585309</v>
      </c>
      <c r="D351">
        <v>115821</v>
      </c>
      <c r="E351">
        <v>96602</v>
      </c>
      <c r="F351">
        <v>4994</v>
      </c>
      <c r="G351">
        <v>741</v>
      </c>
      <c r="H351">
        <v>722</v>
      </c>
      <c r="I351">
        <v>13</v>
      </c>
      <c r="J351">
        <v>3409</v>
      </c>
      <c r="K351">
        <v>6.6975839009544319E-2</v>
      </c>
      <c r="L351" t="s">
        <v>22</v>
      </c>
    </row>
    <row r="352" spans="1:12" x14ac:dyDescent="0.25">
      <c r="A352" t="s">
        <v>20</v>
      </c>
      <c r="B352" t="s">
        <v>40</v>
      </c>
      <c r="C352">
        <v>692991</v>
      </c>
      <c r="D352">
        <v>296595</v>
      </c>
      <c r="E352">
        <v>268310</v>
      </c>
      <c r="F352">
        <v>20322</v>
      </c>
      <c r="G352">
        <v>1155</v>
      </c>
      <c r="H352">
        <v>917</v>
      </c>
      <c r="I352">
        <v>1</v>
      </c>
      <c r="J352">
        <v>4202</v>
      </c>
      <c r="K352">
        <v>8.3466885319220308E-2</v>
      </c>
      <c r="L352" t="s">
        <v>22</v>
      </c>
    </row>
    <row r="353" spans="1:12" x14ac:dyDescent="0.25">
      <c r="A353" t="s">
        <v>20</v>
      </c>
      <c r="B353" t="s">
        <v>40</v>
      </c>
      <c r="C353">
        <v>266632</v>
      </c>
      <c r="D353">
        <v>24932</v>
      </c>
      <c r="E353">
        <v>17764</v>
      </c>
      <c r="F353">
        <v>1387</v>
      </c>
      <c r="G353">
        <v>227</v>
      </c>
      <c r="H353">
        <v>66</v>
      </c>
      <c r="I353">
        <v>38</v>
      </c>
      <c r="J353">
        <v>601</v>
      </c>
      <c r="K353">
        <v>9.6712452150416572E-2</v>
      </c>
      <c r="L353" t="s">
        <v>29</v>
      </c>
    </row>
    <row r="354" spans="1:12" x14ac:dyDescent="0.25">
      <c r="A354" t="s">
        <v>20</v>
      </c>
      <c r="B354" t="s">
        <v>46</v>
      </c>
      <c r="C354">
        <v>258733</v>
      </c>
      <c r="D354">
        <v>126912</v>
      </c>
      <c r="E354">
        <v>106868</v>
      </c>
      <c r="F354">
        <v>3850</v>
      </c>
      <c r="G354">
        <v>474</v>
      </c>
      <c r="H354">
        <v>225</v>
      </c>
      <c r="I354">
        <v>48</v>
      </c>
      <c r="J354">
        <v>4266</v>
      </c>
      <c r="K354">
        <v>4.3015682898529028E-2</v>
      </c>
      <c r="L354" t="s">
        <v>22</v>
      </c>
    </row>
    <row r="355" spans="1:12" x14ac:dyDescent="0.25">
      <c r="A355" t="s">
        <v>20</v>
      </c>
      <c r="B355" t="s">
        <v>58</v>
      </c>
      <c r="C355">
        <v>196472</v>
      </c>
      <c r="D355">
        <v>71489</v>
      </c>
      <c r="E355">
        <v>62542</v>
      </c>
      <c r="F355">
        <v>2116</v>
      </c>
      <c r="G355">
        <v>177</v>
      </c>
      <c r="H355">
        <v>84</v>
      </c>
      <c r="I355">
        <v>282</v>
      </c>
      <c r="J355">
        <v>2257</v>
      </c>
      <c r="K355">
        <v>4.2515429631287772E-2</v>
      </c>
      <c r="L355" t="s">
        <v>22</v>
      </c>
    </row>
    <row r="356" spans="1:12" x14ac:dyDescent="0.25">
      <c r="A356" t="s">
        <v>20</v>
      </c>
      <c r="B356" t="s">
        <v>21</v>
      </c>
      <c r="C356">
        <v>396429</v>
      </c>
      <c r="D356">
        <v>185172</v>
      </c>
      <c r="E356">
        <v>162655</v>
      </c>
      <c r="F356">
        <v>10270</v>
      </c>
      <c r="G356">
        <v>1303</v>
      </c>
      <c r="H356">
        <v>1340</v>
      </c>
      <c r="I356">
        <v>908</v>
      </c>
      <c r="J356">
        <v>2010</v>
      </c>
      <c r="K356">
        <v>8.4971258184500936E-2</v>
      </c>
      <c r="L356" t="s">
        <v>29</v>
      </c>
    </row>
    <row r="357" spans="1:12" x14ac:dyDescent="0.25">
      <c r="A357" t="s">
        <v>20</v>
      </c>
      <c r="B357" t="s">
        <v>146</v>
      </c>
      <c r="C357">
        <v>475795</v>
      </c>
      <c r="D357">
        <v>293127</v>
      </c>
      <c r="E357">
        <v>217203</v>
      </c>
      <c r="F357">
        <v>8148</v>
      </c>
      <c r="G357">
        <v>349</v>
      </c>
      <c r="H357">
        <v>212</v>
      </c>
      <c r="I357">
        <v>1272</v>
      </c>
      <c r="J357">
        <v>9960</v>
      </c>
      <c r="K357">
        <v>4.5952403972320824E-2</v>
      </c>
      <c r="L357" t="s">
        <v>22</v>
      </c>
    </row>
    <row r="358" spans="1:12" x14ac:dyDescent="0.25">
      <c r="A358" t="s">
        <v>20</v>
      </c>
      <c r="B358" t="s">
        <v>146</v>
      </c>
      <c r="C358">
        <v>12271</v>
      </c>
      <c r="D358">
        <v>1922</v>
      </c>
      <c r="E358">
        <v>1587</v>
      </c>
      <c r="F358">
        <v>50</v>
      </c>
      <c r="G358">
        <v>3</v>
      </c>
      <c r="H358">
        <v>1</v>
      </c>
      <c r="I358">
        <v>2</v>
      </c>
      <c r="J358">
        <v>20</v>
      </c>
      <c r="K358">
        <v>3.5286704473850031E-2</v>
      </c>
      <c r="L358" t="s">
        <v>22</v>
      </c>
    </row>
    <row r="359" spans="1:12" x14ac:dyDescent="0.25">
      <c r="A359" t="s">
        <v>20</v>
      </c>
      <c r="B359" t="s">
        <v>21</v>
      </c>
      <c r="C359">
        <v>565125</v>
      </c>
      <c r="D359">
        <v>314089</v>
      </c>
      <c r="E359">
        <v>231151</v>
      </c>
      <c r="F359">
        <v>21641</v>
      </c>
      <c r="G359">
        <v>2627</v>
      </c>
      <c r="H359">
        <v>1221</v>
      </c>
      <c r="I359">
        <v>2773</v>
      </c>
      <c r="J359">
        <v>3277</v>
      </c>
      <c r="K359">
        <v>0.12226639729008311</v>
      </c>
      <c r="L359" t="s">
        <v>29</v>
      </c>
    </row>
    <row r="360" spans="1:12" x14ac:dyDescent="0.25">
      <c r="A360" t="s">
        <v>20</v>
      </c>
      <c r="B360" t="s">
        <v>54</v>
      </c>
      <c r="C360">
        <v>730968</v>
      </c>
      <c r="D360">
        <v>252617</v>
      </c>
      <c r="E360">
        <v>186793</v>
      </c>
      <c r="F360">
        <v>10353</v>
      </c>
      <c r="G360">
        <v>561</v>
      </c>
      <c r="H360">
        <v>423</v>
      </c>
      <c r="I360">
        <v>1373</v>
      </c>
      <c r="J360">
        <v>2827</v>
      </c>
      <c r="K360">
        <v>6.8043235024867102E-2</v>
      </c>
      <c r="L360" t="s">
        <v>22</v>
      </c>
    </row>
    <row r="361" spans="1:12" x14ac:dyDescent="0.25">
      <c r="A361" t="s">
        <v>20</v>
      </c>
      <c r="B361" t="s">
        <v>65</v>
      </c>
      <c r="C361">
        <v>450054</v>
      </c>
      <c r="D361">
        <v>125792</v>
      </c>
      <c r="E361">
        <v>101048</v>
      </c>
      <c r="F361">
        <v>3207</v>
      </c>
      <c r="G361">
        <v>119</v>
      </c>
      <c r="H361">
        <v>471</v>
      </c>
      <c r="I361">
        <v>189</v>
      </c>
      <c r="J361">
        <v>1336</v>
      </c>
      <c r="K361">
        <v>3.9446599635816641E-2</v>
      </c>
      <c r="L361" t="s">
        <v>29</v>
      </c>
    </row>
    <row r="362" spans="1:12" x14ac:dyDescent="0.25">
      <c r="A362" t="s">
        <v>20</v>
      </c>
      <c r="B362" t="s">
        <v>146</v>
      </c>
      <c r="C362">
        <v>673522</v>
      </c>
      <c r="D362">
        <v>366644</v>
      </c>
      <c r="E362">
        <v>313058</v>
      </c>
      <c r="F362">
        <v>11514</v>
      </c>
      <c r="G362">
        <v>1247</v>
      </c>
      <c r="H362">
        <v>1140</v>
      </c>
      <c r="I362">
        <v>578</v>
      </c>
      <c r="J362">
        <v>5832</v>
      </c>
      <c r="K362">
        <v>4.6250215614997862E-2</v>
      </c>
      <c r="L362" t="s">
        <v>22</v>
      </c>
    </row>
    <row r="363" spans="1:12" x14ac:dyDescent="0.25">
      <c r="A363" t="s">
        <v>20</v>
      </c>
      <c r="B363" t="s">
        <v>107</v>
      </c>
      <c r="C363">
        <v>728428</v>
      </c>
      <c r="D363">
        <v>377665</v>
      </c>
      <c r="E363">
        <v>327765</v>
      </c>
      <c r="F363">
        <v>19542</v>
      </c>
      <c r="G363">
        <v>2425</v>
      </c>
      <c r="H363">
        <v>611</v>
      </c>
      <c r="I363">
        <v>10</v>
      </c>
      <c r="J363">
        <v>12180</v>
      </c>
      <c r="K363">
        <v>6.8915228898753678E-2</v>
      </c>
      <c r="L363" t="s">
        <v>22</v>
      </c>
    </row>
    <row r="364" spans="1:12" x14ac:dyDescent="0.25">
      <c r="A364" t="s">
        <v>20</v>
      </c>
      <c r="B364" t="s">
        <v>21</v>
      </c>
      <c r="C364">
        <v>493265</v>
      </c>
      <c r="D364">
        <v>1358431</v>
      </c>
      <c r="E364">
        <v>1143873</v>
      </c>
      <c r="F364">
        <v>30970</v>
      </c>
      <c r="G364">
        <v>4474</v>
      </c>
      <c r="H364">
        <v>3438</v>
      </c>
      <c r="I364">
        <v>6598</v>
      </c>
      <c r="J364">
        <v>39951</v>
      </c>
      <c r="K364">
        <v>3.9759658633432206E-2</v>
      </c>
      <c r="L364" t="s">
        <v>66</v>
      </c>
    </row>
    <row r="365" spans="1:12" x14ac:dyDescent="0.25">
      <c r="A365" t="s">
        <v>20</v>
      </c>
      <c r="B365" t="s">
        <v>128</v>
      </c>
      <c r="C365">
        <v>627736</v>
      </c>
      <c r="D365">
        <v>229083</v>
      </c>
      <c r="E365">
        <v>191967</v>
      </c>
      <c r="F365">
        <v>15338</v>
      </c>
      <c r="G365">
        <v>1260</v>
      </c>
      <c r="H365">
        <v>315</v>
      </c>
      <c r="I365">
        <v>15</v>
      </c>
      <c r="J365">
        <v>2464</v>
      </c>
      <c r="K365">
        <v>8.8181822917480612E-2</v>
      </c>
      <c r="L365" t="s">
        <v>66</v>
      </c>
    </row>
    <row r="366" spans="1:12" x14ac:dyDescent="0.25">
      <c r="A366" t="s">
        <v>20</v>
      </c>
      <c r="B366" t="s">
        <v>46</v>
      </c>
      <c r="C366">
        <v>810250</v>
      </c>
      <c r="D366">
        <v>160933</v>
      </c>
      <c r="E366">
        <v>119511</v>
      </c>
      <c r="F366">
        <v>10910</v>
      </c>
      <c r="G366">
        <v>1448</v>
      </c>
      <c r="H366">
        <v>1591</v>
      </c>
      <c r="I366">
        <v>30</v>
      </c>
      <c r="J366">
        <v>3206</v>
      </c>
      <c r="K366">
        <v>0.11696831254026827</v>
      </c>
      <c r="L366" t="s">
        <v>22</v>
      </c>
    </row>
    <row r="367" spans="1:12" x14ac:dyDescent="0.25">
      <c r="A367" t="s">
        <v>20</v>
      </c>
      <c r="B367" t="s">
        <v>155</v>
      </c>
      <c r="C367">
        <v>682087</v>
      </c>
      <c r="D367">
        <v>317662</v>
      </c>
      <c r="E367">
        <v>259335</v>
      </c>
      <c r="F367">
        <v>21536</v>
      </c>
      <c r="G367">
        <v>3473</v>
      </c>
      <c r="H367">
        <v>2727</v>
      </c>
      <c r="I367">
        <v>2035</v>
      </c>
      <c r="J367">
        <v>5826</v>
      </c>
      <c r="K367">
        <v>0.11479746274124203</v>
      </c>
      <c r="L367" t="s">
        <v>22</v>
      </c>
    </row>
    <row r="368" spans="1:12" x14ac:dyDescent="0.25">
      <c r="A368" t="s">
        <v>20</v>
      </c>
      <c r="B368" t="s">
        <v>54</v>
      </c>
      <c r="C368">
        <v>716233</v>
      </c>
      <c r="D368">
        <v>69541</v>
      </c>
      <c r="E368">
        <v>59177</v>
      </c>
      <c r="F368">
        <v>1899</v>
      </c>
      <c r="G368">
        <v>324</v>
      </c>
      <c r="H368">
        <v>240</v>
      </c>
      <c r="I368">
        <v>444</v>
      </c>
      <c r="J368">
        <v>644</v>
      </c>
      <c r="K368">
        <v>4.9123814995690893E-2</v>
      </c>
      <c r="L368" t="s">
        <v>22</v>
      </c>
    </row>
    <row r="369" spans="1:12" x14ac:dyDescent="0.25">
      <c r="A369" t="s">
        <v>20</v>
      </c>
      <c r="B369" t="s">
        <v>35</v>
      </c>
      <c r="C369">
        <v>189210</v>
      </c>
      <c r="D369">
        <v>29847</v>
      </c>
      <c r="E369">
        <v>22167</v>
      </c>
      <c r="F369">
        <v>1239</v>
      </c>
      <c r="G369">
        <v>87</v>
      </c>
      <c r="H369">
        <v>78</v>
      </c>
      <c r="I369">
        <v>2</v>
      </c>
      <c r="J369">
        <v>769</v>
      </c>
      <c r="K369">
        <v>6.3427617629810085E-2</v>
      </c>
      <c r="L369" t="s">
        <v>22</v>
      </c>
    </row>
    <row r="370" spans="1:12" x14ac:dyDescent="0.25">
      <c r="A370" t="s">
        <v>20</v>
      </c>
      <c r="B370" t="s">
        <v>40</v>
      </c>
      <c r="C370">
        <v>233033</v>
      </c>
      <c r="D370">
        <v>98822</v>
      </c>
      <c r="E370">
        <v>86449</v>
      </c>
      <c r="F370">
        <v>7625</v>
      </c>
      <c r="G370">
        <v>1264</v>
      </c>
      <c r="H370">
        <v>725</v>
      </c>
      <c r="I370">
        <v>35</v>
      </c>
      <c r="J370">
        <v>3028</v>
      </c>
      <c r="K370">
        <v>0.11161494060081667</v>
      </c>
      <c r="L370" t="s">
        <v>22</v>
      </c>
    </row>
    <row r="371" spans="1:12" x14ac:dyDescent="0.25">
      <c r="A371" t="s">
        <v>20</v>
      </c>
      <c r="B371" t="s">
        <v>58</v>
      </c>
      <c r="C371">
        <v>254083</v>
      </c>
      <c r="D371">
        <v>102055</v>
      </c>
      <c r="E371">
        <v>80262</v>
      </c>
      <c r="F371">
        <v>7743</v>
      </c>
      <c r="G371">
        <v>922</v>
      </c>
      <c r="H371">
        <v>660</v>
      </c>
      <c r="I371">
        <v>1877</v>
      </c>
      <c r="J371">
        <v>704</v>
      </c>
      <c r="K371">
        <v>0.13956791507811916</v>
      </c>
      <c r="L371" t="s">
        <v>22</v>
      </c>
    </row>
    <row r="372" spans="1:12" x14ac:dyDescent="0.25">
      <c r="A372" t="s">
        <v>20</v>
      </c>
      <c r="B372" t="s">
        <v>73</v>
      </c>
      <c r="C372">
        <v>238135</v>
      </c>
      <c r="D372">
        <v>65715</v>
      </c>
      <c r="E372">
        <v>55357</v>
      </c>
      <c r="F372">
        <v>2800</v>
      </c>
      <c r="G372">
        <v>274</v>
      </c>
      <c r="H372">
        <v>103</v>
      </c>
      <c r="I372">
        <v>234</v>
      </c>
      <c r="J372">
        <v>594</v>
      </c>
      <c r="K372">
        <v>6.1618223530899435E-2</v>
      </c>
      <c r="L372" t="s">
        <v>66</v>
      </c>
    </row>
    <row r="373" spans="1:12" x14ac:dyDescent="0.25">
      <c r="A373" t="s">
        <v>20</v>
      </c>
      <c r="B373" t="s">
        <v>104</v>
      </c>
      <c r="C373">
        <v>162902</v>
      </c>
      <c r="D373">
        <v>60586</v>
      </c>
      <c r="E373">
        <v>47235</v>
      </c>
      <c r="F373">
        <v>1431</v>
      </c>
      <c r="G373">
        <v>167</v>
      </c>
      <c r="H373">
        <v>173</v>
      </c>
      <c r="I373">
        <v>295</v>
      </c>
      <c r="J373">
        <v>849</v>
      </c>
      <c r="K373">
        <v>4.3738753043294165E-2</v>
      </c>
      <c r="L373" t="s">
        <v>22</v>
      </c>
    </row>
    <row r="374" spans="1:12" x14ac:dyDescent="0.25">
      <c r="A374" t="s">
        <v>20</v>
      </c>
      <c r="B374" t="s">
        <v>51</v>
      </c>
      <c r="C374">
        <v>597555</v>
      </c>
      <c r="D374">
        <v>343666</v>
      </c>
      <c r="E374">
        <v>272305</v>
      </c>
      <c r="F374">
        <v>7161</v>
      </c>
      <c r="G374">
        <v>274</v>
      </c>
      <c r="H374">
        <v>521</v>
      </c>
      <c r="I374">
        <v>23</v>
      </c>
      <c r="J374">
        <v>11707</v>
      </c>
      <c r="K374">
        <v>2.930170213547309E-2</v>
      </c>
      <c r="L374" t="s">
        <v>22</v>
      </c>
    </row>
    <row r="375" spans="1:12" x14ac:dyDescent="0.25">
      <c r="A375" t="s">
        <v>20</v>
      </c>
      <c r="B375" t="s">
        <v>107</v>
      </c>
      <c r="C375">
        <v>292023</v>
      </c>
      <c r="D375">
        <v>170184</v>
      </c>
      <c r="E375">
        <v>143740</v>
      </c>
      <c r="F375">
        <v>13568</v>
      </c>
      <c r="G375">
        <v>688</v>
      </c>
      <c r="H375">
        <v>1545</v>
      </c>
      <c r="I375">
        <v>30</v>
      </c>
      <c r="J375">
        <v>1680</v>
      </c>
      <c r="K375">
        <v>0.110136357311813</v>
      </c>
      <c r="L375" t="s">
        <v>22</v>
      </c>
    </row>
    <row r="376" spans="1:12" x14ac:dyDescent="0.25">
      <c r="A376" t="s">
        <v>20</v>
      </c>
      <c r="B376" t="s">
        <v>70</v>
      </c>
      <c r="C376">
        <v>161324</v>
      </c>
      <c r="D376">
        <v>23632</v>
      </c>
      <c r="E376">
        <v>18583</v>
      </c>
      <c r="F376">
        <v>784</v>
      </c>
      <c r="G376">
        <v>39</v>
      </c>
      <c r="H376">
        <v>110</v>
      </c>
      <c r="I376">
        <v>18</v>
      </c>
      <c r="J376">
        <v>753</v>
      </c>
      <c r="K376">
        <v>5.1175805844051014E-2</v>
      </c>
      <c r="L376" t="s">
        <v>22</v>
      </c>
    </row>
    <row r="377" spans="1:12" x14ac:dyDescent="0.25">
      <c r="A377" t="s">
        <v>20</v>
      </c>
      <c r="B377" t="s">
        <v>65</v>
      </c>
      <c r="C377">
        <v>50322</v>
      </c>
      <c r="D377">
        <v>24067</v>
      </c>
      <c r="E377">
        <v>18351</v>
      </c>
      <c r="F377">
        <v>585</v>
      </c>
      <c r="G377">
        <v>43</v>
      </c>
      <c r="H377">
        <v>58</v>
      </c>
      <c r="I377">
        <v>40</v>
      </c>
      <c r="J377">
        <v>280</v>
      </c>
      <c r="K377">
        <v>3.9561876736962563E-2</v>
      </c>
      <c r="L377" t="s">
        <v>29</v>
      </c>
    </row>
    <row r="378" spans="1:12" x14ac:dyDescent="0.25">
      <c r="A378" t="s">
        <v>20</v>
      </c>
      <c r="B378" t="s">
        <v>73</v>
      </c>
      <c r="C378">
        <v>789976</v>
      </c>
      <c r="D378">
        <v>84876</v>
      </c>
      <c r="E378">
        <v>64788</v>
      </c>
      <c r="F378">
        <v>5147</v>
      </c>
      <c r="G378">
        <v>321</v>
      </c>
      <c r="H378">
        <v>306</v>
      </c>
      <c r="I378">
        <v>999</v>
      </c>
      <c r="J378">
        <v>941</v>
      </c>
      <c r="K378">
        <v>0.10454096437611904</v>
      </c>
      <c r="L378" t="s">
        <v>66</v>
      </c>
    </row>
    <row r="379" spans="1:12" x14ac:dyDescent="0.25">
      <c r="A379" t="s">
        <v>20</v>
      </c>
      <c r="B379" t="s">
        <v>46</v>
      </c>
      <c r="C379">
        <v>841572</v>
      </c>
      <c r="D379">
        <v>509191</v>
      </c>
      <c r="E379">
        <v>458122</v>
      </c>
      <c r="F379">
        <v>39789</v>
      </c>
      <c r="G379">
        <v>2971</v>
      </c>
      <c r="H379">
        <v>5528</v>
      </c>
      <c r="I379">
        <v>34</v>
      </c>
      <c r="J379">
        <v>3270</v>
      </c>
      <c r="K379">
        <v>0.1054784533377572</v>
      </c>
      <c r="L379" t="s">
        <v>22</v>
      </c>
    </row>
    <row r="380" spans="1:12" x14ac:dyDescent="0.25">
      <c r="A380" t="s">
        <v>20</v>
      </c>
      <c r="B380" t="s">
        <v>65</v>
      </c>
      <c r="C380">
        <v>558182</v>
      </c>
      <c r="D380">
        <v>318925</v>
      </c>
      <c r="E380">
        <v>253798</v>
      </c>
      <c r="F380">
        <v>20640</v>
      </c>
      <c r="G380">
        <v>2005</v>
      </c>
      <c r="H380">
        <v>1991</v>
      </c>
      <c r="I380">
        <v>1936</v>
      </c>
      <c r="J380">
        <v>8461</v>
      </c>
      <c r="K380">
        <v>0.10469743654402321</v>
      </c>
      <c r="L380" t="s">
        <v>22</v>
      </c>
    </row>
    <row r="381" spans="1:12" x14ac:dyDescent="0.25">
      <c r="A381" t="s">
        <v>20</v>
      </c>
      <c r="B381" t="s">
        <v>54</v>
      </c>
      <c r="C381">
        <v>45650</v>
      </c>
      <c r="D381">
        <v>18601</v>
      </c>
      <c r="E381">
        <v>14086</v>
      </c>
      <c r="F381">
        <v>577</v>
      </c>
      <c r="G381">
        <v>65</v>
      </c>
      <c r="H381">
        <v>14</v>
      </c>
      <c r="I381">
        <v>65</v>
      </c>
      <c r="J381">
        <v>284</v>
      </c>
      <c r="K381">
        <v>5.118557432912111E-2</v>
      </c>
      <c r="L381" t="s">
        <v>22</v>
      </c>
    </row>
    <row r="382" spans="1:12" x14ac:dyDescent="0.25">
      <c r="A382" t="s">
        <v>20</v>
      </c>
      <c r="B382" t="s">
        <v>58</v>
      </c>
      <c r="C382">
        <v>814814</v>
      </c>
      <c r="D382">
        <v>348855</v>
      </c>
      <c r="E382">
        <v>296740</v>
      </c>
      <c r="F382">
        <v>8415</v>
      </c>
      <c r="G382">
        <v>1378</v>
      </c>
      <c r="H382">
        <v>401</v>
      </c>
      <c r="I382">
        <v>1904</v>
      </c>
      <c r="J382">
        <v>10019</v>
      </c>
      <c r="K382">
        <v>4.0769697378176178E-2</v>
      </c>
      <c r="L382" t="s">
        <v>22</v>
      </c>
    </row>
    <row r="383" spans="1:12" x14ac:dyDescent="0.25">
      <c r="A383" t="s">
        <v>20</v>
      </c>
      <c r="B383" t="s">
        <v>104</v>
      </c>
      <c r="C383">
        <v>587636</v>
      </c>
      <c r="D383">
        <v>347699</v>
      </c>
      <c r="E383">
        <v>252439</v>
      </c>
      <c r="F383">
        <v>17992</v>
      </c>
      <c r="G383">
        <v>2380</v>
      </c>
      <c r="H383">
        <v>1858</v>
      </c>
      <c r="I383">
        <v>3712</v>
      </c>
      <c r="J383">
        <v>2496</v>
      </c>
      <c r="K383">
        <v>0.10276542055704546</v>
      </c>
      <c r="L383" t="s">
        <v>22</v>
      </c>
    </row>
    <row r="384" spans="1:12" x14ac:dyDescent="0.25">
      <c r="A384" t="s">
        <v>20</v>
      </c>
      <c r="B384" t="s">
        <v>46</v>
      </c>
      <c r="C384">
        <v>207722</v>
      </c>
      <c r="D384">
        <v>814863</v>
      </c>
      <c r="E384">
        <v>691781</v>
      </c>
      <c r="F384">
        <v>63117</v>
      </c>
      <c r="G384">
        <v>11132</v>
      </c>
      <c r="H384">
        <v>4498</v>
      </c>
      <c r="I384">
        <v>31</v>
      </c>
      <c r="J384">
        <v>11842</v>
      </c>
      <c r="K384">
        <v>0.11387707959599931</v>
      </c>
      <c r="L384" t="s">
        <v>29</v>
      </c>
    </row>
    <row r="385" spans="1:12" x14ac:dyDescent="0.25">
      <c r="A385" t="s">
        <v>20</v>
      </c>
      <c r="B385" t="s">
        <v>46</v>
      </c>
      <c r="C385">
        <v>326856</v>
      </c>
      <c r="D385">
        <v>209185</v>
      </c>
      <c r="E385">
        <v>184721</v>
      </c>
      <c r="F385">
        <v>14100</v>
      </c>
      <c r="G385">
        <v>496</v>
      </c>
      <c r="H385">
        <v>645</v>
      </c>
      <c r="I385">
        <v>49</v>
      </c>
      <c r="J385">
        <v>7287</v>
      </c>
      <c r="K385">
        <v>8.2773480004980485E-2</v>
      </c>
      <c r="L385" t="s">
        <v>22</v>
      </c>
    </row>
    <row r="386" spans="1:12" x14ac:dyDescent="0.25">
      <c r="A386" t="s">
        <v>20</v>
      </c>
      <c r="B386" t="s">
        <v>128</v>
      </c>
      <c r="C386">
        <v>153116</v>
      </c>
      <c r="D386">
        <v>53671</v>
      </c>
      <c r="E386">
        <v>49219</v>
      </c>
      <c r="F386">
        <v>1286</v>
      </c>
      <c r="G386">
        <v>223</v>
      </c>
      <c r="H386">
        <v>152</v>
      </c>
      <c r="I386">
        <v>5</v>
      </c>
      <c r="J386">
        <v>279</v>
      </c>
      <c r="K386">
        <v>3.384871695889799E-2</v>
      </c>
      <c r="L386" t="s">
        <v>29</v>
      </c>
    </row>
    <row r="387" spans="1:12" x14ac:dyDescent="0.25">
      <c r="A387" t="s">
        <v>20</v>
      </c>
      <c r="B387" t="s">
        <v>51</v>
      </c>
      <c r="C387">
        <v>197541</v>
      </c>
      <c r="D387">
        <v>48396</v>
      </c>
      <c r="E387">
        <v>34326</v>
      </c>
      <c r="F387">
        <v>3367</v>
      </c>
      <c r="G387">
        <v>522</v>
      </c>
      <c r="H387">
        <v>200</v>
      </c>
      <c r="I387">
        <v>35</v>
      </c>
      <c r="J387">
        <v>1316</v>
      </c>
      <c r="K387">
        <v>0.120142166287945</v>
      </c>
      <c r="L387" t="s">
        <v>22</v>
      </c>
    </row>
    <row r="388" spans="1:12" x14ac:dyDescent="0.25">
      <c r="A388" t="s">
        <v>20</v>
      </c>
      <c r="B388" t="s">
        <v>155</v>
      </c>
      <c r="C388">
        <v>183277</v>
      </c>
      <c r="D388">
        <v>68430</v>
      </c>
      <c r="E388">
        <v>58615</v>
      </c>
      <c r="F388">
        <v>3655</v>
      </c>
      <c r="G388">
        <v>225</v>
      </c>
      <c r="H388">
        <v>142</v>
      </c>
      <c r="I388">
        <v>215</v>
      </c>
      <c r="J388">
        <v>582</v>
      </c>
      <c r="K388">
        <v>7.2285251215559163E-2</v>
      </c>
      <c r="L388" t="s">
        <v>22</v>
      </c>
    </row>
    <row r="389" spans="1:12" x14ac:dyDescent="0.25">
      <c r="A389" t="s">
        <v>20</v>
      </c>
      <c r="B389" t="s">
        <v>40</v>
      </c>
      <c r="C389">
        <v>141122</v>
      </c>
      <c r="D389">
        <v>78186</v>
      </c>
      <c r="E389">
        <v>58624</v>
      </c>
      <c r="F389">
        <v>3672</v>
      </c>
      <c r="G389">
        <v>397</v>
      </c>
      <c r="H389">
        <v>187</v>
      </c>
      <c r="I389">
        <v>50</v>
      </c>
      <c r="J389">
        <v>633</v>
      </c>
      <c r="K389">
        <v>7.3451146288209604E-2</v>
      </c>
      <c r="L389" t="s">
        <v>66</v>
      </c>
    </row>
    <row r="390" spans="1:12" x14ac:dyDescent="0.25">
      <c r="A390" t="s">
        <v>20</v>
      </c>
      <c r="B390" t="s">
        <v>58</v>
      </c>
      <c r="C390">
        <v>243167</v>
      </c>
      <c r="D390">
        <v>21091</v>
      </c>
      <c r="E390">
        <v>18419</v>
      </c>
      <c r="F390">
        <v>1358</v>
      </c>
      <c r="G390">
        <v>145</v>
      </c>
      <c r="H390">
        <v>153</v>
      </c>
      <c r="I390">
        <v>175</v>
      </c>
      <c r="J390">
        <v>405</v>
      </c>
      <c r="K390">
        <v>9.9408219773060427E-2</v>
      </c>
      <c r="L390" t="s">
        <v>22</v>
      </c>
    </row>
    <row r="391" spans="1:12" x14ac:dyDescent="0.25">
      <c r="A391" t="s">
        <v>20</v>
      </c>
      <c r="B391" t="s">
        <v>40</v>
      </c>
      <c r="C391">
        <v>678899</v>
      </c>
      <c r="D391">
        <v>341546</v>
      </c>
      <c r="E391">
        <v>251835</v>
      </c>
      <c r="F391">
        <v>10757</v>
      </c>
      <c r="G391">
        <v>1666</v>
      </c>
      <c r="H391">
        <v>968</v>
      </c>
      <c r="I391">
        <v>43</v>
      </c>
      <c r="J391">
        <v>3446</v>
      </c>
      <c r="K391">
        <v>5.3344451724343322E-2</v>
      </c>
      <c r="L391" t="s">
        <v>22</v>
      </c>
    </row>
    <row r="392" spans="1:12" x14ac:dyDescent="0.25">
      <c r="A392" t="s">
        <v>20</v>
      </c>
      <c r="B392" t="s">
        <v>35</v>
      </c>
      <c r="C392">
        <v>365012</v>
      </c>
      <c r="D392">
        <v>180977</v>
      </c>
      <c r="E392">
        <v>147876</v>
      </c>
      <c r="F392">
        <v>8627</v>
      </c>
      <c r="G392">
        <v>712</v>
      </c>
      <c r="H392">
        <v>1091</v>
      </c>
      <c r="I392">
        <v>10</v>
      </c>
      <c r="J392">
        <v>2905</v>
      </c>
      <c r="K392">
        <v>7.0599691633530789E-2</v>
      </c>
      <c r="L392" t="s">
        <v>22</v>
      </c>
    </row>
    <row r="393" spans="1:12" x14ac:dyDescent="0.25">
      <c r="A393" t="s">
        <v>20</v>
      </c>
      <c r="B393" t="s">
        <v>46</v>
      </c>
      <c r="C393">
        <v>558615</v>
      </c>
      <c r="D393">
        <v>124361</v>
      </c>
      <c r="E393">
        <v>95077</v>
      </c>
      <c r="F393">
        <v>5295</v>
      </c>
      <c r="G393">
        <v>456</v>
      </c>
      <c r="H393">
        <v>701</v>
      </c>
      <c r="I393">
        <v>50</v>
      </c>
      <c r="J393">
        <v>3990</v>
      </c>
      <c r="K393">
        <v>6.8386676062559826E-2</v>
      </c>
      <c r="L393" t="s">
        <v>29</v>
      </c>
    </row>
    <row r="394" spans="1:12" x14ac:dyDescent="0.25">
      <c r="A394" t="s">
        <v>20</v>
      </c>
      <c r="B394" t="s">
        <v>73</v>
      </c>
      <c r="C394">
        <v>428883</v>
      </c>
      <c r="D394">
        <v>167961</v>
      </c>
      <c r="E394">
        <v>136142</v>
      </c>
      <c r="F394">
        <v>9142</v>
      </c>
      <c r="G394">
        <v>1356</v>
      </c>
      <c r="H394">
        <v>446</v>
      </c>
      <c r="I394">
        <v>1434</v>
      </c>
      <c r="J394">
        <v>3524</v>
      </c>
      <c r="K394">
        <v>9.0919774940870557E-2</v>
      </c>
      <c r="L394" t="s">
        <v>22</v>
      </c>
    </row>
    <row r="395" spans="1:12" x14ac:dyDescent="0.25">
      <c r="A395" t="s">
        <v>20</v>
      </c>
      <c r="B395" t="s">
        <v>46</v>
      </c>
      <c r="C395">
        <v>760479</v>
      </c>
      <c r="D395">
        <v>107223</v>
      </c>
      <c r="E395">
        <v>88762</v>
      </c>
      <c r="F395">
        <v>7670</v>
      </c>
      <c r="G395">
        <v>987</v>
      </c>
      <c r="H395">
        <v>792</v>
      </c>
      <c r="I395">
        <v>11</v>
      </c>
      <c r="J395">
        <v>1478</v>
      </c>
      <c r="K395">
        <v>0.10657713886573084</v>
      </c>
      <c r="L395" t="s">
        <v>22</v>
      </c>
    </row>
    <row r="396" spans="1:12" x14ac:dyDescent="0.25">
      <c r="A396" t="s">
        <v>20</v>
      </c>
      <c r="B396" t="s">
        <v>128</v>
      </c>
      <c r="C396">
        <v>663967</v>
      </c>
      <c r="D396">
        <v>290703</v>
      </c>
      <c r="E396">
        <v>257829</v>
      </c>
      <c r="F396">
        <v>21545</v>
      </c>
      <c r="G396">
        <v>2410</v>
      </c>
      <c r="H396">
        <v>3156</v>
      </c>
      <c r="I396">
        <v>5</v>
      </c>
      <c r="J396">
        <v>3504</v>
      </c>
      <c r="K396">
        <v>0.10517048121041465</v>
      </c>
      <c r="L396" t="s">
        <v>29</v>
      </c>
    </row>
    <row r="397" spans="1:12" x14ac:dyDescent="0.25">
      <c r="A397" t="s">
        <v>20</v>
      </c>
      <c r="B397" t="s">
        <v>155</v>
      </c>
      <c r="C397">
        <v>135126</v>
      </c>
      <c r="D397">
        <v>51712</v>
      </c>
      <c r="E397">
        <v>40093</v>
      </c>
      <c r="F397">
        <v>1844</v>
      </c>
      <c r="G397">
        <v>294</v>
      </c>
      <c r="H397">
        <v>235</v>
      </c>
      <c r="I397">
        <v>344</v>
      </c>
      <c r="J397">
        <v>1254</v>
      </c>
      <c r="K397">
        <v>6.7767440700371634E-2</v>
      </c>
      <c r="L397" t="s">
        <v>22</v>
      </c>
    </row>
    <row r="398" spans="1:12" x14ac:dyDescent="0.25">
      <c r="A398" t="s">
        <v>20</v>
      </c>
      <c r="B398" t="s">
        <v>104</v>
      </c>
      <c r="C398">
        <v>126913</v>
      </c>
      <c r="D398">
        <v>23952</v>
      </c>
      <c r="E398">
        <v>19662</v>
      </c>
      <c r="F398">
        <v>1254</v>
      </c>
      <c r="G398">
        <v>110</v>
      </c>
      <c r="H398">
        <v>149</v>
      </c>
      <c r="I398">
        <v>95</v>
      </c>
      <c r="J398">
        <v>727</v>
      </c>
      <c r="K398">
        <v>8.178211779066219E-2</v>
      </c>
      <c r="L398" t="s">
        <v>22</v>
      </c>
    </row>
    <row r="399" spans="1:12" x14ac:dyDescent="0.25">
      <c r="A399" t="s">
        <v>20</v>
      </c>
      <c r="B399" t="s">
        <v>128</v>
      </c>
      <c r="C399">
        <v>709406</v>
      </c>
      <c r="D399">
        <v>99279</v>
      </c>
      <c r="E399">
        <v>80910</v>
      </c>
      <c r="F399">
        <v>6015</v>
      </c>
      <c r="G399">
        <v>288</v>
      </c>
      <c r="H399">
        <v>429</v>
      </c>
      <c r="I399">
        <v>44</v>
      </c>
      <c r="J399">
        <v>2255</v>
      </c>
      <c r="K399">
        <v>8.3747373625015456E-2</v>
      </c>
      <c r="L399" t="s">
        <v>22</v>
      </c>
    </row>
    <row r="400" spans="1:12" x14ac:dyDescent="0.25">
      <c r="A400" t="s">
        <v>20</v>
      </c>
      <c r="B400" t="s">
        <v>65</v>
      </c>
      <c r="C400">
        <v>131225</v>
      </c>
      <c r="D400">
        <v>42265</v>
      </c>
      <c r="E400">
        <v>32175</v>
      </c>
      <c r="F400">
        <v>2654</v>
      </c>
      <c r="G400">
        <v>311</v>
      </c>
      <c r="H400">
        <v>147</v>
      </c>
      <c r="I400">
        <v>551</v>
      </c>
      <c r="J400">
        <v>1027</v>
      </c>
      <c r="K400">
        <v>0.11384615384615385</v>
      </c>
      <c r="L400" t="s">
        <v>22</v>
      </c>
    </row>
    <row r="401" spans="1:12" x14ac:dyDescent="0.25">
      <c r="A401" t="s">
        <v>20</v>
      </c>
      <c r="B401" t="s">
        <v>104</v>
      </c>
      <c r="C401">
        <v>129304</v>
      </c>
      <c r="D401">
        <v>23282</v>
      </c>
      <c r="E401">
        <v>19818</v>
      </c>
      <c r="F401">
        <v>742</v>
      </c>
      <c r="G401">
        <v>109</v>
      </c>
      <c r="H401">
        <v>85</v>
      </c>
      <c r="I401">
        <v>174</v>
      </c>
      <c r="J401">
        <v>574</v>
      </c>
      <c r="K401">
        <v>5.6009688162276715E-2</v>
      </c>
      <c r="L401" t="s">
        <v>66</v>
      </c>
    </row>
    <row r="402" spans="1:12" x14ac:dyDescent="0.25">
      <c r="A402" t="s">
        <v>20</v>
      </c>
      <c r="B402" t="s">
        <v>58</v>
      </c>
      <c r="C402">
        <v>164772</v>
      </c>
      <c r="D402">
        <v>101667</v>
      </c>
      <c r="E402">
        <v>74352</v>
      </c>
      <c r="F402">
        <v>2583</v>
      </c>
      <c r="G402">
        <v>393</v>
      </c>
      <c r="H402">
        <v>338</v>
      </c>
      <c r="I402">
        <v>512</v>
      </c>
      <c r="J402">
        <v>1674</v>
      </c>
      <c r="K402">
        <v>5.1457929847213257E-2</v>
      </c>
      <c r="L402" t="s">
        <v>29</v>
      </c>
    </row>
    <row r="403" spans="1:12" x14ac:dyDescent="0.25">
      <c r="A403" t="s">
        <v>20</v>
      </c>
      <c r="B403" t="s">
        <v>87</v>
      </c>
      <c r="C403">
        <v>134930</v>
      </c>
      <c r="D403">
        <v>21808</v>
      </c>
      <c r="E403">
        <v>15299</v>
      </c>
      <c r="F403">
        <v>835</v>
      </c>
      <c r="G403">
        <v>36</v>
      </c>
      <c r="H403">
        <v>57</v>
      </c>
      <c r="I403">
        <v>43</v>
      </c>
      <c r="J403">
        <v>167</v>
      </c>
      <c r="K403">
        <v>6.3468200535982747E-2</v>
      </c>
      <c r="L403" t="s">
        <v>22</v>
      </c>
    </row>
    <row r="404" spans="1:12" x14ac:dyDescent="0.25">
      <c r="A404" t="s">
        <v>20</v>
      </c>
      <c r="B404" t="s">
        <v>21</v>
      </c>
      <c r="C404">
        <v>519145</v>
      </c>
      <c r="D404">
        <v>192508</v>
      </c>
      <c r="E404">
        <v>172582</v>
      </c>
      <c r="F404">
        <v>7079</v>
      </c>
      <c r="G404">
        <v>883</v>
      </c>
      <c r="H404">
        <v>816</v>
      </c>
      <c r="I404">
        <v>951</v>
      </c>
      <c r="J404">
        <v>3063</v>
      </c>
      <c r="K404">
        <v>5.637320230383238E-2</v>
      </c>
      <c r="L404" t="s">
        <v>29</v>
      </c>
    </row>
    <row r="405" spans="1:12" x14ac:dyDescent="0.25">
      <c r="A405" t="s">
        <v>20</v>
      </c>
      <c r="B405" t="s">
        <v>58</v>
      </c>
      <c r="C405">
        <v>501470</v>
      </c>
      <c r="D405">
        <v>311841</v>
      </c>
      <c r="E405">
        <v>234626</v>
      </c>
      <c r="F405">
        <v>14212</v>
      </c>
      <c r="G405">
        <v>2241</v>
      </c>
      <c r="H405">
        <v>368</v>
      </c>
      <c r="I405">
        <v>3438</v>
      </c>
      <c r="J405">
        <v>4045</v>
      </c>
      <c r="K405">
        <v>8.6345929266151242E-2</v>
      </c>
      <c r="L405" t="s">
        <v>29</v>
      </c>
    </row>
    <row r="406" spans="1:12" x14ac:dyDescent="0.25">
      <c r="A406" t="s">
        <v>20</v>
      </c>
      <c r="B406" t="s">
        <v>58</v>
      </c>
      <c r="C406">
        <v>85973</v>
      </c>
      <c r="D406">
        <v>51765</v>
      </c>
      <c r="E406">
        <v>42305</v>
      </c>
      <c r="F406">
        <v>2084</v>
      </c>
      <c r="G406">
        <v>371</v>
      </c>
      <c r="H406">
        <v>172</v>
      </c>
      <c r="I406">
        <v>485</v>
      </c>
      <c r="J406">
        <v>792</v>
      </c>
      <c r="K406">
        <v>7.3561044793759606E-2</v>
      </c>
      <c r="L406" t="s">
        <v>22</v>
      </c>
    </row>
    <row r="407" spans="1:12" x14ac:dyDescent="0.25">
      <c r="A407" t="s">
        <v>20</v>
      </c>
      <c r="B407" t="s">
        <v>107</v>
      </c>
      <c r="C407">
        <v>261104</v>
      </c>
      <c r="D407">
        <v>40697</v>
      </c>
      <c r="E407">
        <v>35107</v>
      </c>
      <c r="F407">
        <v>2881</v>
      </c>
      <c r="G407">
        <v>427</v>
      </c>
      <c r="H407">
        <v>368</v>
      </c>
      <c r="I407">
        <v>14</v>
      </c>
      <c r="J407">
        <v>1261</v>
      </c>
      <c r="K407">
        <v>0.10510724356965848</v>
      </c>
      <c r="L407" t="s">
        <v>22</v>
      </c>
    </row>
    <row r="408" spans="1:12" x14ac:dyDescent="0.25">
      <c r="A408" t="s">
        <v>20</v>
      </c>
      <c r="B408" t="s">
        <v>78</v>
      </c>
      <c r="C408">
        <v>280535</v>
      </c>
      <c r="D408">
        <v>181744</v>
      </c>
      <c r="E408">
        <v>159391</v>
      </c>
      <c r="F408">
        <v>10445</v>
      </c>
      <c r="G408">
        <v>1814</v>
      </c>
      <c r="H408">
        <v>1183</v>
      </c>
      <c r="I408">
        <v>1730</v>
      </c>
      <c r="J408">
        <v>4135</v>
      </c>
      <c r="K408">
        <v>9.5187306686073864E-2</v>
      </c>
      <c r="L408" t="s">
        <v>22</v>
      </c>
    </row>
    <row r="409" spans="1:12" x14ac:dyDescent="0.25">
      <c r="A409" t="s">
        <v>20</v>
      </c>
      <c r="B409" t="s">
        <v>155</v>
      </c>
      <c r="C409">
        <v>572892</v>
      </c>
      <c r="D409">
        <v>173347</v>
      </c>
      <c r="E409">
        <v>141908</v>
      </c>
      <c r="F409">
        <v>13577</v>
      </c>
      <c r="G409">
        <v>787</v>
      </c>
      <c r="H409">
        <v>1919</v>
      </c>
      <c r="I409">
        <v>1906</v>
      </c>
      <c r="J409">
        <v>2845</v>
      </c>
      <c r="K409">
        <v>0.12817459198917608</v>
      </c>
      <c r="L409" t="s">
        <v>22</v>
      </c>
    </row>
    <row r="410" spans="1:12" x14ac:dyDescent="0.25">
      <c r="A410" t="s">
        <v>20</v>
      </c>
      <c r="B410" t="s">
        <v>28</v>
      </c>
      <c r="C410">
        <v>346318</v>
      </c>
      <c r="D410">
        <v>44719</v>
      </c>
      <c r="E410">
        <v>37980</v>
      </c>
      <c r="F410">
        <v>2664</v>
      </c>
      <c r="G410">
        <v>85</v>
      </c>
      <c r="H410">
        <v>169</v>
      </c>
      <c r="I410">
        <v>660</v>
      </c>
      <c r="J410">
        <v>1480</v>
      </c>
      <c r="K410">
        <v>9.420747761979989E-2</v>
      </c>
      <c r="L410" t="s">
        <v>29</v>
      </c>
    </row>
    <row r="411" spans="1:12" x14ac:dyDescent="0.25">
      <c r="A411" t="s">
        <v>20</v>
      </c>
      <c r="B411" t="s">
        <v>51</v>
      </c>
      <c r="C411">
        <v>785192</v>
      </c>
      <c r="D411">
        <v>197206</v>
      </c>
      <c r="E411">
        <v>155843</v>
      </c>
      <c r="F411">
        <v>14122</v>
      </c>
      <c r="G411">
        <v>2353</v>
      </c>
      <c r="H411">
        <v>1446</v>
      </c>
      <c r="I411">
        <v>26</v>
      </c>
      <c r="J411">
        <v>2565</v>
      </c>
      <c r="K411">
        <v>0.11516077077571658</v>
      </c>
      <c r="L411" t="s">
        <v>22</v>
      </c>
    </row>
    <row r="412" spans="1:12" x14ac:dyDescent="0.25">
      <c r="A412" t="s">
        <v>20</v>
      </c>
      <c r="B412" t="s">
        <v>54</v>
      </c>
      <c r="C412">
        <v>159746</v>
      </c>
      <c r="D412">
        <v>35141</v>
      </c>
      <c r="E412">
        <v>26999</v>
      </c>
      <c r="F412">
        <v>1726</v>
      </c>
      <c r="G412">
        <v>308</v>
      </c>
      <c r="H412">
        <v>129</v>
      </c>
      <c r="I412">
        <v>398</v>
      </c>
      <c r="J412">
        <v>388</v>
      </c>
      <c r="K412">
        <v>9.4855365013519016E-2</v>
      </c>
      <c r="L412" t="s">
        <v>22</v>
      </c>
    </row>
    <row r="413" spans="1:12" x14ac:dyDescent="0.25">
      <c r="A413" t="s">
        <v>20</v>
      </c>
      <c r="B413" t="s">
        <v>73</v>
      </c>
      <c r="C413">
        <v>46783</v>
      </c>
      <c r="D413">
        <v>16698</v>
      </c>
      <c r="E413">
        <v>11891</v>
      </c>
      <c r="F413">
        <v>1232</v>
      </c>
      <c r="G413">
        <v>94</v>
      </c>
      <c r="H413">
        <v>72</v>
      </c>
      <c r="I413">
        <v>77</v>
      </c>
      <c r="J413">
        <v>561</v>
      </c>
      <c r="K413">
        <v>0.12404339416365319</v>
      </c>
      <c r="L413" t="s">
        <v>66</v>
      </c>
    </row>
    <row r="414" spans="1:12" x14ac:dyDescent="0.25">
      <c r="A414" t="s">
        <v>20</v>
      </c>
      <c r="B414" t="s">
        <v>128</v>
      </c>
      <c r="C414">
        <v>601208</v>
      </c>
      <c r="D414">
        <v>367802</v>
      </c>
      <c r="E414">
        <v>311207</v>
      </c>
      <c r="F414">
        <v>20164</v>
      </c>
      <c r="G414">
        <v>2949</v>
      </c>
      <c r="H414">
        <v>1780</v>
      </c>
      <c r="I414">
        <v>31</v>
      </c>
      <c r="J414">
        <v>11599</v>
      </c>
      <c r="K414">
        <v>8.0088172823876064E-2</v>
      </c>
      <c r="L414" t="s">
        <v>22</v>
      </c>
    </row>
    <row r="415" spans="1:12" x14ac:dyDescent="0.25">
      <c r="A415" t="s">
        <v>20</v>
      </c>
      <c r="B415" t="s">
        <v>54</v>
      </c>
      <c r="C415">
        <v>542831</v>
      </c>
      <c r="D415">
        <v>254301</v>
      </c>
      <c r="E415">
        <v>200860</v>
      </c>
      <c r="F415">
        <v>10250</v>
      </c>
      <c r="G415">
        <v>1187</v>
      </c>
      <c r="H415">
        <v>804</v>
      </c>
      <c r="I415">
        <v>2027</v>
      </c>
      <c r="J415">
        <v>5031</v>
      </c>
      <c r="K415">
        <v>7.1034551428855924E-2</v>
      </c>
      <c r="L415" t="s">
        <v>29</v>
      </c>
    </row>
    <row r="416" spans="1:12" x14ac:dyDescent="0.25">
      <c r="A416" t="s">
        <v>20</v>
      </c>
      <c r="B416" t="s">
        <v>70</v>
      </c>
      <c r="C416">
        <v>661284</v>
      </c>
      <c r="D416">
        <v>248690</v>
      </c>
      <c r="E416">
        <v>183472</v>
      </c>
      <c r="F416">
        <v>13122</v>
      </c>
      <c r="G416">
        <v>1839</v>
      </c>
      <c r="H416">
        <v>1100</v>
      </c>
      <c r="I416">
        <v>46</v>
      </c>
      <c r="J416">
        <v>6367</v>
      </c>
      <c r="K416">
        <v>8.7789962501090085E-2</v>
      </c>
      <c r="L416" t="s">
        <v>22</v>
      </c>
    </row>
    <row r="417" spans="1:12" x14ac:dyDescent="0.25">
      <c r="A417" t="s">
        <v>20</v>
      </c>
      <c r="B417" t="s">
        <v>128</v>
      </c>
      <c r="C417">
        <v>87659</v>
      </c>
      <c r="D417">
        <v>47700</v>
      </c>
      <c r="E417">
        <v>42032</v>
      </c>
      <c r="F417">
        <v>3310</v>
      </c>
      <c r="G417">
        <v>111</v>
      </c>
      <c r="H417">
        <v>472</v>
      </c>
      <c r="I417">
        <v>24</v>
      </c>
      <c r="J417">
        <v>993</v>
      </c>
      <c r="K417">
        <v>9.3190902169775408E-2</v>
      </c>
      <c r="L417" t="s">
        <v>29</v>
      </c>
    </row>
    <row r="418" spans="1:12" x14ac:dyDescent="0.25">
      <c r="A418" t="s">
        <v>20</v>
      </c>
      <c r="B418" t="s">
        <v>146</v>
      </c>
      <c r="C418">
        <v>462663</v>
      </c>
      <c r="D418">
        <v>268944</v>
      </c>
      <c r="E418">
        <v>226390</v>
      </c>
      <c r="F418">
        <v>18115</v>
      </c>
      <c r="G418">
        <v>1288</v>
      </c>
      <c r="H418">
        <v>550</v>
      </c>
      <c r="I418">
        <v>3729</v>
      </c>
      <c r="J418">
        <v>5311</v>
      </c>
      <c r="K418">
        <v>0.10460709395291311</v>
      </c>
      <c r="L418" t="s">
        <v>29</v>
      </c>
    </row>
    <row r="419" spans="1:12" x14ac:dyDescent="0.25">
      <c r="A419" t="s">
        <v>20</v>
      </c>
      <c r="B419" t="s">
        <v>54</v>
      </c>
      <c r="C419">
        <v>196438</v>
      </c>
      <c r="D419">
        <v>106083</v>
      </c>
      <c r="E419">
        <v>81129</v>
      </c>
      <c r="F419">
        <v>3020</v>
      </c>
      <c r="G419">
        <v>529</v>
      </c>
      <c r="H419">
        <v>219</v>
      </c>
      <c r="I419">
        <v>489</v>
      </c>
      <c r="J419">
        <v>3514</v>
      </c>
      <c r="K419">
        <v>5.2471989054468808E-2</v>
      </c>
      <c r="L419" t="s">
        <v>22</v>
      </c>
    </row>
    <row r="420" spans="1:12" x14ac:dyDescent="0.25">
      <c r="A420" t="s">
        <v>20</v>
      </c>
      <c r="B420" t="s">
        <v>104</v>
      </c>
      <c r="C420">
        <v>417208</v>
      </c>
      <c r="D420">
        <v>263168</v>
      </c>
      <c r="E420">
        <v>186901</v>
      </c>
      <c r="F420">
        <v>16216</v>
      </c>
      <c r="G420">
        <v>769</v>
      </c>
      <c r="H420">
        <v>595</v>
      </c>
      <c r="I420">
        <v>3341</v>
      </c>
      <c r="J420">
        <v>1457</v>
      </c>
      <c r="K420">
        <v>0.11193626572356488</v>
      </c>
      <c r="L420" t="s">
        <v>22</v>
      </c>
    </row>
    <row r="421" spans="1:12" x14ac:dyDescent="0.25">
      <c r="A421" t="s">
        <v>20</v>
      </c>
      <c r="B421" t="s">
        <v>28</v>
      </c>
      <c r="C421">
        <v>840866</v>
      </c>
      <c r="D421">
        <v>107721</v>
      </c>
      <c r="E421">
        <v>79715</v>
      </c>
      <c r="F421">
        <v>7818</v>
      </c>
      <c r="G421">
        <v>1342</v>
      </c>
      <c r="H421">
        <v>1055</v>
      </c>
      <c r="I421">
        <v>741</v>
      </c>
      <c r="J421">
        <v>3602</v>
      </c>
      <c r="K421">
        <v>0.13743962867716239</v>
      </c>
      <c r="L421" t="s">
        <v>66</v>
      </c>
    </row>
    <row r="422" spans="1:12" x14ac:dyDescent="0.25">
      <c r="A422" t="s">
        <v>20</v>
      </c>
      <c r="B422" t="s">
        <v>78</v>
      </c>
      <c r="C422">
        <v>737825</v>
      </c>
      <c r="D422">
        <v>79962</v>
      </c>
      <c r="E422">
        <v>63518</v>
      </c>
      <c r="F422">
        <v>2847</v>
      </c>
      <c r="G422">
        <v>123</v>
      </c>
      <c r="H422">
        <v>193</v>
      </c>
      <c r="I422">
        <v>681</v>
      </c>
      <c r="J422">
        <v>681</v>
      </c>
      <c r="K422">
        <v>6.0518278283321264E-2</v>
      </c>
      <c r="L422" t="s">
        <v>29</v>
      </c>
    </row>
    <row r="423" spans="1:12" x14ac:dyDescent="0.25">
      <c r="A423" t="s">
        <v>20</v>
      </c>
      <c r="B423" t="s">
        <v>51</v>
      </c>
      <c r="C423">
        <v>202300</v>
      </c>
      <c r="D423">
        <v>109979</v>
      </c>
      <c r="E423">
        <v>83952</v>
      </c>
      <c r="F423">
        <v>5460</v>
      </c>
      <c r="G423">
        <v>270</v>
      </c>
      <c r="H423">
        <v>717</v>
      </c>
      <c r="I423">
        <v>38</v>
      </c>
      <c r="J423">
        <v>1261</v>
      </c>
      <c r="K423">
        <v>7.7246521821993513E-2</v>
      </c>
      <c r="L423" t="s">
        <v>29</v>
      </c>
    </row>
    <row r="424" spans="1:12" x14ac:dyDescent="0.25">
      <c r="A424" t="s">
        <v>20</v>
      </c>
      <c r="B424" t="s">
        <v>54</v>
      </c>
      <c r="C424">
        <v>306789</v>
      </c>
      <c r="D424">
        <v>65722</v>
      </c>
      <c r="E424">
        <v>59124</v>
      </c>
      <c r="F424">
        <v>2772</v>
      </c>
      <c r="G424">
        <v>367</v>
      </c>
      <c r="H424">
        <v>220</v>
      </c>
      <c r="I424">
        <v>144</v>
      </c>
      <c r="J424">
        <v>591</v>
      </c>
      <c r="K424">
        <v>5.9248359380285505E-2</v>
      </c>
      <c r="L424" t="s">
        <v>22</v>
      </c>
    </row>
    <row r="425" spans="1:12" x14ac:dyDescent="0.25">
      <c r="A425" t="s">
        <v>20</v>
      </c>
      <c r="B425" t="s">
        <v>128</v>
      </c>
      <c r="C425">
        <v>428900</v>
      </c>
      <c r="D425">
        <v>211154</v>
      </c>
      <c r="E425">
        <v>190458</v>
      </c>
      <c r="F425">
        <v>11975</v>
      </c>
      <c r="G425">
        <v>1266</v>
      </c>
      <c r="H425">
        <v>1420</v>
      </c>
      <c r="I425">
        <v>20</v>
      </c>
      <c r="J425">
        <v>7336</v>
      </c>
      <c r="K425">
        <v>7.7082611389387684E-2</v>
      </c>
      <c r="L425" t="s">
        <v>22</v>
      </c>
    </row>
    <row r="426" spans="1:12" x14ac:dyDescent="0.25">
      <c r="A426" t="s">
        <v>20</v>
      </c>
      <c r="B426" t="s">
        <v>104</v>
      </c>
      <c r="C426">
        <v>303634</v>
      </c>
      <c r="D426">
        <v>181829</v>
      </c>
      <c r="E426">
        <v>133303</v>
      </c>
      <c r="F426">
        <v>12630</v>
      </c>
      <c r="G426">
        <v>926</v>
      </c>
      <c r="H426">
        <v>1273</v>
      </c>
      <c r="I426">
        <v>738</v>
      </c>
      <c r="J426">
        <v>2978</v>
      </c>
      <c r="K426">
        <v>0.1167790672377966</v>
      </c>
      <c r="L426" t="s">
        <v>22</v>
      </c>
    </row>
    <row r="427" spans="1:12" x14ac:dyDescent="0.25">
      <c r="A427" t="s">
        <v>20</v>
      </c>
      <c r="B427" t="s">
        <v>155</v>
      </c>
      <c r="C427">
        <v>840252</v>
      </c>
      <c r="D427">
        <v>502101</v>
      </c>
      <c r="E427">
        <v>446280</v>
      </c>
      <c r="F427">
        <v>26420</v>
      </c>
      <c r="G427">
        <v>1086</v>
      </c>
      <c r="H427">
        <v>2379</v>
      </c>
      <c r="I427">
        <v>1762</v>
      </c>
      <c r="J427">
        <v>10419</v>
      </c>
      <c r="K427">
        <v>7.091287980639957E-2</v>
      </c>
      <c r="L427" t="s">
        <v>22</v>
      </c>
    </row>
    <row r="428" spans="1:12" x14ac:dyDescent="0.25">
      <c r="A428" t="s">
        <v>20</v>
      </c>
      <c r="B428" t="s">
        <v>73</v>
      </c>
      <c r="C428">
        <v>691854</v>
      </c>
      <c r="D428">
        <v>228861</v>
      </c>
      <c r="E428">
        <v>167685</v>
      </c>
      <c r="F428">
        <v>7733</v>
      </c>
      <c r="G428">
        <v>273</v>
      </c>
      <c r="H428">
        <v>416</v>
      </c>
      <c r="I428">
        <v>1478</v>
      </c>
      <c r="J428">
        <v>4140</v>
      </c>
      <c r="K428">
        <v>5.9039270059933806E-2</v>
      </c>
      <c r="L428" t="s">
        <v>66</v>
      </c>
    </row>
    <row r="429" spans="1:12" x14ac:dyDescent="0.25">
      <c r="A429" t="s">
        <v>20</v>
      </c>
      <c r="B429" t="s">
        <v>104</v>
      </c>
      <c r="C429">
        <v>349310</v>
      </c>
      <c r="D429">
        <v>128234</v>
      </c>
      <c r="E429">
        <v>115854</v>
      </c>
      <c r="F429">
        <v>4701</v>
      </c>
      <c r="G429">
        <v>442</v>
      </c>
      <c r="H429">
        <v>307</v>
      </c>
      <c r="I429">
        <v>570</v>
      </c>
      <c r="J429">
        <v>2381</v>
      </c>
      <c r="K429">
        <v>5.1961952112141142E-2</v>
      </c>
      <c r="L429" t="s">
        <v>29</v>
      </c>
    </row>
    <row r="430" spans="1:12" x14ac:dyDescent="0.25">
      <c r="A430" t="s">
        <v>20</v>
      </c>
      <c r="B430" t="s">
        <v>46</v>
      </c>
      <c r="C430">
        <v>50528</v>
      </c>
      <c r="D430">
        <v>14320</v>
      </c>
      <c r="E430">
        <v>10783</v>
      </c>
      <c r="F430">
        <v>572</v>
      </c>
      <c r="G430">
        <v>36</v>
      </c>
      <c r="H430">
        <v>82</v>
      </c>
      <c r="I430">
        <v>1</v>
      </c>
      <c r="J430">
        <v>367</v>
      </c>
      <c r="K430">
        <v>6.4082351850134472E-2</v>
      </c>
      <c r="L430" t="s">
        <v>22</v>
      </c>
    </row>
    <row r="431" spans="1:12" x14ac:dyDescent="0.25">
      <c r="A431" t="s">
        <v>20</v>
      </c>
      <c r="B431" t="s">
        <v>155</v>
      </c>
      <c r="C431">
        <v>116235</v>
      </c>
      <c r="D431">
        <v>57059</v>
      </c>
      <c r="E431">
        <v>43094</v>
      </c>
      <c r="F431">
        <v>3895</v>
      </c>
      <c r="G431">
        <v>459</v>
      </c>
      <c r="H431">
        <v>396</v>
      </c>
      <c r="I431">
        <v>716</v>
      </c>
      <c r="J431">
        <v>1929</v>
      </c>
      <c r="K431">
        <v>0.1268390031094816</v>
      </c>
      <c r="L431" t="s">
        <v>22</v>
      </c>
    </row>
    <row r="432" spans="1:12" x14ac:dyDescent="0.25">
      <c r="A432" t="s">
        <v>20</v>
      </c>
      <c r="B432" t="s">
        <v>73</v>
      </c>
      <c r="C432">
        <v>585464</v>
      </c>
      <c r="D432">
        <v>238527</v>
      </c>
      <c r="E432">
        <v>215342</v>
      </c>
      <c r="F432">
        <v>13751</v>
      </c>
      <c r="G432">
        <v>2428</v>
      </c>
      <c r="H432">
        <v>281</v>
      </c>
      <c r="I432">
        <v>3323</v>
      </c>
      <c r="J432">
        <v>3535</v>
      </c>
      <c r="K432">
        <v>9.1867819561441799E-2</v>
      </c>
      <c r="L432" t="s">
        <v>29</v>
      </c>
    </row>
    <row r="433" spans="1:12" x14ac:dyDescent="0.25">
      <c r="A433" t="s">
        <v>20</v>
      </c>
      <c r="B433" t="s">
        <v>51</v>
      </c>
      <c r="C433">
        <v>117659</v>
      </c>
      <c r="D433">
        <v>34282</v>
      </c>
      <c r="E433">
        <v>29200</v>
      </c>
      <c r="F433">
        <v>1244</v>
      </c>
      <c r="G433">
        <v>160</v>
      </c>
      <c r="H433">
        <v>154</v>
      </c>
      <c r="I433">
        <v>47</v>
      </c>
      <c r="J433">
        <v>586</v>
      </c>
      <c r="K433">
        <v>5.4965753424657537E-2</v>
      </c>
      <c r="L433" t="s">
        <v>22</v>
      </c>
    </row>
    <row r="434" spans="1:12" x14ac:dyDescent="0.25">
      <c r="A434" t="s">
        <v>20</v>
      </c>
      <c r="B434" t="s">
        <v>155</v>
      </c>
      <c r="C434">
        <v>292482</v>
      </c>
      <c r="D434">
        <v>119188</v>
      </c>
      <c r="E434">
        <v>88943</v>
      </c>
      <c r="F434">
        <v>3175</v>
      </c>
      <c r="G434">
        <v>426</v>
      </c>
      <c r="H434">
        <v>234</v>
      </c>
      <c r="I434">
        <v>375</v>
      </c>
      <c r="J434">
        <v>2194</v>
      </c>
      <c r="K434">
        <v>4.733368561887951E-2</v>
      </c>
      <c r="L434" t="s">
        <v>22</v>
      </c>
    </row>
    <row r="435" spans="1:12" x14ac:dyDescent="0.25">
      <c r="A435" t="s">
        <v>20</v>
      </c>
      <c r="B435" t="s">
        <v>146</v>
      </c>
      <c r="C435">
        <v>504443</v>
      </c>
      <c r="D435">
        <v>258107</v>
      </c>
      <c r="E435">
        <v>182366</v>
      </c>
      <c r="F435">
        <v>18379</v>
      </c>
      <c r="G435">
        <v>2736</v>
      </c>
      <c r="H435">
        <v>1400</v>
      </c>
      <c r="I435">
        <v>3886</v>
      </c>
      <c r="J435">
        <v>7298</v>
      </c>
      <c r="K435">
        <v>0.14476931006876281</v>
      </c>
      <c r="L435" t="s">
        <v>22</v>
      </c>
    </row>
    <row r="436" spans="1:12" x14ac:dyDescent="0.25">
      <c r="A436" t="s">
        <v>20</v>
      </c>
      <c r="B436" t="s">
        <v>70</v>
      </c>
      <c r="C436">
        <v>412350</v>
      </c>
      <c r="D436">
        <v>148241</v>
      </c>
      <c r="E436">
        <v>123120</v>
      </c>
      <c r="F436">
        <v>8438</v>
      </c>
      <c r="G436">
        <v>919</v>
      </c>
      <c r="H436">
        <v>1081</v>
      </c>
      <c r="I436">
        <v>18</v>
      </c>
      <c r="J436">
        <v>1357</v>
      </c>
      <c r="K436">
        <v>8.492527615334633E-2</v>
      </c>
      <c r="L436" t="s">
        <v>22</v>
      </c>
    </row>
    <row r="437" spans="1:12" x14ac:dyDescent="0.25">
      <c r="A437" t="s">
        <v>20</v>
      </c>
      <c r="B437" t="s">
        <v>87</v>
      </c>
      <c r="C437">
        <v>142467</v>
      </c>
      <c r="D437">
        <v>79901</v>
      </c>
      <c r="E437">
        <v>67983</v>
      </c>
      <c r="F437">
        <v>5561</v>
      </c>
      <c r="G437">
        <v>464</v>
      </c>
      <c r="H437">
        <v>524</v>
      </c>
      <c r="I437">
        <v>323</v>
      </c>
      <c r="J437">
        <v>2539</v>
      </c>
      <c r="K437">
        <v>0.10108409455305002</v>
      </c>
      <c r="L437" t="s">
        <v>22</v>
      </c>
    </row>
    <row r="438" spans="1:12" x14ac:dyDescent="0.25">
      <c r="A438" t="s">
        <v>20</v>
      </c>
      <c r="B438" t="s">
        <v>28</v>
      </c>
      <c r="C438">
        <v>624773</v>
      </c>
      <c r="D438">
        <v>79496</v>
      </c>
      <c r="E438">
        <v>57086</v>
      </c>
      <c r="F438">
        <v>5107</v>
      </c>
      <c r="G438">
        <v>268</v>
      </c>
      <c r="H438">
        <v>386</v>
      </c>
      <c r="I438">
        <v>1171</v>
      </c>
      <c r="J438">
        <v>2625</v>
      </c>
      <c r="K438">
        <v>0.1214308236695512</v>
      </c>
      <c r="L438" t="s">
        <v>29</v>
      </c>
    </row>
    <row r="439" spans="1:12" x14ac:dyDescent="0.25">
      <c r="A439" t="s">
        <v>20</v>
      </c>
      <c r="B439" t="s">
        <v>87</v>
      </c>
      <c r="C439">
        <v>280904</v>
      </c>
      <c r="D439">
        <v>148484</v>
      </c>
      <c r="E439">
        <v>119236</v>
      </c>
      <c r="F439">
        <v>11711</v>
      </c>
      <c r="G439">
        <v>1975</v>
      </c>
      <c r="H439">
        <v>985</v>
      </c>
      <c r="I439">
        <v>772</v>
      </c>
      <c r="J439">
        <v>2789</v>
      </c>
      <c r="K439">
        <v>0.12951625348049248</v>
      </c>
      <c r="L439" t="s">
        <v>66</v>
      </c>
    </row>
    <row r="440" spans="1:12" x14ac:dyDescent="0.25">
      <c r="A440" t="s">
        <v>20</v>
      </c>
      <c r="B440" t="s">
        <v>58</v>
      </c>
      <c r="C440">
        <v>444872</v>
      </c>
      <c r="D440">
        <v>999838</v>
      </c>
      <c r="E440">
        <v>862392</v>
      </c>
      <c r="F440">
        <v>46708</v>
      </c>
      <c r="G440">
        <v>4799</v>
      </c>
      <c r="H440">
        <v>1053</v>
      </c>
      <c r="I440">
        <v>6534</v>
      </c>
      <c r="J440">
        <v>12276</v>
      </c>
      <c r="K440">
        <v>6.8523362925444573E-2</v>
      </c>
      <c r="L440" t="s">
        <v>22</v>
      </c>
    </row>
    <row r="441" spans="1:12" x14ac:dyDescent="0.25">
      <c r="A441" t="s">
        <v>20</v>
      </c>
      <c r="B441" t="s">
        <v>65</v>
      </c>
      <c r="C441">
        <v>267705</v>
      </c>
      <c r="D441">
        <v>92577</v>
      </c>
      <c r="E441">
        <v>72371</v>
      </c>
      <c r="F441">
        <v>2988</v>
      </c>
      <c r="G441">
        <v>148</v>
      </c>
      <c r="H441">
        <v>432</v>
      </c>
      <c r="I441">
        <v>296</v>
      </c>
      <c r="J441">
        <v>867</v>
      </c>
      <c r="K441">
        <v>5.3391551864697184E-2</v>
      </c>
      <c r="L441" t="s">
        <v>29</v>
      </c>
    </row>
    <row r="442" spans="1:12" x14ac:dyDescent="0.25">
      <c r="A442" t="s">
        <v>20</v>
      </c>
      <c r="B442" t="s">
        <v>87</v>
      </c>
      <c r="C442">
        <v>72832</v>
      </c>
      <c r="D442">
        <v>11468</v>
      </c>
      <c r="E442">
        <v>9190</v>
      </c>
      <c r="F442">
        <v>779</v>
      </c>
      <c r="G442">
        <v>102</v>
      </c>
      <c r="H442">
        <v>55</v>
      </c>
      <c r="I442">
        <v>123</v>
      </c>
      <c r="J442">
        <v>196</v>
      </c>
      <c r="K442">
        <v>0.11523394994559304</v>
      </c>
      <c r="L442" t="s">
        <v>22</v>
      </c>
    </row>
    <row r="443" spans="1:12" x14ac:dyDescent="0.25">
      <c r="A443" t="s">
        <v>20</v>
      </c>
      <c r="B443" t="s">
        <v>73</v>
      </c>
      <c r="C443">
        <v>232874</v>
      </c>
      <c r="D443">
        <v>109552</v>
      </c>
      <c r="E443">
        <v>97255</v>
      </c>
      <c r="F443">
        <v>6892</v>
      </c>
      <c r="G443">
        <v>691</v>
      </c>
      <c r="H443">
        <v>929</v>
      </c>
      <c r="I443">
        <v>1341</v>
      </c>
      <c r="J443">
        <v>1830</v>
      </c>
      <c r="K443">
        <v>0.10131098658166675</v>
      </c>
      <c r="L443" t="s">
        <v>22</v>
      </c>
    </row>
    <row r="444" spans="1:12" x14ac:dyDescent="0.25">
      <c r="A444" t="s">
        <v>20</v>
      </c>
      <c r="B444" t="s">
        <v>51</v>
      </c>
      <c r="C444">
        <v>431854</v>
      </c>
      <c r="D444">
        <v>162674</v>
      </c>
      <c r="E444">
        <v>145072</v>
      </c>
      <c r="F444">
        <v>9314</v>
      </c>
      <c r="G444">
        <v>1079</v>
      </c>
      <c r="H444">
        <v>1134</v>
      </c>
      <c r="I444">
        <v>47</v>
      </c>
      <c r="J444">
        <v>1672</v>
      </c>
      <c r="K444">
        <v>7.9781074225212315E-2</v>
      </c>
      <c r="L444" t="s">
        <v>22</v>
      </c>
    </row>
    <row r="445" spans="1:12" x14ac:dyDescent="0.25">
      <c r="A445" t="s">
        <v>20</v>
      </c>
      <c r="B445" t="s">
        <v>51</v>
      </c>
      <c r="C445">
        <v>107742</v>
      </c>
      <c r="D445">
        <v>33708</v>
      </c>
      <c r="E445">
        <v>26877</v>
      </c>
      <c r="F445">
        <v>2169</v>
      </c>
      <c r="G445">
        <v>190</v>
      </c>
      <c r="H445">
        <v>216</v>
      </c>
      <c r="I445">
        <v>24</v>
      </c>
      <c r="J445">
        <v>191</v>
      </c>
      <c r="K445">
        <v>9.6699780481452544E-2</v>
      </c>
      <c r="L445" t="s">
        <v>29</v>
      </c>
    </row>
    <row r="446" spans="1:12" x14ac:dyDescent="0.25">
      <c r="A446" t="s">
        <v>20</v>
      </c>
      <c r="B446" t="s">
        <v>107</v>
      </c>
      <c r="C446">
        <v>542922</v>
      </c>
      <c r="D446">
        <v>75662</v>
      </c>
      <c r="E446">
        <v>68387</v>
      </c>
      <c r="F446">
        <v>3500</v>
      </c>
      <c r="G446">
        <v>344</v>
      </c>
      <c r="H446">
        <v>452</v>
      </c>
      <c r="I446">
        <v>7</v>
      </c>
      <c r="J446">
        <v>2590</v>
      </c>
      <c r="K446">
        <v>6.2921315454691679E-2</v>
      </c>
      <c r="L446" t="s">
        <v>29</v>
      </c>
    </row>
    <row r="447" spans="1:12" x14ac:dyDescent="0.25">
      <c r="A447" t="s">
        <v>20</v>
      </c>
      <c r="B447" t="s">
        <v>65</v>
      </c>
      <c r="C447">
        <v>842645</v>
      </c>
      <c r="D447">
        <v>386353</v>
      </c>
      <c r="E447">
        <v>311138</v>
      </c>
      <c r="F447">
        <v>10023</v>
      </c>
      <c r="G447">
        <v>883</v>
      </c>
      <c r="H447">
        <v>1025</v>
      </c>
      <c r="I447">
        <v>1586</v>
      </c>
      <c r="J447">
        <v>11249</v>
      </c>
      <c r="K447">
        <v>4.34437452191632E-2</v>
      </c>
      <c r="L447" t="s">
        <v>22</v>
      </c>
    </row>
    <row r="448" spans="1:12" x14ac:dyDescent="0.25">
      <c r="A448" t="s">
        <v>20</v>
      </c>
      <c r="B448" t="s">
        <v>146</v>
      </c>
      <c r="C448">
        <v>564777</v>
      </c>
      <c r="D448">
        <v>2442411</v>
      </c>
      <c r="E448">
        <v>1860901</v>
      </c>
      <c r="F448">
        <v>130365</v>
      </c>
      <c r="G448">
        <v>13901</v>
      </c>
      <c r="H448">
        <v>5316</v>
      </c>
      <c r="I448">
        <v>11774</v>
      </c>
      <c r="J448">
        <v>56733</v>
      </c>
      <c r="K448">
        <v>8.6708535274041987E-2</v>
      </c>
      <c r="L448" t="s">
        <v>22</v>
      </c>
    </row>
    <row r="449" spans="1:12" x14ac:dyDescent="0.25">
      <c r="A449" t="s">
        <v>20</v>
      </c>
      <c r="B449" t="s">
        <v>28</v>
      </c>
      <c r="C449">
        <v>20279</v>
      </c>
      <c r="D449">
        <v>11652</v>
      </c>
      <c r="E449">
        <v>9379</v>
      </c>
      <c r="F449">
        <v>332</v>
      </c>
      <c r="G449">
        <v>51</v>
      </c>
      <c r="H449">
        <v>22</v>
      </c>
      <c r="I449">
        <v>18</v>
      </c>
      <c r="J449">
        <v>210</v>
      </c>
      <c r="K449">
        <v>4.5100757010342253E-2</v>
      </c>
      <c r="L449" t="s">
        <v>22</v>
      </c>
    </row>
    <row r="450" spans="1:12" x14ac:dyDescent="0.25">
      <c r="A450" t="s">
        <v>20</v>
      </c>
      <c r="B450" t="s">
        <v>107</v>
      </c>
      <c r="C450">
        <v>132534</v>
      </c>
      <c r="D450">
        <v>16327</v>
      </c>
      <c r="E450">
        <v>14477</v>
      </c>
      <c r="F450">
        <v>1067</v>
      </c>
      <c r="G450">
        <v>68</v>
      </c>
      <c r="H450">
        <v>76</v>
      </c>
      <c r="I450">
        <v>37</v>
      </c>
      <c r="J450">
        <v>226</v>
      </c>
      <c r="K450">
        <v>8.6205705601989369E-2</v>
      </c>
      <c r="L450" t="s">
        <v>22</v>
      </c>
    </row>
    <row r="451" spans="1:12" x14ac:dyDescent="0.25">
      <c r="A451" t="s">
        <v>20</v>
      </c>
      <c r="B451" t="s">
        <v>58</v>
      </c>
      <c r="C451">
        <v>670540</v>
      </c>
      <c r="D451">
        <v>421724</v>
      </c>
      <c r="E451">
        <v>387906</v>
      </c>
      <c r="F451">
        <v>30750</v>
      </c>
      <c r="G451">
        <v>2620</v>
      </c>
      <c r="H451">
        <v>698</v>
      </c>
      <c r="I451">
        <v>6491</v>
      </c>
      <c r="J451">
        <v>3930</v>
      </c>
      <c r="K451">
        <v>0.10455883641913247</v>
      </c>
      <c r="L451" t="s">
        <v>22</v>
      </c>
    </row>
    <row r="452" spans="1:12" x14ac:dyDescent="0.25">
      <c r="A452" t="s">
        <v>20</v>
      </c>
      <c r="B452" t="s">
        <v>87</v>
      </c>
      <c r="C452">
        <v>409414</v>
      </c>
      <c r="D452">
        <v>210704</v>
      </c>
      <c r="E452">
        <v>150617</v>
      </c>
      <c r="F452">
        <v>9725</v>
      </c>
      <c r="G452">
        <v>832</v>
      </c>
      <c r="H452">
        <v>1127</v>
      </c>
      <c r="I452">
        <v>1345</v>
      </c>
      <c r="J452">
        <v>5915</v>
      </c>
      <c r="K452">
        <v>8.6504179475092452E-2</v>
      </c>
      <c r="L452" t="s">
        <v>29</v>
      </c>
    </row>
    <row r="453" spans="1:12" x14ac:dyDescent="0.25">
      <c r="A453" t="s">
        <v>20</v>
      </c>
      <c r="B453" t="s">
        <v>146</v>
      </c>
      <c r="C453">
        <v>33419</v>
      </c>
      <c r="D453">
        <v>12102</v>
      </c>
      <c r="E453">
        <v>9354</v>
      </c>
      <c r="F453">
        <v>310</v>
      </c>
      <c r="G453">
        <v>28</v>
      </c>
      <c r="H453">
        <v>34</v>
      </c>
      <c r="I453">
        <v>57</v>
      </c>
      <c r="J453">
        <v>352</v>
      </c>
      <c r="K453">
        <v>4.5862732520846695E-2</v>
      </c>
      <c r="L453" t="s">
        <v>22</v>
      </c>
    </row>
    <row r="454" spans="1:12" x14ac:dyDescent="0.25">
      <c r="A454" t="s">
        <v>20</v>
      </c>
      <c r="B454" t="s">
        <v>107</v>
      </c>
      <c r="C454">
        <v>716917</v>
      </c>
      <c r="D454">
        <v>409903</v>
      </c>
      <c r="E454">
        <v>291708</v>
      </c>
      <c r="F454">
        <v>26753</v>
      </c>
      <c r="G454">
        <v>3159</v>
      </c>
      <c r="H454">
        <v>3229</v>
      </c>
      <c r="I454">
        <v>4</v>
      </c>
      <c r="J454">
        <v>9598</v>
      </c>
      <c r="K454">
        <v>0.11362389787047321</v>
      </c>
      <c r="L454" t="s">
        <v>22</v>
      </c>
    </row>
    <row r="455" spans="1:12" x14ac:dyDescent="0.25">
      <c r="A455" t="s">
        <v>20</v>
      </c>
      <c r="B455" t="s">
        <v>128</v>
      </c>
      <c r="C455">
        <v>313710</v>
      </c>
      <c r="D455">
        <v>28811</v>
      </c>
      <c r="E455">
        <v>23230</v>
      </c>
      <c r="F455">
        <v>1335</v>
      </c>
      <c r="G455">
        <v>151</v>
      </c>
      <c r="H455">
        <v>199</v>
      </c>
      <c r="I455">
        <v>12</v>
      </c>
      <c r="J455">
        <v>500</v>
      </c>
      <c r="K455">
        <v>7.3052087817477393E-2</v>
      </c>
      <c r="L455" t="s">
        <v>29</v>
      </c>
    </row>
    <row r="456" spans="1:12" x14ac:dyDescent="0.25">
      <c r="A456" t="s">
        <v>20</v>
      </c>
      <c r="B456" t="s">
        <v>35</v>
      </c>
      <c r="C456">
        <v>827008</v>
      </c>
      <c r="D456">
        <v>263679</v>
      </c>
      <c r="E456">
        <v>195792</v>
      </c>
      <c r="F456">
        <v>18473</v>
      </c>
      <c r="G456">
        <v>749</v>
      </c>
      <c r="H456">
        <v>2682</v>
      </c>
      <c r="I456">
        <v>17</v>
      </c>
      <c r="J456">
        <v>2429</v>
      </c>
      <c r="K456">
        <v>0.1119606521206178</v>
      </c>
      <c r="L456" t="s">
        <v>22</v>
      </c>
    </row>
    <row r="457" spans="1:12" x14ac:dyDescent="0.25">
      <c r="A457" t="s">
        <v>20</v>
      </c>
      <c r="B457" t="s">
        <v>128</v>
      </c>
      <c r="C457">
        <v>730705</v>
      </c>
      <c r="D457">
        <v>255609</v>
      </c>
      <c r="E457">
        <v>187746</v>
      </c>
      <c r="F457">
        <v>13685</v>
      </c>
      <c r="G457">
        <v>2302</v>
      </c>
      <c r="H457">
        <v>484</v>
      </c>
      <c r="I457">
        <v>26</v>
      </c>
      <c r="J457">
        <v>2124</v>
      </c>
      <c r="K457">
        <v>8.7868716244287493E-2</v>
      </c>
      <c r="L457" t="s">
        <v>22</v>
      </c>
    </row>
    <row r="458" spans="1:12" x14ac:dyDescent="0.25">
      <c r="A458" t="s">
        <v>20</v>
      </c>
      <c r="B458" t="s">
        <v>28</v>
      </c>
      <c r="C458">
        <v>168961</v>
      </c>
      <c r="D458">
        <v>29468</v>
      </c>
      <c r="E458">
        <v>26196</v>
      </c>
      <c r="F458">
        <v>989</v>
      </c>
      <c r="G458">
        <v>167</v>
      </c>
      <c r="H458">
        <v>111</v>
      </c>
      <c r="I458">
        <v>156</v>
      </c>
      <c r="J458">
        <v>991</v>
      </c>
      <c r="K458">
        <v>5.4321270422965341E-2</v>
      </c>
      <c r="L458" t="s">
        <v>22</v>
      </c>
    </row>
    <row r="459" spans="1:12" x14ac:dyDescent="0.25">
      <c r="A459" t="s">
        <v>20</v>
      </c>
      <c r="B459" t="s">
        <v>104</v>
      </c>
      <c r="C459">
        <v>538222</v>
      </c>
      <c r="D459">
        <v>300762</v>
      </c>
      <c r="E459">
        <v>261873</v>
      </c>
      <c r="F459">
        <v>9600</v>
      </c>
      <c r="G459">
        <v>1360</v>
      </c>
      <c r="H459">
        <v>847</v>
      </c>
      <c r="I459">
        <v>1977</v>
      </c>
      <c r="J459">
        <v>6582</v>
      </c>
      <c r="K459">
        <v>5.2636201517529492E-2</v>
      </c>
      <c r="L459" t="s">
        <v>22</v>
      </c>
    </row>
    <row r="460" spans="1:12" x14ac:dyDescent="0.25">
      <c r="A460" t="s">
        <v>20</v>
      </c>
      <c r="B460" t="s">
        <v>51</v>
      </c>
      <c r="C460">
        <v>232464</v>
      </c>
      <c r="D460">
        <v>125322</v>
      </c>
      <c r="E460">
        <v>93944</v>
      </c>
      <c r="F460">
        <v>3124</v>
      </c>
      <c r="G460">
        <v>138</v>
      </c>
      <c r="H460">
        <v>226</v>
      </c>
      <c r="I460">
        <v>39</v>
      </c>
      <c r="J460">
        <v>1022</v>
      </c>
      <c r="K460">
        <v>3.7543643021374438E-2</v>
      </c>
      <c r="L460" t="s">
        <v>22</v>
      </c>
    </row>
    <row r="461" spans="1:12" x14ac:dyDescent="0.25">
      <c r="A461" t="s">
        <v>20</v>
      </c>
      <c r="B461" t="s">
        <v>51</v>
      </c>
      <c r="C461">
        <v>780508</v>
      </c>
      <c r="D461">
        <v>359923</v>
      </c>
      <c r="E461">
        <v>321554</v>
      </c>
      <c r="F461">
        <v>9560</v>
      </c>
      <c r="G461">
        <v>519</v>
      </c>
      <c r="H461">
        <v>809</v>
      </c>
      <c r="I461">
        <v>19</v>
      </c>
      <c r="J461">
        <v>6158</v>
      </c>
      <c r="K461">
        <v>3.3919652686640503E-2</v>
      </c>
      <c r="L461" t="s">
        <v>22</v>
      </c>
    </row>
    <row r="462" spans="1:12" x14ac:dyDescent="0.25">
      <c r="A462" t="s">
        <v>20</v>
      </c>
      <c r="B462" t="s">
        <v>73</v>
      </c>
      <c r="C462">
        <v>610205</v>
      </c>
      <c r="D462">
        <v>329477</v>
      </c>
      <c r="E462">
        <v>253860</v>
      </c>
      <c r="F462">
        <v>18231</v>
      </c>
      <c r="G462">
        <v>1890</v>
      </c>
      <c r="H462">
        <v>2577</v>
      </c>
      <c r="I462">
        <v>2151</v>
      </c>
      <c r="J462">
        <v>3431</v>
      </c>
      <c r="K462">
        <v>9.7884660836681639E-2</v>
      </c>
      <c r="L462" t="s">
        <v>22</v>
      </c>
    </row>
    <row r="463" spans="1:12" x14ac:dyDescent="0.25">
      <c r="A463" t="s">
        <v>20</v>
      </c>
      <c r="B463" t="s">
        <v>21</v>
      </c>
      <c r="C463">
        <v>188473</v>
      </c>
      <c r="D463">
        <v>28823</v>
      </c>
      <c r="E463">
        <v>21065</v>
      </c>
      <c r="F463">
        <v>1388</v>
      </c>
      <c r="G463">
        <v>49</v>
      </c>
      <c r="H463">
        <v>135</v>
      </c>
      <c r="I463">
        <v>127</v>
      </c>
      <c r="J463">
        <v>783</v>
      </c>
      <c r="K463">
        <v>8.0655115119867074E-2</v>
      </c>
      <c r="L463" t="s">
        <v>22</v>
      </c>
    </row>
    <row r="464" spans="1:12" x14ac:dyDescent="0.25">
      <c r="A464" t="s">
        <v>20</v>
      </c>
      <c r="B464" t="s">
        <v>70</v>
      </c>
      <c r="C464">
        <v>128704</v>
      </c>
      <c r="D464">
        <v>64630</v>
      </c>
      <c r="E464">
        <v>55900</v>
      </c>
      <c r="F464">
        <v>2521</v>
      </c>
      <c r="G464">
        <v>147</v>
      </c>
      <c r="H464">
        <v>373</v>
      </c>
      <c r="I464">
        <v>32</v>
      </c>
      <c r="J464">
        <v>1020</v>
      </c>
      <c r="K464">
        <v>5.4973166368515208E-2</v>
      </c>
      <c r="L464" t="s">
        <v>22</v>
      </c>
    </row>
    <row r="465" spans="1:12" x14ac:dyDescent="0.25">
      <c r="A465" t="s">
        <v>20</v>
      </c>
      <c r="B465" t="s">
        <v>40</v>
      </c>
      <c r="C465">
        <v>497408</v>
      </c>
      <c r="D465">
        <v>276374</v>
      </c>
      <c r="E465">
        <v>202277</v>
      </c>
      <c r="F465">
        <v>11061</v>
      </c>
      <c r="G465">
        <v>919</v>
      </c>
      <c r="H465">
        <v>1292</v>
      </c>
      <c r="I465">
        <v>28</v>
      </c>
      <c r="J465">
        <v>3935</v>
      </c>
      <c r="K465">
        <v>6.5751420082362302E-2</v>
      </c>
      <c r="L465" t="s">
        <v>22</v>
      </c>
    </row>
    <row r="466" spans="1:12" x14ac:dyDescent="0.25">
      <c r="A466" t="s">
        <v>20</v>
      </c>
      <c r="B466" t="s">
        <v>46</v>
      </c>
      <c r="C466">
        <v>569192</v>
      </c>
      <c r="D466">
        <v>299254</v>
      </c>
      <c r="E466">
        <v>272193</v>
      </c>
      <c r="F466">
        <v>23246</v>
      </c>
      <c r="G466">
        <v>2633</v>
      </c>
      <c r="H466">
        <v>591</v>
      </c>
      <c r="I466">
        <v>29</v>
      </c>
      <c r="J466">
        <v>10124</v>
      </c>
      <c r="K466">
        <v>9.7353715929505896E-2</v>
      </c>
      <c r="L466" t="s">
        <v>29</v>
      </c>
    </row>
    <row r="467" spans="1:12" x14ac:dyDescent="0.25">
      <c r="A467" t="s">
        <v>20</v>
      </c>
      <c r="B467" t="s">
        <v>58</v>
      </c>
      <c r="C467">
        <v>593413</v>
      </c>
      <c r="D467">
        <v>145976</v>
      </c>
      <c r="E467">
        <v>107267</v>
      </c>
      <c r="F467">
        <v>8471</v>
      </c>
      <c r="G467">
        <v>858</v>
      </c>
      <c r="H467">
        <v>653</v>
      </c>
      <c r="I467">
        <v>923</v>
      </c>
      <c r="J467">
        <v>3986</v>
      </c>
      <c r="K467">
        <v>0.10166220738903857</v>
      </c>
      <c r="L467" t="s">
        <v>29</v>
      </c>
    </row>
    <row r="468" spans="1:12" x14ac:dyDescent="0.25">
      <c r="A468" t="s">
        <v>20</v>
      </c>
      <c r="B468" t="s">
        <v>46</v>
      </c>
      <c r="C468">
        <v>389491</v>
      </c>
      <c r="D468">
        <v>84289</v>
      </c>
      <c r="E468">
        <v>76380</v>
      </c>
      <c r="F468">
        <v>6345</v>
      </c>
      <c r="G468">
        <v>497</v>
      </c>
      <c r="H468">
        <v>368</v>
      </c>
      <c r="I468">
        <v>1</v>
      </c>
      <c r="J468">
        <v>944</v>
      </c>
      <c r="K468">
        <v>9.4409531290913853E-2</v>
      </c>
      <c r="L468" t="s">
        <v>22</v>
      </c>
    </row>
    <row r="469" spans="1:12" x14ac:dyDescent="0.25">
      <c r="A469" t="s">
        <v>20</v>
      </c>
      <c r="B469" t="s">
        <v>35</v>
      </c>
      <c r="C469">
        <v>304917</v>
      </c>
      <c r="D469">
        <v>1596057</v>
      </c>
      <c r="E469">
        <v>1280172</v>
      </c>
      <c r="F469">
        <v>48418</v>
      </c>
      <c r="G469">
        <v>8041</v>
      </c>
      <c r="H469">
        <v>3381</v>
      </c>
      <c r="I469">
        <v>41</v>
      </c>
      <c r="J469">
        <v>27999</v>
      </c>
      <c r="K469">
        <v>4.6775745759163614E-2</v>
      </c>
      <c r="L469" t="s">
        <v>22</v>
      </c>
    </row>
    <row r="470" spans="1:12" x14ac:dyDescent="0.25">
      <c r="A470" t="s">
        <v>20</v>
      </c>
      <c r="B470" t="s">
        <v>21</v>
      </c>
      <c r="C470">
        <v>21450</v>
      </c>
      <c r="D470">
        <v>4418</v>
      </c>
      <c r="E470">
        <v>3372</v>
      </c>
      <c r="F470">
        <v>277</v>
      </c>
      <c r="G470">
        <v>42</v>
      </c>
      <c r="H470">
        <v>26</v>
      </c>
      <c r="I470">
        <v>49</v>
      </c>
      <c r="J470">
        <v>65</v>
      </c>
      <c r="K470">
        <v>0.11684460260972716</v>
      </c>
      <c r="L470" t="s">
        <v>22</v>
      </c>
    </row>
    <row r="471" spans="1:12" x14ac:dyDescent="0.25">
      <c r="A471" t="s">
        <v>20</v>
      </c>
      <c r="B471" t="s">
        <v>128</v>
      </c>
      <c r="C471">
        <v>355991</v>
      </c>
      <c r="D471">
        <v>172054</v>
      </c>
      <c r="E471">
        <v>127917</v>
      </c>
      <c r="F471">
        <v>11832</v>
      </c>
      <c r="G471">
        <v>1646</v>
      </c>
      <c r="H471">
        <v>936</v>
      </c>
      <c r="I471">
        <v>3</v>
      </c>
      <c r="J471">
        <v>3259</v>
      </c>
      <c r="K471">
        <v>0.11270589522893751</v>
      </c>
      <c r="L471" t="s">
        <v>22</v>
      </c>
    </row>
    <row r="472" spans="1:12" x14ac:dyDescent="0.25">
      <c r="A472" t="s">
        <v>20</v>
      </c>
      <c r="B472" t="s">
        <v>155</v>
      </c>
      <c r="C472">
        <v>318417</v>
      </c>
      <c r="D472">
        <v>58976</v>
      </c>
      <c r="E472">
        <v>46947</v>
      </c>
      <c r="F472">
        <v>3741</v>
      </c>
      <c r="G472">
        <v>198</v>
      </c>
      <c r="H472">
        <v>344</v>
      </c>
      <c r="I472">
        <v>767</v>
      </c>
      <c r="J472">
        <v>303</v>
      </c>
      <c r="K472">
        <v>0.10756810871834196</v>
      </c>
      <c r="L472" t="s">
        <v>22</v>
      </c>
    </row>
    <row r="473" spans="1:12" x14ac:dyDescent="0.25">
      <c r="A473" t="s">
        <v>20</v>
      </c>
      <c r="B473" t="s">
        <v>107</v>
      </c>
      <c r="C473">
        <v>457428</v>
      </c>
      <c r="D473">
        <v>248025</v>
      </c>
      <c r="E473">
        <v>189369</v>
      </c>
      <c r="F473">
        <v>10052</v>
      </c>
      <c r="G473">
        <v>1761</v>
      </c>
      <c r="H473">
        <v>921</v>
      </c>
      <c r="I473">
        <v>47</v>
      </c>
      <c r="J473">
        <v>7150</v>
      </c>
      <c r="K473">
        <v>6.749256742127803E-2</v>
      </c>
      <c r="L473" t="s">
        <v>22</v>
      </c>
    </row>
    <row r="474" spans="1:12" x14ac:dyDescent="0.25">
      <c r="A474" t="s">
        <v>20</v>
      </c>
      <c r="B474" t="s">
        <v>146</v>
      </c>
      <c r="C474">
        <v>311758</v>
      </c>
      <c r="D474">
        <v>103058</v>
      </c>
      <c r="E474">
        <v>83247</v>
      </c>
      <c r="F474">
        <v>5639</v>
      </c>
      <c r="G474">
        <v>464</v>
      </c>
      <c r="H474">
        <v>583</v>
      </c>
      <c r="I474">
        <v>789</v>
      </c>
      <c r="J474">
        <v>2466</v>
      </c>
      <c r="K474">
        <v>8.9793025574495172E-2</v>
      </c>
      <c r="L474" t="s">
        <v>29</v>
      </c>
    </row>
    <row r="475" spans="1:12" x14ac:dyDescent="0.25">
      <c r="A475" t="s">
        <v>20</v>
      </c>
      <c r="B475" t="s">
        <v>51</v>
      </c>
      <c r="C475">
        <v>174971</v>
      </c>
      <c r="D475">
        <v>20265</v>
      </c>
      <c r="E475">
        <v>14616</v>
      </c>
      <c r="F475">
        <v>988</v>
      </c>
      <c r="G475">
        <v>149</v>
      </c>
      <c r="H475">
        <v>95</v>
      </c>
      <c r="I475">
        <v>40</v>
      </c>
      <c r="J475">
        <v>669</v>
      </c>
      <c r="K475">
        <v>8.7027914614121515E-2</v>
      </c>
      <c r="L475" t="s">
        <v>29</v>
      </c>
    </row>
    <row r="476" spans="1:12" x14ac:dyDescent="0.25">
      <c r="A476" t="s">
        <v>20</v>
      </c>
      <c r="B476" t="s">
        <v>155</v>
      </c>
      <c r="C476">
        <v>766866</v>
      </c>
      <c r="D476">
        <v>136788</v>
      </c>
      <c r="E476">
        <v>104043</v>
      </c>
      <c r="F476">
        <v>4366</v>
      </c>
      <c r="G476">
        <v>462</v>
      </c>
      <c r="H476">
        <v>185</v>
      </c>
      <c r="I476">
        <v>870</v>
      </c>
      <c r="J476">
        <v>4122</v>
      </c>
      <c r="K476">
        <v>5.6543928952452353E-2</v>
      </c>
      <c r="L476" t="s">
        <v>22</v>
      </c>
    </row>
    <row r="477" spans="1:12" x14ac:dyDescent="0.25">
      <c r="A477" t="s">
        <v>20</v>
      </c>
      <c r="B477" t="s">
        <v>70</v>
      </c>
      <c r="C477">
        <v>5300</v>
      </c>
      <c r="D477">
        <v>3412</v>
      </c>
      <c r="E477">
        <v>3086</v>
      </c>
      <c r="F477">
        <v>194</v>
      </c>
      <c r="G477">
        <v>9</v>
      </c>
      <c r="H477">
        <v>15</v>
      </c>
      <c r="I477">
        <v>0</v>
      </c>
      <c r="J477">
        <v>50</v>
      </c>
      <c r="K477">
        <v>7.0641607258587175E-2</v>
      </c>
      <c r="L477" t="s">
        <v>66</v>
      </c>
    </row>
    <row r="478" spans="1:12" x14ac:dyDescent="0.25">
      <c r="A478" t="s">
        <v>20</v>
      </c>
      <c r="B478" t="s">
        <v>87</v>
      </c>
      <c r="C478">
        <v>419150</v>
      </c>
      <c r="D478">
        <v>140347</v>
      </c>
      <c r="E478">
        <v>115631</v>
      </c>
      <c r="F478">
        <v>8219</v>
      </c>
      <c r="G478">
        <v>656</v>
      </c>
      <c r="H478">
        <v>1029</v>
      </c>
      <c r="I478">
        <v>2014</v>
      </c>
      <c r="J478">
        <v>1103</v>
      </c>
      <c r="K478">
        <v>0.1030692461364167</v>
      </c>
      <c r="L478" t="s">
        <v>22</v>
      </c>
    </row>
    <row r="479" spans="1:12" x14ac:dyDescent="0.25">
      <c r="A479" t="s">
        <v>20</v>
      </c>
      <c r="B479" t="s">
        <v>73</v>
      </c>
      <c r="C479">
        <v>812432</v>
      </c>
      <c r="D479">
        <v>80636</v>
      </c>
      <c r="E479">
        <v>58638</v>
      </c>
      <c r="F479">
        <v>5406</v>
      </c>
      <c r="G479">
        <v>693</v>
      </c>
      <c r="H479">
        <v>200</v>
      </c>
      <c r="I479">
        <v>1070</v>
      </c>
      <c r="J479">
        <v>1056</v>
      </c>
      <c r="K479">
        <v>0.12566936116511476</v>
      </c>
      <c r="L479" t="s">
        <v>22</v>
      </c>
    </row>
    <row r="480" spans="1:12" x14ac:dyDescent="0.25">
      <c r="A480" t="s">
        <v>20</v>
      </c>
      <c r="B480" t="s">
        <v>51</v>
      </c>
      <c r="C480">
        <v>46471</v>
      </c>
      <c r="D480">
        <v>23176</v>
      </c>
      <c r="E480">
        <v>17297</v>
      </c>
      <c r="F480">
        <v>1185</v>
      </c>
      <c r="G480">
        <v>137</v>
      </c>
      <c r="H480">
        <v>118</v>
      </c>
      <c r="I480">
        <v>6</v>
      </c>
      <c r="J480">
        <v>357</v>
      </c>
      <c r="K480">
        <v>8.3598311845984846E-2</v>
      </c>
      <c r="L480" t="s">
        <v>22</v>
      </c>
    </row>
    <row r="481" spans="1:12" x14ac:dyDescent="0.25">
      <c r="A481" t="s">
        <v>20</v>
      </c>
      <c r="B481" t="s">
        <v>128</v>
      </c>
      <c r="C481">
        <v>344902</v>
      </c>
      <c r="D481">
        <v>98422</v>
      </c>
      <c r="E481">
        <v>88326</v>
      </c>
      <c r="F481">
        <v>4181</v>
      </c>
      <c r="G481">
        <v>716</v>
      </c>
      <c r="H481">
        <v>243</v>
      </c>
      <c r="I481">
        <v>1</v>
      </c>
      <c r="J481">
        <v>965</v>
      </c>
      <c r="K481">
        <v>5.8204832099268619E-2</v>
      </c>
      <c r="L481" t="s">
        <v>22</v>
      </c>
    </row>
    <row r="482" spans="1:12" x14ac:dyDescent="0.25">
      <c r="A482" t="s">
        <v>20</v>
      </c>
      <c r="B482" t="s">
        <v>87</v>
      </c>
      <c r="C482">
        <v>619710</v>
      </c>
      <c r="D482">
        <v>2081478</v>
      </c>
      <c r="E482">
        <v>1863825</v>
      </c>
      <c r="F482">
        <v>140688</v>
      </c>
      <c r="G482">
        <v>16208</v>
      </c>
      <c r="H482">
        <v>20937</v>
      </c>
      <c r="I482">
        <v>7453</v>
      </c>
      <c r="J482">
        <v>55356</v>
      </c>
      <c r="K482">
        <v>9.941169369441874E-2</v>
      </c>
      <c r="L482" t="s">
        <v>29</v>
      </c>
    </row>
    <row r="483" spans="1:12" x14ac:dyDescent="0.25">
      <c r="A483" t="s">
        <v>20</v>
      </c>
      <c r="B483" t="s">
        <v>46</v>
      </c>
      <c r="C483">
        <v>464301</v>
      </c>
      <c r="D483">
        <v>192146</v>
      </c>
      <c r="E483">
        <v>149716</v>
      </c>
      <c r="F483">
        <v>15087</v>
      </c>
      <c r="G483">
        <v>903</v>
      </c>
      <c r="H483">
        <v>858</v>
      </c>
      <c r="I483">
        <v>14</v>
      </c>
      <c r="J483">
        <v>6064</v>
      </c>
      <c r="K483">
        <v>0.11262657297817201</v>
      </c>
      <c r="L483" t="s">
        <v>29</v>
      </c>
    </row>
    <row r="484" spans="1:12" x14ac:dyDescent="0.25">
      <c r="A484" t="s">
        <v>20</v>
      </c>
      <c r="B484" t="s">
        <v>28</v>
      </c>
      <c r="C484">
        <v>108605</v>
      </c>
      <c r="D484">
        <v>493993</v>
      </c>
      <c r="E484">
        <v>416965</v>
      </c>
      <c r="F484">
        <v>36111</v>
      </c>
      <c r="G484">
        <v>2916</v>
      </c>
      <c r="H484">
        <v>1709</v>
      </c>
      <c r="I484">
        <v>5100</v>
      </c>
      <c r="J484">
        <v>7947</v>
      </c>
      <c r="K484">
        <v>0.10992769177269075</v>
      </c>
      <c r="L484" t="s">
        <v>22</v>
      </c>
    </row>
    <row r="485" spans="1:12" x14ac:dyDescent="0.25">
      <c r="A485" t="s">
        <v>20</v>
      </c>
      <c r="B485" t="s">
        <v>35</v>
      </c>
      <c r="C485">
        <v>527679</v>
      </c>
      <c r="D485">
        <v>228238</v>
      </c>
      <c r="E485">
        <v>202618</v>
      </c>
      <c r="F485">
        <v>15542</v>
      </c>
      <c r="G485">
        <v>1489</v>
      </c>
      <c r="H485">
        <v>1574</v>
      </c>
      <c r="I485">
        <v>4</v>
      </c>
      <c r="J485">
        <v>5038</v>
      </c>
      <c r="K485">
        <v>9.1842778035515105E-2</v>
      </c>
      <c r="L485" t="s">
        <v>22</v>
      </c>
    </row>
    <row r="486" spans="1:12" x14ac:dyDescent="0.25">
      <c r="A486" t="s">
        <v>20</v>
      </c>
      <c r="B486" t="s">
        <v>54</v>
      </c>
      <c r="C486">
        <v>662535</v>
      </c>
      <c r="D486">
        <v>382630</v>
      </c>
      <c r="E486">
        <v>349358</v>
      </c>
      <c r="F486">
        <v>27989</v>
      </c>
      <c r="G486">
        <v>1718</v>
      </c>
      <c r="H486">
        <v>855</v>
      </c>
      <c r="I486">
        <v>4034</v>
      </c>
      <c r="J486">
        <v>9529</v>
      </c>
      <c r="K486">
        <v>9.9027358755202397E-2</v>
      </c>
      <c r="L486" t="s">
        <v>22</v>
      </c>
    </row>
    <row r="487" spans="1:12" x14ac:dyDescent="0.25">
      <c r="A487" t="s">
        <v>20</v>
      </c>
      <c r="B487" t="s">
        <v>51</v>
      </c>
      <c r="C487">
        <v>113053</v>
      </c>
      <c r="D487">
        <v>20256</v>
      </c>
      <c r="E487">
        <v>17547</v>
      </c>
      <c r="F487">
        <v>915</v>
      </c>
      <c r="G487">
        <v>36</v>
      </c>
      <c r="H487">
        <v>91</v>
      </c>
      <c r="I487">
        <v>7</v>
      </c>
      <c r="J487">
        <v>124</v>
      </c>
      <c r="K487">
        <v>5.9782298968484644E-2</v>
      </c>
      <c r="L487" t="s">
        <v>29</v>
      </c>
    </row>
    <row r="488" spans="1:12" x14ac:dyDescent="0.25">
      <c r="A488" t="s">
        <v>20</v>
      </c>
      <c r="B488" t="s">
        <v>65</v>
      </c>
      <c r="C488">
        <v>231712</v>
      </c>
      <c r="D488">
        <v>135913</v>
      </c>
      <c r="E488">
        <v>99839</v>
      </c>
      <c r="F488">
        <v>9588</v>
      </c>
      <c r="G488">
        <v>653</v>
      </c>
      <c r="H488">
        <v>297</v>
      </c>
      <c r="I488">
        <v>1920</v>
      </c>
      <c r="J488">
        <v>1882</v>
      </c>
      <c r="K488">
        <v>0.12478089724456375</v>
      </c>
      <c r="L488" t="s">
        <v>22</v>
      </c>
    </row>
    <row r="489" spans="1:12" x14ac:dyDescent="0.25">
      <c r="A489" t="s">
        <v>20</v>
      </c>
      <c r="B489" t="s">
        <v>87</v>
      </c>
      <c r="C489">
        <v>547573</v>
      </c>
      <c r="D489">
        <v>107569</v>
      </c>
      <c r="E489">
        <v>75881</v>
      </c>
      <c r="F489">
        <v>5415</v>
      </c>
      <c r="G489">
        <v>479</v>
      </c>
      <c r="H489">
        <v>760</v>
      </c>
      <c r="I489">
        <v>595</v>
      </c>
      <c r="J489">
        <v>2098</v>
      </c>
      <c r="K489">
        <v>9.5531160633096565E-2</v>
      </c>
      <c r="L489" t="s">
        <v>22</v>
      </c>
    </row>
    <row r="490" spans="1:12" x14ac:dyDescent="0.25">
      <c r="A490" t="s">
        <v>20</v>
      </c>
      <c r="B490" t="s">
        <v>35</v>
      </c>
      <c r="C490">
        <v>822911</v>
      </c>
      <c r="D490">
        <v>270761</v>
      </c>
      <c r="E490">
        <v>220899</v>
      </c>
      <c r="F490">
        <v>16691</v>
      </c>
      <c r="G490">
        <v>1762</v>
      </c>
      <c r="H490">
        <v>1820</v>
      </c>
      <c r="I490">
        <v>22</v>
      </c>
      <c r="J490">
        <v>5158</v>
      </c>
      <c r="K490">
        <v>9.1874567109855629E-2</v>
      </c>
      <c r="L490" t="s">
        <v>22</v>
      </c>
    </row>
    <row r="491" spans="1:12" x14ac:dyDescent="0.25">
      <c r="A491" t="s">
        <v>20</v>
      </c>
      <c r="B491" t="s">
        <v>28</v>
      </c>
      <c r="C491">
        <v>11448</v>
      </c>
      <c r="D491">
        <v>2754</v>
      </c>
      <c r="E491">
        <v>2402</v>
      </c>
      <c r="F491">
        <v>121</v>
      </c>
      <c r="G491">
        <v>10</v>
      </c>
      <c r="H491">
        <v>11</v>
      </c>
      <c r="I491">
        <v>21</v>
      </c>
      <c r="J491">
        <v>52</v>
      </c>
      <c r="K491">
        <v>6.7860116569525397E-2</v>
      </c>
      <c r="L491" t="s">
        <v>22</v>
      </c>
    </row>
    <row r="492" spans="1:12" x14ac:dyDescent="0.25">
      <c r="A492" t="s">
        <v>20</v>
      </c>
      <c r="B492" t="s">
        <v>78</v>
      </c>
      <c r="C492">
        <v>479828</v>
      </c>
      <c r="D492">
        <v>41869</v>
      </c>
      <c r="E492">
        <v>33249</v>
      </c>
      <c r="F492">
        <v>889</v>
      </c>
      <c r="G492">
        <v>156</v>
      </c>
      <c r="H492">
        <v>119</v>
      </c>
      <c r="I492">
        <v>74</v>
      </c>
      <c r="J492">
        <v>1164</v>
      </c>
      <c r="K492">
        <v>3.7234202532406988E-2</v>
      </c>
      <c r="L492" t="s">
        <v>22</v>
      </c>
    </row>
    <row r="493" spans="1:12" x14ac:dyDescent="0.25">
      <c r="A493" t="s">
        <v>20</v>
      </c>
      <c r="B493" t="s">
        <v>21</v>
      </c>
      <c r="C493">
        <v>826395</v>
      </c>
      <c r="D493">
        <v>366119</v>
      </c>
      <c r="E493">
        <v>304314</v>
      </c>
      <c r="F493">
        <v>23443</v>
      </c>
      <c r="G493">
        <v>1034</v>
      </c>
      <c r="H493">
        <v>2002</v>
      </c>
      <c r="I493">
        <v>4456</v>
      </c>
      <c r="J493">
        <v>7067</v>
      </c>
      <c r="K493">
        <v>0.10165486964122585</v>
      </c>
      <c r="L493" t="s">
        <v>22</v>
      </c>
    </row>
    <row r="494" spans="1:12" x14ac:dyDescent="0.25">
      <c r="A494" t="s">
        <v>20</v>
      </c>
      <c r="B494" t="s">
        <v>128</v>
      </c>
      <c r="C494">
        <v>705569</v>
      </c>
      <c r="D494">
        <v>385629</v>
      </c>
      <c r="E494">
        <v>311311</v>
      </c>
      <c r="F494">
        <v>15589</v>
      </c>
      <c r="G494">
        <v>2371</v>
      </c>
      <c r="H494">
        <v>1855</v>
      </c>
      <c r="I494">
        <v>32</v>
      </c>
      <c r="J494">
        <v>11859</v>
      </c>
      <c r="K494">
        <v>6.3752967289944784E-2</v>
      </c>
      <c r="L494" t="s">
        <v>29</v>
      </c>
    </row>
    <row r="495" spans="1:12" x14ac:dyDescent="0.25">
      <c r="A495" t="s">
        <v>20</v>
      </c>
      <c r="B495" t="s">
        <v>58</v>
      </c>
      <c r="C495">
        <v>259734</v>
      </c>
      <c r="D495">
        <v>118039</v>
      </c>
      <c r="E495">
        <v>86393</v>
      </c>
      <c r="F495">
        <v>4587</v>
      </c>
      <c r="G495">
        <v>144</v>
      </c>
      <c r="H495">
        <v>502</v>
      </c>
      <c r="I495">
        <v>886</v>
      </c>
      <c r="J495">
        <v>1347</v>
      </c>
      <c r="K495">
        <v>7.0827497598185032E-2</v>
      </c>
      <c r="L495" t="s">
        <v>22</v>
      </c>
    </row>
    <row r="496" spans="1:12" x14ac:dyDescent="0.25">
      <c r="A496" t="s">
        <v>20</v>
      </c>
      <c r="B496" t="s">
        <v>35</v>
      </c>
      <c r="C496">
        <v>347188</v>
      </c>
      <c r="D496">
        <v>95539</v>
      </c>
      <c r="E496">
        <v>77098</v>
      </c>
      <c r="F496">
        <v>5936</v>
      </c>
      <c r="G496">
        <v>602</v>
      </c>
      <c r="H496">
        <v>333</v>
      </c>
      <c r="I496">
        <v>2</v>
      </c>
      <c r="J496">
        <v>2039</v>
      </c>
      <c r="K496">
        <v>8.9146281356196011E-2</v>
      </c>
      <c r="L496" t="s">
        <v>66</v>
      </c>
    </row>
    <row r="497" spans="1:12" x14ac:dyDescent="0.25">
      <c r="A497" t="s">
        <v>20</v>
      </c>
      <c r="B497" t="s">
        <v>58</v>
      </c>
      <c r="C497">
        <v>173166</v>
      </c>
      <c r="D497">
        <v>20300</v>
      </c>
      <c r="E497">
        <v>14259</v>
      </c>
      <c r="F497">
        <v>1513</v>
      </c>
      <c r="G497">
        <v>87</v>
      </c>
      <c r="H497">
        <v>69</v>
      </c>
      <c r="I497">
        <v>356</v>
      </c>
      <c r="J497">
        <v>247</v>
      </c>
      <c r="K497">
        <v>0.14201556911424362</v>
      </c>
      <c r="L497" t="s">
        <v>22</v>
      </c>
    </row>
    <row r="498" spans="1:12" x14ac:dyDescent="0.25">
      <c r="A498" t="s">
        <v>20</v>
      </c>
      <c r="B498" t="s">
        <v>65</v>
      </c>
      <c r="C498">
        <v>470894</v>
      </c>
      <c r="D498">
        <v>248519</v>
      </c>
      <c r="E498">
        <v>218503</v>
      </c>
      <c r="F498">
        <v>6657</v>
      </c>
      <c r="G498">
        <v>626</v>
      </c>
      <c r="H498">
        <v>762</v>
      </c>
      <c r="I498">
        <v>525</v>
      </c>
      <c r="J498">
        <v>3651</v>
      </c>
      <c r="K498">
        <v>3.9221429454057842E-2</v>
      </c>
      <c r="L498" t="s">
        <v>22</v>
      </c>
    </row>
    <row r="499" spans="1:12" x14ac:dyDescent="0.25">
      <c r="A499" t="s">
        <v>20</v>
      </c>
      <c r="B499" t="s">
        <v>28</v>
      </c>
      <c r="C499">
        <v>657606</v>
      </c>
      <c r="D499">
        <v>183195</v>
      </c>
      <c r="E499">
        <v>139162</v>
      </c>
      <c r="F499">
        <v>9151</v>
      </c>
      <c r="G499">
        <v>781</v>
      </c>
      <c r="H499">
        <v>498</v>
      </c>
      <c r="I499">
        <v>2117</v>
      </c>
      <c r="J499">
        <v>5305</v>
      </c>
      <c r="K499">
        <v>9.0161107198804269E-2</v>
      </c>
      <c r="L499" t="s">
        <v>29</v>
      </c>
    </row>
    <row r="500" spans="1:12" x14ac:dyDescent="0.25">
      <c r="A500" t="s">
        <v>20</v>
      </c>
      <c r="B500" t="s">
        <v>87</v>
      </c>
      <c r="C500">
        <v>237928</v>
      </c>
      <c r="D500">
        <v>148665</v>
      </c>
      <c r="E500">
        <v>106560</v>
      </c>
      <c r="F500">
        <v>5950</v>
      </c>
      <c r="G500">
        <v>500</v>
      </c>
      <c r="H500">
        <v>834</v>
      </c>
      <c r="I500">
        <v>398</v>
      </c>
      <c r="J500">
        <v>936</v>
      </c>
      <c r="K500">
        <v>7.2090840840840845E-2</v>
      </c>
      <c r="L500" t="s">
        <v>22</v>
      </c>
    </row>
    <row r="501" spans="1:12" x14ac:dyDescent="0.25">
      <c r="A501" t="s">
        <v>20</v>
      </c>
      <c r="B501" t="s">
        <v>58</v>
      </c>
      <c r="C501">
        <v>42109</v>
      </c>
      <c r="D501">
        <v>84894</v>
      </c>
      <c r="E501">
        <v>65535</v>
      </c>
      <c r="F501">
        <v>5511</v>
      </c>
      <c r="G501">
        <v>566</v>
      </c>
      <c r="H501">
        <v>159</v>
      </c>
      <c r="I501">
        <v>880</v>
      </c>
      <c r="J501">
        <v>1041</v>
      </c>
      <c r="K501">
        <v>0.10858319981689174</v>
      </c>
      <c r="L501" t="s">
        <v>66</v>
      </c>
    </row>
    <row r="502" spans="1:12" x14ac:dyDescent="0.25">
      <c r="A502" t="s">
        <v>20</v>
      </c>
      <c r="B502" t="s">
        <v>65</v>
      </c>
      <c r="C502">
        <v>767415</v>
      </c>
      <c r="D502">
        <v>184766</v>
      </c>
      <c r="E502">
        <v>135958</v>
      </c>
      <c r="F502">
        <v>5665</v>
      </c>
      <c r="G502">
        <v>504</v>
      </c>
      <c r="H502">
        <v>560</v>
      </c>
      <c r="I502">
        <v>361</v>
      </c>
      <c r="J502">
        <v>1323</v>
      </c>
      <c r="K502">
        <v>5.214845761190956E-2</v>
      </c>
      <c r="L502" t="s">
        <v>22</v>
      </c>
    </row>
    <row r="503" spans="1:12" x14ac:dyDescent="0.25">
      <c r="A503" t="s">
        <v>20</v>
      </c>
      <c r="B503" t="s">
        <v>107</v>
      </c>
      <c r="C503">
        <v>289965</v>
      </c>
      <c r="D503">
        <v>44507</v>
      </c>
      <c r="E503">
        <v>40513</v>
      </c>
      <c r="F503">
        <v>1052</v>
      </c>
      <c r="G503">
        <v>185</v>
      </c>
      <c r="H503">
        <v>47</v>
      </c>
      <c r="I503">
        <v>25</v>
      </c>
      <c r="J503">
        <v>883</v>
      </c>
      <c r="K503">
        <v>3.2310616345370621E-2</v>
      </c>
      <c r="L503" t="s">
        <v>22</v>
      </c>
    </row>
    <row r="504" spans="1:12" x14ac:dyDescent="0.25">
      <c r="A504" t="s">
        <v>20</v>
      </c>
      <c r="B504" t="s">
        <v>146</v>
      </c>
      <c r="C504">
        <v>441027</v>
      </c>
      <c r="D504">
        <v>98763</v>
      </c>
      <c r="E504">
        <v>87677</v>
      </c>
      <c r="F504">
        <v>7348</v>
      </c>
      <c r="G504">
        <v>1295</v>
      </c>
      <c r="H504">
        <v>1001</v>
      </c>
      <c r="I504">
        <v>1026</v>
      </c>
      <c r="J504">
        <v>2619</v>
      </c>
      <c r="K504">
        <v>0.12169668214012797</v>
      </c>
      <c r="L504" t="s">
        <v>66</v>
      </c>
    </row>
    <row r="505" spans="1:12" x14ac:dyDescent="0.25">
      <c r="A505" t="s">
        <v>20</v>
      </c>
      <c r="B505" t="s">
        <v>65</v>
      </c>
      <c r="C505">
        <v>743277</v>
      </c>
      <c r="D505">
        <v>103127</v>
      </c>
      <c r="E505">
        <v>83585</v>
      </c>
      <c r="F505">
        <v>3183</v>
      </c>
      <c r="G505">
        <v>569</v>
      </c>
      <c r="H505">
        <v>308</v>
      </c>
      <c r="I505">
        <v>563</v>
      </c>
      <c r="J505">
        <v>1225</v>
      </c>
      <c r="K505">
        <v>5.5308966919901899E-2</v>
      </c>
      <c r="L505" t="s">
        <v>22</v>
      </c>
    </row>
    <row r="506" spans="1:12" x14ac:dyDescent="0.25">
      <c r="A506" t="s">
        <v>20</v>
      </c>
      <c r="B506" t="s">
        <v>104</v>
      </c>
      <c r="C506">
        <v>510211</v>
      </c>
      <c r="D506">
        <v>245187</v>
      </c>
      <c r="E506">
        <v>202454</v>
      </c>
      <c r="F506">
        <v>6366</v>
      </c>
      <c r="G506">
        <v>251</v>
      </c>
      <c r="H506">
        <v>879</v>
      </c>
      <c r="I506">
        <v>1330</v>
      </c>
      <c r="J506">
        <v>2585</v>
      </c>
      <c r="K506">
        <v>4.3595088266964351E-2</v>
      </c>
      <c r="L506" t="s">
        <v>29</v>
      </c>
    </row>
    <row r="507" spans="1:12" x14ac:dyDescent="0.25">
      <c r="A507" t="s">
        <v>20</v>
      </c>
      <c r="B507" t="s">
        <v>28</v>
      </c>
      <c r="C507">
        <v>701240</v>
      </c>
      <c r="D507">
        <v>190043</v>
      </c>
      <c r="E507">
        <v>171164</v>
      </c>
      <c r="F507">
        <v>8919</v>
      </c>
      <c r="G507">
        <v>951</v>
      </c>
      <c r="H507">
        <v>1038</v>
      </c>
      <c r="I507">
        <v>1343</v>
      </c>
      <c r="J507">
        <v>4967</v>
      </c>
      <c r="K507">
        <v>7.1574630179243301E-2</v>
      </c>
      <c r="L507" t="s">
        <v>22</v>
      </c>
    </row>
    <row r="508" spans="1:12" x14ac:dyDescent="0.25">
      <c r="A508" t="s">
        <v>20</v>
      </c>
      <c r="B508" t="s">
        <v>104</v>
      </c>
      <c r="C508">
        <v>796529</v>
      </c>
      <c r="D508">
        <v>99766</v>
      </c>
      <c r="E508">
        <v>78056</v>
      </c>
      <c r="F508">
        <v>3770</v>
      </c>
      <c r="G508">
        <v>198</v>
      </c>
      <c r="H508">
        <v>175</v>
      </c>
      <c r="I508">
        <v>217</v>
      </c>
      <c r="J508">
        <v>3262</v>
      </c>
      <c r="K508">
        <v>5.5857333196679307E-2</v>
      </c>
      <c r="L508" t="s">
        <v>22</v>
      </c>
    </row>
    <row r="509" spans="1:12" x14ac:dyDescent="0.25">
      <c r="A509" t="s">
        <v>20</v>
      </c>
      <c r="B509" t="s">
        <v>51</v>
      </c>
      <c r="C509">
        <v>231232</v>
      </c>
      <c r="D509">
        <v>44286</v>
      </c>
      <c r="E509">
        <v>31089</v>
      </c>
      <c r="F509">
        <v>2814</v>
      </c>
      <c r="G509">
        <v>327</v>
      </c>
      <c r="H509">
        <v>304</v>
      </c>
      <c r="I509">
        <v>9</v>
      </c>
      <c r="J509">
        <v>721</v>
      </c>
      <c r="K509">
        <v>0.11110038920518511</v>
      </c>
      <c r="L509" t="s">
        <v>66</v>
      </c>
    </row>
    <row r="510" spans="1:12" x14ac:dyDescent="0.25">
      <c r="A510" t="s">
        <v>20</v>
      </c>
      <c r="B510" t="s">
        <v>65</v>
      </c>
      <c r="C510">
        <v>765229</v>
      </c>
      <c r="D510">
        <v>490589</v>
      </c>
      <c r="E510">
        <v>441884</v>
      </c>
      <c r="F510">
        <v>14497</v>
      </c>
      <c r="G510">
        <v>481</v>
      </c>
      <c r="H510">
        <v>1029</v>
      </c>
      <c r="I510">
        <v>1949</v>
      </c>
      <c r="J510">
        <v>9420</v>
      </c>
      <c r="K510">
        <v>4.063509880421106E-2</v>
      </c>
      <c r="L510" t="s">
        <v>22</v>
      </c>
    </row>
    <row r="511" spans="1:12" x14ac:dyDescent="0.25">
      <c r="A511" t="s">
        <v>20</v>
      </c>
      <c r="B511" t="s">
        <v>70</v>
      </c>
      <c r="C511">
        <v>417015</v>
      </c>
      <c r="D511">
        <v>2225037</v>
      </c>
      <c r="E511">
        <v>1628358</v>
      </c>
      <c r="F511">
        <v>170378</v>
      </c>
      <c r="G511">
        <v>26507</v>
      </c>
      <c r="H511">
        <v>14478</v>
      </c>
      <c r="I511">
        <v>29</v>
      </c>
      <c r="J511">
        <v>20965</v>
      </c>
      <c r="K511">
        <v>0.12981911840025351</v>
      </c>
      <c r="L511" t="s">
        <v>22</v>
      </c>
    </row>
    <row r="512" spans="1:12" x14ac:dyDescent="0.25">
      <c r="A512" t="s">
        <v>20</v>
      </c>
      <c r="B512" t="s">
        <v>146</v>
      </c>
      <c r="C512">
        <v>15436</v>
      </c>
      <c r="D512">
        <v>2047</v>
      </c>
      <c r="E512">
        <v>1845</v>
      </c>
      <c r="F512">
        <v>89</v>
      </c>
      <c r="G512">
        <v>10</v>
      </c>
      <c r="H512">
        <v>12</v>
      </c>
      <c r="I512">
        <v>13</v>
      </c>
      <c r="J512">
        <v>21</v>
      </c>
      <c r="K512">
        <v>6.7208672086720864E-2</v>
      </c>
      <c r="L512"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6B98-D346-43B7-8D79-5C2351FD5752}">
  <dimension ref="A3:B7"/>
  <sheetViews>
    <sheetView workbookViewId="0">
      <selection activeCell="B5" sqref="B5"/>
    </sheetView>
  </sheetViews>
  <sheetFormatPr defaultRowHeight="15" x14ac:dyDescent="0.25"/>
  <cols>
    <col min="1" max="1" width="13.140625" bestFit="1" customWidth="1"/>
    <col min="2" max="2" width="18.5703125" bestFit="1" customWidth="1"/>
  </cols>
  <sheetData>
    <row r="3" spans="1:2" x14ac:dyDescent="0.25">
      <c r="A3" s="10" t="s">
        <v>6074</v>
      </c>
      <c r="B3" t="s">
        <v>6077</v>
      </c>
    </row>
    <row r="4" spans="1:2" x14ac:dyDescent="0.25">
      <c r="A4" s="11" t="s">
        <v>66</v>
      </c>
      <c r="B4" s="12">
        <v>352</v>
      </c>
    </row>
    <row r="5" spans="1:2" x14ac:dyDescent="0.25">
      <c r="A5" s="11" t="s">
        <v>29</v>
      </c>
      <c r="B5" s="12">
        <v>911</v>
      </c>
    </row>
    <row r="6" spans="1:2" x14ac:dyDescent="0.25">
      <c r="A6" s="11" t="s">
        <v>22</v>
      </c>
      <c r="B6" s="12">
        <v>1737</v>
      </c>
    </row>
    <row r="7" spans="1:2" x14ac:dyDescent="0.25">
      <c r="A7" s="11" t="s">
        <v>6075</v>
      </c>
      <c r="B7" s="12">
        <v>3000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F94E5-2292-4876-9FBF-5C91AE4F14CA}">
  <dimension ref="A3:B9"/>
  <sheetViews>
    <sheetView workbookViewId="0">
      <selection activeCell="B6" sqref="B6"/>
    </sheetView>
  </sheetViews>
  <sheetFormatPr defaultRowHeight="15" x14ac:dyDescent="0.25"/>
  <cols>
    <col min="1" max="1" width="13.140625" bestFit="1" customWidth="1"/>
    <col min="2" max="2" width="21.5703125" bestFit="1" customWidth="1"/>
  </cols>
  <sheetData>
    <row r="3" spans="1:2" x14ac:dyDescent="0.25">
      <c r="A3" s="10" t="s">
        <v>6074</v>
      </c>
      <c r="B3" t="s">
        <v>6084</v>
      </c>
    </row>
    <row r="4" spans="1:2" x14ac:dyDescent="0.25">
      <c r="A4" s="11" t="s">
        <v>76</v>
      </c>
      <c r="B4" s="12">
        <v>249356811</v>
      </c>
    </row>
    <row r="5" spans="1:2" x14ac:dyDescent="0.25">
      <c r="A5" s="11" t="s">
        <v>25</v>
      </c>
      <c r="B5" s="12">
        <v>251273256</v>
      </c>
    </row>
    <row r="6" spans="1:2" x14ac:dyDescent="0.25">
      <c r="A6" s="11" t="s">
        <v>18</v>
      </c>
      <c r="B6" s="12">
        <v>259551409</v>
      </c>
    </row>
    <row r="7" spans="1:2" x14ac:dyDescent="0.25">
      <c r="A7" s="11" t="s">
        <v>32</v>
      </c>
      <c r="B7" s="12">
        <v>249392779</v>
      </c>
    </row>
    <row r="8" spans="1:2" x14ac:dyDescent="0.25">
      <c r="A8" s="11" t="s">
        <v>43</v>
      </c>
      <c r="B8" s="12">
        <v>259986953</v>
      </c>
    </row>
    <row r="9" spans="1:2" x14ac:dyDescent="0.25">
      <c r="A9" s="11" t="s">
        <v>6075</v>
      </c>
      <c r="B9" s="12">
        <v>1269561208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5D592-3C16-4696-B6B8-2A6EAA6922B7}">
  <dimension ref="A3:C22"/>
  <sheetViews>
    <sheetView workbookViewId="0">
      <selection activeCell="M9" sqref="M9"/>
    </sheetView>
  </sheetViews>
  <sheetFormatPr defaultRowHeight="15" x14ac:dyDescent="0.25"/>
  <cols>
    <col min="1" max="1" width="15.7109375" bestFit="1" customWidth="1"/>
    <col min="2" max="2" width="12.85546875" bestFit="1" customWidth="1"/>
    <col min="3" max="3" width="12" bestFit="1" customWidth="1"/>
  </cols>
  <sheetData>
    <row r="3" spans="1:3" x14ac:dyDescent="0.25">
      <c r="A3" s="10" t="s">
        <v>6074</v>
      </c>
      <c r="B3" t="s">
        <v>6085</v>
      </c>
      <c r="C3" t="s">
        <v>6087</v>
      </c>
    </row>
    <row r="4" spans="1:3" x14ac:dyDescent="0.25">
      <c r="A4" s="11" t="s">
        <v>155</v>
      </c>
      <c r="B4" s="12">
        <v>20400198</v>
      </c>
      <c r="C4" s="12">
        <v>1349298</v>
      </c>
    </row>
    <row r="5" spans="1:3" x14ac:dyDescent="0.25">
      <c r="A5" s="11" t="s">
        <v>107</v>
      </c>
      <c r="B5" s="12">
        <v>36595892</v>
      </c>
      <c r="C5" s="12">
        <v>1995138</v>
      </c>
    </row>
    <row r="6" spans="1:3" x14ac:dyDescent="0.25">
      <c r="A6" s="11" t="s">
        <v>146</v>
      </c>
      <c r="B6" s="12">
        <v>25513808</v>
      </c>
      <c r="C6" s="12">
        <v>1575421</v>
      </c>
    </row>
    <row r="7" spans="1:3" x14ac:dyDescent="0.25">
      <c r="A7" s="11" t="s">
        <v>58</v>
      </c>
      <c r="B7" s="12">
        <v>43772038</v>
      </c>
      <c r="C7" s="12">
        <v>2595063</v>
      </c>
    </row>
    <row r="8" spans="1:3" x14ac:dyDescent="0.25">
      <c r="A8" s="11" t="s">
        <v>40</v>
      </c>
      <c r="B8" s="12">
        <v>21271490</v>
      </c>
      <c r="C8" s="12">
        <v>1383961</v>
      </c>
    </row>
    <row r="9" spans="1:3" x14ac:dyDescent="0.25">
      <c r="A9" s="11" t="s">
        <v>73</v>
      </c>
      <c r="B9" s="12">
        <v>31702136</v>
      </c>
      <c r="C9" s="12">
        <v>1897835</v>
      </c>
    </row>
    <row r="10" spans="1:3" x14ac:dyDescent="0.25">
      <c r="A10" s="11" t="s">
        <v>46</v>
      </c>
      <c r="B10" s="12">
        <v>29261749</v>
      </c>
      <c r="C10" s="12">
        <v>1929377</v>
      </c>
    </row>
    <row r="11" spans="1:3" x14ac:dyDescent="0.25">
      <c r="A11" s="11" t="s">
        <v>87</v>
      </c>
      <c r="B11" s="12">
        <v>25121288</v>
      </c>
      <c r="C11" s="12">
        <v>1453808</v>
      </c>
    </row>
    <row r="12" spans="1:3" x14ac:dyDescent="0.25">
      <c r="A12" s="11" t="s">
        <v>21</v>
      </c>
      <c r="B12" s="12">
        <v>33930071</v>
      </c>
      <c r="C12" s="12">
        <v>2119986</v>
      </c>
    </row>
    <row r="13" spans="1:3" x14ac:dyDescent="0.25">
      <c r="A13" s="11" t="s">
        <v>70</v>
      </c>
      <c r="B13" s="12">
        <v>35718059</v>
      </c>
      <c r="C13" s="12">
        <v>2362857</v>
      </c>
    </row>
    <row r="14" spans="1:3" x14ac:dyDescent="0.25">
      <c r="A14" s="11" t="s">
        <v>78</v>
      </c>
      <c r="B14" s="12">
        <v>26463455</v>
      </c>
      <c r="C14" s="12">
        <v>1703734</v>
      </c>
    </row>
    <row r="15" spans="1:3" x14ac:dyDescent="0.25">
      <c r="A15" s="11" t="s">
        <v>104</v>
      </c>
      <c r="B15" s="12">
        <v>16944851</v>
      </c>
      <c r="C15" s="12">
        <v>1092042</v>
      </c>
    </row>
    <row r="16" spans="1:3" x14ac:dyDescent="0.25">
      <c r="A16" s="11" t="s">
        <v>54</v>
      </c>
      <c r="B16" s="12">
        <v>24150071</v>
      </c>
      <c r="C16" s="12">
        <v>1681181</v>
      </c>
    </row>
    <row r="17" spans="1:3" x14ac:dyDescent="0.25">
      <c r="A17" s="11" t="s">
        <v>28</v>
      </c>
      <c r="B17" s="12">
        <v>24974511</v>
      </c>
      <c r="C17" s="12">
        <v>1474680</v>
      </c>
    </row>
    <row r="18" spans="1:3" x14ac:dyDescent="0.25">
      <c r="A18" s="11" t="s">
        <v>51</v>
      </c>
      <c r="B18" s="12">
        <v>24667798</v>
      </c>
      <c r="C18" s="12">
        <v>1384919</v>
      </c>
    </row>
    <row r="19" spans="1:3" x14ac:dyDescent="0.25">
      <c r="A19" s="11" t="s">
        <v>128</v>
      </c>
      <c r="B19" s="12">
        <v>27442382</v>
      </c>
      <c r="C19" s="12">
        <v>1669294</v>
      </c>
    </row>
    <row r="20" spans="1:3" x14ac:dyDescent="0.25">
      <c r="A20" s="11" t="s">
        <v>65</v>
      </c>
      <c r="B20" s="12">
        <v>32680760</v>
      </c>
      <c r="C20" s="12">
        <v>1808183</v>
      </c>
    </row>
    <row r="21" spans="1:3" x14ac:dyDescent="0.25">
      <c r="A21" s="11" t="s">
        <v>35</v>
      </c>
      <c r="B21" s="12">
        <v>27805112</v>
      </c>
      <c r="C21" s="12">
        <v>1668954</v>
      </c>
    </row>
    <row r="22" spans="1:3" x14ac:dyDescent="0.25">
      <c r="A22" s="11" t="s">
        <v>6075</v>
      </c>
      <c r="B22" s="12">
        <v>508415669</v>
      </c>
      <c r="C22" s="12">
        <v>31145731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DD3C-198C-4232-9FD0-A78223A96499}">
  <dimension ref="A3:B10"/>
  <sheetViews>
    <sheetView workbookViewId="0">
      <selection activeCell="L11" sqref="L11"/>
    </sheetView>
  </sheetViews>
  <sheetFormatPr defaultRowHeight="15" x14ac:dyDescent="0.25"/>
  <cols>
    <col min="1" max="1" width="22.5703125" bestFit="1" customWidth="1"/>
    <col min="2" max="2" width="21.5703125" bestFit="1" customWidth="1"/>
  </cols>
  <sheetData>
    <row r="3" spans="1:2" x14ac:dyDescent="0.25">
      <c r="A3" s="10" t="s">
        <v>6074</v>
      </c>
      <c r="B3" t="s">
        <v>6084</v>
      </c>
    </row>
    <row r="4" spans="1:2" x14ac:dyDescent="0.25">
      <c r="A4" s="11" t="s">
        <v>20</v>
      </c>
      <c r="B4" s="12">
        <v>213458310</v>
      </c>
    </row>
    <row r="5" spans="1:2" x14ac:dyDescent="0.25">
      <c r="A5" s="11" t="s">
        <v>45</v>
      </c>
      <c r="B5" s="12">
        <v>214227877</v>
      </c>
    </row>
    <row r="6" spans="1:2" x14ac:dyDescent="0.25">
      <c r="A6" s="11" t="s">
        <v>39</v>
      </c>
      <c r="B6" s="12">
        <v>215124195</v>
      </c>
    </row>
    <row r="7" spans="1:2" x14ac:dyDescent="0.25">
      <c r="A7" s="11" t="s">
        <v>27</v>
      </c>
      <c r="B7" s="12">
        <v>198101595</v>
      </c>
    </row>
    <row r="8" spans="1:2" x14ac:dyDescent="0.25">
      <c r="A8" s="11" t="s">
        <v>50</v>
      </c>
      <c r="B8" s="12">
        <v>219493083</v>
      </c>
    </row>
    <row r="9" spans="1:2" x14ac:dyDescent="0.25">
      <c r="A9" s="11" t="s">
        <v>34</v>
      </c>
      <c r="B9" s="12">
        <v>209156148</v>
      </c>
    </row>
    <row r="10" spans="1:2" x14ac:dyDescent="0.25">
      <c r="A10" s="11" t="s">
        <v>6075</v>
      </c>
      <c r="B10" s="12">
        <v>1269561208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0183-3AA6-4DCF-9E6C-DCCCC465BB47}">
  <dimension ref="A3:B7"/>
  <sheetViews>
    <sheetView workbookViewId="0">
      <selection activeCell="K6" sqref="K6"/>
    </sheetView>
  </sheetViews>
  <sheetFormatPr defaultRowHeight="15" x14ac:dyDescent="0.25"/>
  <cols>
    <col min="1" max="1" width="13.140625" bestFit="1" customWidth="1"/>
    <col min="2" max="2" width="27" bestFit="1" customWidth="1"/>
  </cols>
  <sheetData>
    <row r="3" spans="1:2" x14ac:dyDescent="0.25">
      <c r="A3" s="10" t="s">
        <v>6074</v>
      </c>
      <c r="B3" t="s">
        <v>6076</v>
      </c>
    </row>
    <row r="4" spans="1:2" x14ac:dyDescent="0.25">
      <c r="A4" s="11" t="s">
        <v>66</v>
      </c>
      <c r="B4" s="12">
        <v>27.650798182348172</v>
      </c>
    </row>
    <row r="5" spans="1:2" x14ac:dyDescent="0.25">
      <c r="A5" s="11" t="s">
        <v>29</v>
      </c>
      <c r="B5" s="12">
        <v>74.046452531744336</v>
      </c>
    </row>
    <row r="6" spans="1:2" x14ac:dyDescent="0.25">
      <c r="A6" s="11" t="s">
        <v>22</v>
      </c>
      <c r="B6" s="12">
        <v>137.88750661237805</v>
      </c>
    </row>
    <row r="7" spans="1:2" x14ac:dyDescent="0.25">
      <c r="A7" s="11" t="s">
        <v>6075</v>
      </c>
      <c r="B7" s="12">
        <v>239.58475732647054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8630-9044-4164-BC7E-4AF4DD152FFD}">
  <dimension ref="A3:F11"/>
  <sheetViews>
    <sheetView workbookViewId="0">
      <selection activeCell="B6" sqref="B6"/>
    </sheetView>
  </sheetViews>
  <sheetFormatPr defaultRowHeight="15" x14ac:dyDescent="0.25"/>
  <cols>
    <col min="1" max="1" width="12.85546875" bestFit="1" customWidth="1"/>
    <col min="2" max="2" width="21.5703125" bestFit="1" customWidth="1"/>
    <col min="3" max="3" width="18.5703125" bestFit="1" customWidth="1"/>
    <col min="4" max="4" width="27" bestFit="1" customWidth="1"/>
    <col min="5" max="5" width="12" bestFit="1" customWidth="1"/>
    <col min="6" max="6" width="24" bestFit="1" customWidth="1"/>
  </cols>
  <sheetData>
    <row r="3" spans="1:6" x14ac:dyDescent="0.25">
      <c r="A3" t="s">
        <v>6085</v>
      </c>
      <c r="B3" t="s">
        <v>6084</v>
      </c>
      <c r="C3" t="s">
        <v>6089</v>
      </c>
      <c r="D3" t="s">
        <v>6076</v>
      </c>
      <c r="E3" t="s">
        <v>6087</v>
      </c>
      <c r="F3" t="s">
        <v>6086</v>
      </c>
    </row>
    <row r="4" spans="1:6" x14ac:dyDescent="0.25">
      <c r="A4" s="12">
        <v>508415669</v>
      </c>
      <c r="B4" s="12">
        <v>1269561208</v>
      </c>
      <c r="C4" s="12">
        <v>629364667</v>
      </c>
      <c r="D4" s="12">
        <v>239.58475732647074</v>
      </c>
      <c r="E4" s="12">
        <v>31145731</v>
      </c>
      <c r="F4" s="12">
        <v>2590600</v>
      </c>
    </row>
    <row r="6" spans="1:6" x14ac:dyDescent="0.25">
      <c r="B6">
        <f>GETPIVOTDATA("Sum of Reach",$A$3)</f>
        <v>508415669</v>
      </c>
    </row>
    <row r="7" spans="1:6" x14ac:dyDescent="0.25">
      <c r="B7">
        <f>GETPIVOTDATA("Sum of Follower Count",$A$3)</f>
        <v>1269561208</v>
      </c>
    </row>
    <row r="8" spans="1:6" x14ac:dyDescent="0.25">
      <c r="B8">
        <f>GETPIVOTDATA("Sum of Impressions",$A$3)</f>
        <v>629364667</v>
      </c>
    </row>
    <row r="9" spans="1:6" x14ac:dyDescent="0.25">
      <c r="B9">
        <f>GETPIVOTDATA("Sum of Engagement Rate (%)",$A$3)</f>
        <v>239.58475732647074</v>
      </c>
    </row>
    <row r="10" spans="1:6" x14ac:dyDescent="0.25">
      <c r="B10">
        <f>GETPIVOTDATA("Sum of Likes",$A$3)</f>
        <v>31145731</v>
      </c>
    </row>
    <row r="11" spans="1:6" x14ac:dyDescent="0.25">
      <c r="B11">
        <f>GETPIVOTDATA("Sum of Shares / Retweets",$A$3)</f>
        <v>2590600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01"/>
  <sheetViews>
    <sheetView workbookViewId="0">
      <pane ySplit="1" topLeftCell="A2" activePane="bottomLeft" state="frozen"/>
      <selection pane="bottomLeft" sqref="A1:P3001"/>
    </sheetView>
  </sheetViews>
  <sheetFormatPr defaultRowHeight="15" x14ac:dyDescent="0.25"/>
  <cols>
    <col min="1" max="1" width="13" customWidth="1"/>
    <col min="2" max="2" width="22" customWidth="1"/>
    <col min="3" max="3" width="14" customWidth="1"/>
    <col min="4" max="4" width="28" customWidth="1"/>
    <col min="5" max="5" width="24" customWidth="1"/>
    <col min="6" max="6" width="19" customWidth="1"/>
    <col min="7" max="7" width="17" customWidth="1"/>
    <col min="8" max="8" width="14" customWidth="1"/>
    <col min="9" max="11" width="12" customWidth="1"/>
    <col min="12" max="13" width="20" customWidth="1"/>
    <col min="14" max="14" width="12" customWidth="1"/>
    <col min="15" max="15" width="51" customWidth="1"/>
    <col min="16" max="16" width="1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3" t="s">
        <v>19</v>
      </c>
      <c r="E2" s="3" t="s">
        <v>20</v>
      </c>
      <c r="F2" s="2" t="s">
        <v>21</v>
      </c>
      <c r="G2" s="4">
        <v>774746</v>
      </c>
      <c r="H2" s="4">
        <v>389062</v>
      </c>
      <c r="I2" s="4">
        <v>279784</v>
      </c>
      <c r="J2" s="4">
        <v>17630</v>
      </c>
      <c r="K2" s="4">
        <v>607</v>
      </c>
      <c r="L2" s="4">
        <v>853</v>
      </c>
      <c r="M2" s="4">
        <v>2663</v>
      </c>
      <c r="N2" s="4">
        <v>2255</v>
      </c>
      <c r="O2" s="5">
        <f t="shared" ref="O2:O65" si="0">IF(I2&gt;0, (J2+K2+L2+M2)/I2, 0)</f>
        <v>7.7749263717725101E-2</v>
      </c>
      <c r="P2" s="2" t="s">
        <v>22</v>
      </c>
    </row>
    <row r="3" spans="1:16" x14ac:dyDescent="0.25">
      <c r="A3" s="6" t="s">
        <v>23</v>
      </c>
      <c r="B3" s="6" t="s">
        <v>24</v>
      </c>
      <c r="C3" s="6" t="s">
        <v>25</v>
      </c>
      <c r="D3" s="7" t="s">
        <v>26</v>
      </c>
      <c r="E3" s="7" t="s">
        <v>27</v>
      </c>
      <c r="F3" s="6" t="s">
        <v>28</v>
      </c>
      <c r="G3" s="8">
        <v>9314</v>
      </c>
      <c r="H3" s="8">
        <v>1592</v>
      </c>
      <c r="I3" s="8">
        <v>1233</v>
      </c>
      <c r="J3" s="8">
        <v>46</v>
      </c>
      <c r="K3" s="8">
        <v>7</v>
      </c>
      <c r="L3" s="8">
        <v>2</v>
      </c>
      <c r="M3" s="8">
        <v>3</v>
      </c>
      <c r="N3" s="8">
        <v>12</v>
      </c>
      <c r="O3" s="9">
        <f t="shared" si="0"/>
        <v>4.7039740470397405E-2</v>
      </c>
      <c r="P3" s="6" t="s">
        <v>29</v>
      </c>
    </row>
    <row r="4" spans="1:16" x14ac:dyDescent="0.25">
      <c r="A4" s="2" t="s">
        <v>30</v>
      </c>
      <c r="B4" s="2" t="s">
        <v>31</v>
      </c>
      <c r="C4" s="2" t="s">
        <v>32</v>
      </c>
      <c r="D4" s="3" t="s">
        <v>33</v>
      </c>
      <c r="E4" s="3" t="s">
        <v>34</v>
      </c>
      <c r="F4" s="2" t="s">
        <v>35</v>
      </c>
      <c r="G4" s="4">
        <v>85127</v>
      </c>
      <c r="H4" s="4">
        <v>47054</v>
      </c>
      <c r="I4" s="4">
        <v>42103</v>
      </c>
      <c r="J4" s="4">
        <v>1962</v>
      </c>
      <c r="K4" s="4">
        <v>115</v>
      </c>
      <c r="L4" s="4">
        <v>56</v>
      </c>
      <c r="M4" s="4">
        <v>42</v>
      </c>
      <c r="N4" s="4">
        <v>556</v>
      </c>
      <c r="O4" s="5">
        <f t="shared" si="0"/>
        <v>5.1659026672683656E-2</v>
      </c>
      <c r="P4" s="2" t="s">
        <v>22</v>
      </c>
    </row>
    <row r="5" spans="1:16" x14ac:dyDescent="0.25">
      <c r="A5" s="6" t="s">
        <v>36</v>
      </c>
      <c r="B5" s="6" t="s">
        <v>37</v>
      </c>
      <c r="C5" s="6" t="s">
        <v>32</v>
      </c>
      <c r="D5" s="7" t="s">
        <v>38</v>
      </c>
      <c r="E5" s="7" t="s">
        <v>39</v>
      </c>
      <c r="F5" s="6" t="s">
        <v>40</v>
      </c>
      <c r="G5" s="8">
        <v>173055</v>
      </c>
      <c r="H5" s="8">
        <v>34510</v>
      </c>
      <c r="I5" s="8">
        <v>29485</v>
      </c>
      <c r="J5" s="8">
        <v>2105</v>
      </c>
      <c r="K5" s="8">
        <v>85</v>
      </c>
      <c r="L5" s="8">
        <v>215</v>
      </c>
      <c r="M5" s="8">
        <v>34</v>
      </c>
      <c r="N5" s="8">
        <v>927</v>
      </c>
      <c r="O5" s="9">
        <f t="shared" si="0"/>
        <v>8.2720027132440227E-2</v>
      </c>
      <c r="P5" s="6" t="s">
        <v>22</v>
      </c>
    </row>
    <row r="6" spans="1:16" x14ac:dyDescent="0.25">
      <c r="A6" s="2" t="s">
        <v>41</v>
      </c>
      <c r="B6" s="2" t="s">
        <v>42</v>
      </c>
      <c r="C6" s="2" t="s">
        <v>43</v>
      </c>
      <c r="D6" s="3" t="s">
        <v>44</v>
      </c>
      <c r="E6" s="3" t="s">
        <v>45</v>
      </c>
      <c r="F6" s="2" t="s">
        <v>46</v>
      </c>
      <c r="G6" s="4">
        <v>808135</v>
      </c>
      <c r="H6" s="4">
        <v>170158</v>
      </c>
      <c r="I6" s="4">
        <v>149247</v>
      </c>
      <c r="J6" s="4">
        <v>7498</v>
      </c>
      <c r="K6" s="4">
        <v>299</v>
      </c>
      <c r="L6" s="4">
        <v>1040</v>
      </c>
      <c r="M6" s="4">
        <v>36</v>
      </c>
      <c r="N6" s="4">
        <v>5324</v>
      </c>
      <c r="O6" s="5">
        <f t="shared" si="0"/>
        <v>5.945178127533552E-2</v>
      </c>
      <c r="P6" s="2" t="s">
        <v>22</v>
      </c>
    </row>
    <row r="7" spans="1:16" x14ac:dyDescent="0.25">
      <c r="A7" s="6" t="s">
        <v>47</v>
      </c>
      <c r="B7" s="6" t="s">
        <v>48</v>
      </c>
      <c r="C7" s="6" t="s">
        <v>32</v>
      </c>
      <c r="D7" s="7" t="s">
        <v>49</v>
      </c>
      <c r="E7" s="7" t="s">
        <v>50</v>
      </c>
      <c r="F7" s="6" t="s">
        <v>51</v>
      </c>
      <c r="G7" s="8">
        <v>261107</v>
      </c>
      <c r="H7" s="8">
        <v>101105</v>
      </c>
      <c r="I7" s="8">
        <v>83776</v>
      </c>
      <c r="J7" s="8">
        <v>7468</v>
      </c>
      <c r="K7" s="8">
        <v>671</v>
      </c>
      <c r="L7" s="8">
        <v>362</v>
      </c>
      <c r="M7" s="8">
        <v>8</v>
      </c>
      <c r="N7" s="8">
        <v>2050</v>
      </c>
      <c r="O7" s="9">
        <f t="shared" si="0"/>
        <v>0.10156846829640948</v>
      </c>
      <c r="P7" s="6" t="s">
        <v>22</v>
      </c>
    </row>
    <row r="8" spans="1:16" x14ac:dyDescent="0.25">
      <c r="A8" s="2" t="s">
        <v>52</v>
      </c>
      <c r="B8" s="2" t="s">
        <v>53</v>
      </c>
      <c r="C8" s="2" t="s">
        <v>25</v>
      </c>
      <c r="D8" s="3" t="s">
        <v>26</v>
      </c>
      <c r="E8" s="3" t="s">
        <v>27</v>
      </c>
      <c r="F8" s="2" t="s">
        <v>54</v>
      </c>
      <c r="G8" s="4">
        <v>405957</v>
      </c>
      <c r="H8" s="4">
        <v>262974</v>
      </c>
      <c r="I8" s="4">
        <v>198627</v>
      </c>
      <c r="J8" s="4">
        <v>13988</v>
      </c>
      <c r="K8" s="4">
        <v>2397</v>
      </c>
      <c r="L8" s="4">
        <v>1516</v>
      </c>
      <c r="M8" s="4">
        <v>1019</v>
      </c>
      <c r="N8" s="4">
        <v>8295</v>
      </c>
      <c r="O8" s="5">
        <f t="shared" si="0"/>
        <v>9.5253918148086619E-2</v>
      </c>
      <c r="P8" s="2" t="s">
        <v>29</v>
      </c>
    </row>
    <row r="9" spans="1:16" x14ac:dyDescent="0.25">
      <c r="A9" s="6" t="s">
        <v>55</v>
      </c>
      <c r="B9" s="6" t="s">
        <v>56</v>
      </c>
      <c r="C9" s="6" t="s">
        <v>18</v>
      </c>
      <c r="D9" s="7" t="s">
        <v>57</v>
      </c>
      <c r="E9" s="7" t="s">
        <v>20</v>
      </c>
      <c r="F9" s="6" t="s">
        <v>58</v>
      </c>
      <c r="G9" s="8">
        <v>5902</v>
      </c>
      <c r="H9" s="8">
        <v>3418</v>
      </c>
      <c r="I9" s="8">
        <v>3123</v>
      </c>
      <c r="J9" s="8">
        <v>224</v>
      </c>
      <c r="K9" s="8">
        <v>23</v>
      </c>
      <c r="L9" s="8">
        <v>7</v>
      </c>
      <c r="M9" s="8">
        <v>39</v>
      </c>
      <c r="N9" s="8">
        <v>103</v>
      </c>
      <c r="O9" s="9">
        <f t="shared" si="0"/>
        <v>9.3820044828690358E-2</v>
      </c>
      <c r="P9" s="6" t="s">
        <v>22</v>
      </c>
    </row>
    <row r="10" spans="1:16" x14ac:dyDescent="0.25">
      <c r="A10" s="2" t="s">
        <v>59</v>
      </c>
      <c r="B10" s="2" t="s">
        <v>60</v>
      </c>
      <c r="C10" s="2" t="s">
        <v>25</v>
      </c>
      <c r="D10" s="3" t="s">
        <v>61</v>
      </c>
      <c r="E10" s="3" t="s">
        <v>27</v>
      </c>
      <c r="F10" s="2" t="s">
        <v>54</v>
      </c>
      <c r="G10" s="4">
        <v>630538</v>
      </c>
      <c r="H10" s="4">
        <v>57443</v>
      </c>
      <c r="I10" s="4">
        <v>51314</v>
      </c>
      <c r="J10" s="4">
        <v>4015</v>
      </c>
      <c r="K10" s="4">
        <v>305</v>
      </c>
      <c r="L10" s="4">
        <v>110</v>
      </c>
      <c r="M10" s="4">
        <v>905</v>
      </c>
      <c r="N10" s="4">
        <v>1919</v>
      </c>
      <c r="O10" s="5">
        <f t="shared" si="0"/>
        <v>0.10396772810539034</v>
      </c>
      <c r="P10" s="2" t="s">
        <v>22</v>
      </c>
    </row>
    <row r="11" spans="1:16" x14ac:dyDescent="0.25">
      <c r="A11" s="6" t="s">
        <v>62</v>
      </c>
      <c r="B11" s="6" t="s">
        <v>63</v>
      </c>
      <c r="C11" s="6" t="s">
        <v>25</v>
      </c>
      <c r="D11" s="7" t="s">
        <v>64</v>
      </c>
      <c r="E11" s="7" t="s">
        <v>45</v>
      </c>
      <c r="F11" s="6" t="s">
        <v>65</v>
      </c>
      <c r="G11" s="8">
        <v>579010</v>
      </c>
      <c r="H11" s="8">
        <v>220471</v>
      </c>
      <c r="I11" s="8">
        <v>174853</v>
      </c>
      <c r="J11" s="8">
        <v>7211</v>
      </c>
      <c r="K11" s="8">
        <v>799</v>
      </c>
      <c r="L11" s="8">
        <v>828</v>
      </c>
      <c r="M11" s="8">
        <v>650</v>
      </c>
      <c r="N11" s="8">
        <v>3164</v>
      </c>
      <c r="O11" s="9">
        <f t="shared" si="0"/>
        <v>5.4262723544920594E-2</v>
      </c>
      <c r="P11" s="6" t="s">
        <v>66</v>
      </c>
    </row>
    <row r="12" spans="1:16" x14ac:dyDescent="0.25">
      <c r="A12" s="2" t="s">
        <v>67</v>
      </c>
      <c r="B12" s="2" t="s">
        <v>68</v>
      </c>
      <c r="C12" s="2" t="s">
        <v>43</v>
      </c>
      <c r="D12" s="3" t="s">
        <v>69</v>
      </c>
      <c r="E12" s="3" t="s">
        <v>34</v>
      </c>
      <c r="F12" s="2" t="s">
        <v>70</v>
      </c>
      <c r="G12" s="4">
        <v>238112</v>
      </c>
      <c r="H12" s="4">
        <v>21903</v>
      </c>
      <c r="I12" s="4">
        <v>16440</v>
      </c>
      <c r="J12" s="4">
        <v>727</v>
      </c>
      <c r="K12" s="4">
        <v>29</v>
      </c>
      <c r="L12" s="4">
        <v>74</v>
      </c>
      <c r="M12" s="4">
        <v>14</v>
      </c>
      <c r="N12" s="4">
        <v>153</v>
      </c>
      <c r="O12" s="5">
        <f t="shared" si="0"/>
        <v>5.1338199513381998E-2</v>
      </c>
      <c r="P12" s="2" t="s">
        <v>22</v>
      </c>
    </row>
    <row r="13" spans="1:16" x14ac:dyDescent="0.25">
      <c r="A13" s="6" t="s">
        <v>71</v>
      </c>
      <c r="B13" s="6" t="s">
        <v>72</v>
      </c>
      <c r="C13" s="6" t="s">
        <v>18</v>
      </c>
      <c r="D13" s="7" t="s">
        <v>57</v>
      </c>
      <c r="E13" s="7" t="s">
        <v>20</v>
      </c>
      <c r="F13" s="6" t="s">
        <v>73</v>
      </c>
      <c r="G13" s="8">
        <v>141239</v>
      </c>
      <c r="H13" s="8">
        <v>82336</v>
      </c>
      <c r="I13" s="8">
        <v>66197</v>
      </c>
      <c r="J13" s="8">
        <v>5522</v>
      </c>
      <c r="K13" s="8">
        <v>834</v>
      </c>
      <c r="L13" s="8">
        <v>247</v>
      </c>
      <c r="M13" s="8">
        <v>383</v>
      </c>
      <c r="N13" s="8">
        <v>1476</v>
      </c>
      <c r="O13" s="9">
        <f t="shared" si="0"/>
        <v>0.10553348339048597</v>
      </c>
      <c r="P13" s="6" t="s">
        <v>22</v>
      </c>
    </row>
    <row r="14" spans="1:16" x14ac:dyDescent="0.25">
      <c r="A14" s="2" t="s">
        <v>74</v>
      </c>
      <c r="B14" s="2" t="s">
        <v>75</v>
      </c>
      <c r="C14" s="2" t="s">
        <v>76</v>
      </c>
      <c r="D14" s="3" t="s">
        <v>77</v>
      </c>
      <c r="E14" s="3" t="s">
        <v>39</v>
      </c>
      <c r="F14" s="2" t="s">
        <v>78</v>
      </c>
      <c r="G14" s="4">
        <v>841982</v>
      </c>
      <c r="H14" s="4">
        <v>186696</v>
      </c>
      <c r="I14" s="4">
        <v>152714</v>
      </c>
      <c r="J14" s="4">
        <v>5304</v>
      </c>
      <c r="K14" s="4">
        <v>305</v>
      </c>
      <c r="L14" s="4">
        <v>425</v>
      </c>
      <c r="M14" s="4">
        <v>1192</v>
      </c>
      <c r="N14" s="4">
        <v>1355</v>
      </c>
      <c r="O14" s="5">
        <f t="shared" si="0"/>
        <v>4.7317207328732139E-2</v>
      </c>
      <c r="P14" s="2" t="s">
        <v>29</v>
      </c>
    </row>
    <row r="15" spans="1:16" x14ac:dyDescent="0.25">
      <c r="A15" s="6" t="s">
        <v>79</v>
      </c>
      <c r="B15" s="6" t="s">
        <v>80</v>
      </c>
      <c r="C15" s="6" t="s">
        <v>43</v>
      </c>
      <c r="D15" s="7" t="s">
        <v>81</v>
      </c>
      <c r="E15" s="7" t="s">
        <v>34</v>
      </c>
      <c r="F15" s="6" t="s">
        <v>70</v>
      </c>
      <c r="G15" s="8">
        <v>176889</v>
      </c>
      <c r="H15" s="8">
        <v>62684</v>
      </c>
      <c r="I15" s="8">
        <v>56323</v>
      </c>
      <c r="J15" s="8">
        <v>1872</v>
      </c>
      <c r="K15" s="8">
        <v>56</v>
      </c>
      <c r="L15" s="8">
        <v>132</v>
      </c>
      <c r="M15" s="8">
        <v>50</v>
      </c>
      <c r="N15" s="8">
        <v>1789</v>
      </c>
      <c r="O15" s="9">
        <f t="shared" si="0"/>
        <v>3.7462493120039769E-2</v>
      </c>
      <c r="P15" s="6" t="s">
        <v>22</v>
      </c>
    </row>
    <row r="16" spans="1:16" x14ac:dyDescent="0.25">
      <c r="A16" s="2" t="s">
        <v>82</v>
      </c>
      <c r="B16" s="2" t="s">
        <v>83</v>
      </c>
      <c r="C16" s="2" t="s">
        <v>32</v>
      </c>
      <c r="D16" s="3" t="s">
        <v>49</v>
      </c>
      <c r="E16" s="3" t="s">
        <v>20</v>
      </c>
      <c r="F16" s="2" t="s">
        <v>40</v>
      </c>
      <c r="G16" s="4">
        <v>230775</v>
      </c>
      <c r="H16" s="4">
        <v>94648</v>
      </c>
      <c r="I16" s="4">
        <v>67522</v>
      </c>
      <c r="J16" s="4">
        <v>3673</v>
      </c>
      <c r="K16" s="4">
        <v>137</v>
      </c>
      <c r="L16" s="4">
        <v>301</v>
      </c>
      <c r="M16" s="4">
        <v>33</v>
      </c>
      <c r="N16" s="4">
        <v>920</v>
      </c>
      <c r="O16" s="5">
        <f t="shared" si="0"/>
        <v>6.1372589674476466E-2</v>
      </c>
      <c r="P16" s="2" t="s">
        <v>66</v>
      </c>
    </row>
    <row r="17" spans="1:16" x14ac:dyDescent="0.25">
      <c r="A17" s="6" t="s">
        <v>84</v>
      </c>
      <c r="B17" s="6" t="s">
        <v>85</v>
      </c>
      <c r="C17" s="6" t="s">
        <v>76</v>
      </c>
      <c r="D17" s="7" t="s">
        <v>86</v>
      </c>
      <c r="E17" s="7" t="s">
        <v>39</v>
      </c>
      <c r="F17" s="6" t="s">
        <v>87</v>
      </c>
      <c r="G17" s="8">
        <v>599847</v>
      </c>
      <c r="H17" s="8">
        <v>251261</v>
      </c>
      <c r="I17" s="8">
        <v>180414</v>
      </c>
      <c r="J17" s="8">
        <v>14935</v>
      </c>
      <c r="K17" s="8">
        <v>1714</v>
      </c>
      <c r="L17" s="8">
        <v>912</v>
      </c>
      <c r="M17" s="8">
        <v>1525</v>
      </c>
      <c r="N17" s="8">
        <v>6304</v>
      </c>
      <c r="O17" s="9">
        <f t="shared" si="0"/>
        <v>0.10579001629585287</v>
      </c>
      <c r="P17" s="6" t="s">
        <v>22</v>
      </c>
    </row>
    <row r="18" spans="1:16" x14ac:dyDescent="0.25">
      <c r="A18" s="2" t="s">
        <v>88</v>
      </c>
      <c r="B18" s="2" t="s">
        <v>89</v>
      </c>
      <c r="C18" s="2" t="s">
        <v>18</v>
      </c>
      <c r="D18" s="3" t="s">
        <v>57</v>
      </c>
      <c r="E18" s="3" t="s">
        <v>50</v>
      </c>
      <c r="F18" s="2" t="s">
        <v>21</v>
      </c>
      <c r="G18" s="4">
        <v>12267</v>
      </c>
      <c r="H18" s="4">
        <v>7962</v>
      </c>
      <c r="I18" s="4">
        <v>5701</v>
      </c>
      <c r="J18" s="4">
        <v>261</v>
      </c>
      <c r="K18" s="4">
        <v>18</v>
      </c>
      <c r="L18" s="4">
        <v>36</v>
      </c>
      <c r="M18" s="4">
        <v>59</v>
      </c>
      <c r="N18" s="4">
        <v>249</v>
      </c>
      <c r="O18" s="5">
        <f t="shared" si="0"/>
        <v>6.5602525872653916E-2</v>
      </c>
      <c r="P18" s="2" t="s">
        <v>22</v>
      </c>
    </row>
    <row r="19" spans="1:16" x14ac:dyDescent="0.25">
      <c r="A19" s="6" t="s">
        <v>90</v>
      </c>
      <c r="B19" s="6" t="s">
        <v>91</v>
      </c>
      <c r="C19" s="6" t="s">
        <v>18</v>
      </c>
      <c r="D19" s="7" t="s">
        <v>92</v>
      </c>
      <c r="E19" s="7" t="s">
        <v>45</v>
      </c>
      <c r="F19" s="6" t="s">
        <v>73</v>
      </c>
      <c r="G19" s="8">
        <v>10703</v>
      </c>
      <c r="H19" s="8">
        <v>4239</v>
      </c>
      <c r="I19" s="8">
        <v>3063</v>
      </c>
      <c r="J19" s="8">
        <v>308</v>
      </c>
      <c r="K19" s="8">
        <v>21</v>
      </c>
      <c r="L19" s="8">
        <v>41</v>
      </c>
      <c r="M19" s="8">
        <v>61</v>
      </c>
      <c r="N19" s="8">
        <v>40</v>
      </c>
      <c r="O19" s="9">
        <f t="shared" si="0"/>
        <v>0.1407117205354228</v>
      </c>
      <c r="P19" s="6" t="s">
        <v>22</v>
      </c>
    </row>
    <row r="20" spans="1:16" x14ac:dyDescent="0.25">
      <c r="A20" s="2" t="s">
        <v>93</v>
      </c>
      <c r="B20" s="2" t="s">
        <v>94</v>
      </c>
      <c r="C20" s="2" t="s">
        <v>18</v>
      </c>
      <c r="D20" s="3" t="s">
        <v>92</v>
      </c>
      <c r="E20" s="3" t="s">
        <v>39</v>
      </c>
      <c r="F20" s="2" t="s">
        <v>58</v>
      </c>
      <c r="G20" s="4">
        <v>55766</v>
      </c>
      <c r="H20" s="4">
        <v>17925</v>
      </c>
      <c r="I20" s="4">
        <v>12721</v>
      </c>
      <c r="J20" s="4">
        <v>717</v>
      </c>
      <c r="K20" s="4">
        <v>35</v>
      </c>
      <c r="L20" s="4">
        <v>105</v>
      </c>
      <c r="M20" s="4">
        <v>59</v>
      </c>
      <c r="N20" s="4">
        <v>327</v>
      </c>
      <c r="O20" s="5">
        <f t="shared" si="0"/>
        <v>7.2006917695149747E-2</v>
      </c>
      <c r="P20" s="2" t="s">
        <v>29</v>
      </c>
    </row>
    <row r="21" spans="1:16" x14ac:dyDescent="0.25">
      <c r="A21" s="6" t="s">
        <v>95</v>
      </c>
      <c r="B21" s="6" t="s">
        <v>96</v>
      </c>
      <c r="C21" s="6" t="s">
        <v>25</v>
      </c>
      <c r="D21" s="7" t="s">
        <v>61</v>
      </c>
      <c r="E21" s="7" t="s">
        <v>34</v>
      </c>
      <c r="F21" s="6" t="s">
        <v>28</v>
      </c>
      <c r="G21" s="8">
        <v>613305</v>
      </c>
      <c r="H21" s="8">
        <v>199310</v>
      </c>
      <c r="I21" s="8">
        <v>153033</v>
      </c>
      <c r="J21" s="8">
        <v>14736</v>
      </c>
      <c r="K21" s="8">
        <v>2201</v>
      </c>
      <c r="L21" s="8">
        <v>1943</v>
      </c>
      <c r="M21" s="8">
        <v>3386</v>
      </c>
      <c r="N21" s="8">
        <v>2252</v>
      </c>
      <c r="O21" s="9">
        <f t="shared" si="0"/>
        <v>0.14549802983670188</v>
      </c>
      <c r="P21" s="6" t="s">
        <v>22</v>
      </c>
    </row>
    <row r="22" spans="1:16" x14ac:dyDescent="0.25">
      <c r="A22" s="2" t="s">
        <v>97</v>
      </c>
      <c r="B22" s="2" t="s">
        <v>98</v>
      </c>
      <c r="C22" s="2" t="s">
        <v>32</v>
      </c>
      <c r="D22" s="3" t="s">
        <v>33</v>
      </c>
      <c r="E22" s="3" t="s">
        <v>45</v>
      </c>
      <c r="F22" s="2" t="s">
        <v>51</v>
      </c>
      <c r="G22" s="4">
        <v>250737</v>
      </c>
      <c r="H22" s="4">
        <v>159578</v>
      </c>
      <c r="I22" s="4">
        <v>117920</v>
      </c>
      <c r="J22" s="4">
        <v>7139</v>
      </c>
      <c r="K22" s="4">
        <v>406</v>
      </c>
      <c r="L22" s="4">
        <v>1000</v>
      </c>
      <c r="M22" s="4">
        <v>50</v>
      </c>
      <c r="N22" s="4">
        <v>5254</v>
      </c>
      <c r="O22" s="5">
        <f t="shared" si="0"/>
        <v>7.2888398914518315E-2</v>
      </c>
      <c r="P22" s="2" t="s">
        <v>29</v>
      </c>
    </row>
    <row r="23" spans="1:16" x14ac:dyDescent="0.25">
      <c r="A23" s="6" t="s">
        <v>99</v>
      </c>
      <c r="B23" s="6" t="s">
        <v>100</v>
      </c>
      <c r="C23" s="6" t="s">
        <v>18</v>
      </c>
      <c r="D23" s="7" t="s">
        <v>19</v>
      </c>
      <c r="E23" s="7" t="s">
        <v>45</v>
      </c>
      <c r="F23" s="6" t="s">
        <v>21</v>
      </c>
      <c r="G23" s="8">
        <v>403624</v>
      </c>
      <c r="H23" s="8">
        <v>229822</v>
      </c>
      <c r="I23" s="8">
        <v>170965</v>
      </c>
      <c r="J23" s="8">
        <v>17261</v>
      </c>
      <c r="K23" s="8">
        <v>1423</v>
      </c>
      <c r="L23" s="8">
        <v>2186</v>
      </c>
      <c r="M23" s="8">
        <v>3871</v>
      </c>
      <c r="N23" s="8">
        <v>2686</v>
      </c>
      <c r="O23" s="9">
        <f t="shared" si="0"/>
        <v>0.14471383031614657</v>
      </c>
      <c r="P23" s="6" t="s">
        <v>29</v>
      </c>
    </row>
    <row r="24" spans="1:16" x14ac:dyDescent="0.25">
      <c r="A24" s="2" t="s">
        <v>101</v>
      </c>
      <c r="B24" s="2" t="s">
        <v>102</v>
      </c>
      <c r="C24" s="2" t="s">
        <v>76</v>
      </c>
      <c r="D24" s="3" t="s">
        <v>103</v>
      </c>
      <c r="E24" s="3" t="s">
        <v>50</v>
      </c>
      <c r="F24" s="2" t="s">
        <v>104</v>
      </c>
      <c r="G24" s="4">
        <v>715026</v>
      </c>
      <c r="H24" s="4">
        <v>275744</v>
      </c>
      <c r="I24" s="4">
        <v>200017</v>
      </c>
      <c r="J24" s="4">
        <v>21569</v>
      </c>
      <c r="K24" s="4">
        <v>1224</v>
      </c>
      <c r="L24" s="4">
        <v>3130</v>
      </c>
      <c r="M24" s="4">
        <v>2223</v>
      </c>
      <c r="N24" s="4">
        <v>2275</v>
      </c>
      <c r="O24" s="5">
        <f t="shared" si="0"/>
        <v>0.14071803896668783</v>
      </c>
      <c r="P24" s="2" t="s">
        <v>22</v>
      </c>
    </row>
    <row r="25" spans="1:16" x14ac:dyDescent="0.25">
      <c r="A25" s="6" t="s">
        <v>105</v>
      </c>
      <c r="B25" s="6" t="s">
        <v>106</v>
      </c>
      <c r="C25" s="6" t="s">
        <v>43</v>
      </c>
      <c r="D25" s="7" t="s">
        <v>81</v>
      </c>
      <c r="E25" s="7" t="s">
        <v>39</v>
      </c>
      <c r="F25" s="6" t="s">
        <v>107</v>
      </c>
      <c r="G25" s="8">
        <v>201812</v>
      </c>
      <c r="H25" s="8">
        <v>97678</v>
      </c>
      <c r="I25" s="8">
        <v>79547</v>
      </c>
      <c r="J25" s="8">
        <v>6680</v>
      </c>
      <c r="K25" s="8">
        <v>888</v>
      </c>
      <c r="L25" s="8">
        <v>950</v>
      </c>
      <c r="M25" s="8">
        <v>47</v>
      </c>
      <c r="N25" s="8">
        <v>2453</v>
      </c>
      <c r="O25" s="9">
        <f t="shared" si="0"/>
        <v>0.10767219379737765</v>
      </c>
      <c r="P25" s="6" t="s">
        <v>22</v>
      </c>
    </row>
    <row r="26" spans="1:16" x14ac:dyDescent="0.25">
      <c r="A26" s="2" t="s">
        <v>108</v>
      </c>
      <c r="B26" s="2" t="s">
        <v>109</v>
      </c>
      <c r="C26" s="2" t="s">
        <v>43</v>
      </c>
      <c r="D26" s="3" t="s">
        <v>110</v>
      </c>
      <c r="E26" s="3" t="s">
        <v>45</v>
      </c>
      <c r="F26" s="2" t="s">
        <v>70</v>
      </c>
      <c r="G26" s="4">
        <v>757217</v>
      </c>
      <c r="H26" s="4">
        <v>279458</v>
      </c>
      <c r="I26" s="4">
        <v>220728</v>
      </c>
      <c r="J26" s="4">
        <v>12336</v>
      </c>
      <c r="K26" s="4">
        <v>917</v>
      </c>
      <c r="L26" s="4">
        <v>450</v>
      </c>
      <c r="M26" s="4">
        <v>26</v>
      </c>
      <c r="N26" s="4">
        <v>6971</v>
      </c>
      <c r="O26" s="5">
        <f t="shared" si="0"/>
        <v>6.2198724221666488E-2</v>
      </c>
      <c r="P26" s="2" t="s">
        <v>22</v>
      </c>
    </row>
    <row r="27" spans="1:16" x14ac:dyDescent="0.25">
      <c r="A27" s="6" t="s">
        <v>111</v>
      </c>
      <c r="B27" s="6" t="s">
        <v>112</v>
      </c>
      <c r="C27" s="6" t="s">
        <v>18</v>
      </c>
      <c r="D27" s="7" t="s">
        <v>57</v>
      </c>
      <c r="E27" s="7" t="s">
        <v>27</v>
      </c>
      <c r="F27" s="6" t="s">
        <v>21</v>
      </c>
      <c r="G27" s="8">
        <v>321135</v>
      </c>
      <c r="H27" s="8">
        <v>104380</v>
      </c>
      <c r="I27" s="8">
        <v>86997</v>
      </c>
      <c r="J27" s="8">
        <v>4105</v>
      </c>
      <c r="K27" s="8">
        <v>395</v>
      </c>
      <c r="L27" s="8">
        <v>442</v>
      </c>
      <c r="M27" s="8">
        <v>624</v>
      </c>
      <c r="N27" s="8">
        <v>3007</v>
      </c>
      <c r="O27" s="9">
        <f t="shared" si="0"/>
        <v>6.3979217674172667E-2</v>
      </c>
      <c r="P27" s="6" t="s">
        <v>66</v>
      </c>
    </row>
    <row r="28" spans="1:16" x14ac:dyDescent="0.25">
      <c r="A28" s="2" t="s">
        <v>113</v>
      </c>
      <c r="B28" s="2" t="s">
        <v>114</v>
      </c>
      <c r="C28" s="2" t="s">
        <v>18</v>
      </c>
      <c r="D28" s="3" t="s">
        <v>92</v>
      </c>
      <c r="E28" s="3" t="s">
        <v>45</v>
      </c>
      <c r="F28" s="2" t="s">
        <v>73</v>
      </c>
      <c r="G28" s="4">
        <v>651842</v>
      </c>
      <c r="H28" s="4">
        <v>356232</v>
      </c>
      <c r="I28" s="4">
        <v>267769</v>
      </c>
      <c r="J28" s="4">
        <v>13759</v>
      </c>
      <c r="K28" s="4">
        <v>2077</v>
      </c>
      <c r="L28" s="4">
        <v>538</v>
      </c>
      <c r="M28" s="4">
        <v>815</v>
      </c>
      <c r="N28" s="4">
        <v>12296</v>
      </c>
      <c r="O28" s="5">
        <f t="shared" si="0"/>
        <v>6.4193390571724129E-2</v>
      </c>
      <c r="P28" s="2" t="s">
        <v>29</v>
      </c>
    </row>
    <row r="29" spans="1:16" x14ac:dyDescent="0.25">
      <c r="A29" s="6" t="s">
        <v>115</v>
      </c>
      <c r="B29" s="6" t="s">
        <v>116</v>
      </c>
      <c r="C29" s="6" t="s">
        <v>43</v>
      </c>
      <c r="D29" s="7" t="s">
        <v>44</v>
      </c>
      <c r="E29" s="7" t="s">
        <v>45</v>
      </c>
      <c r="F29" s="6" t="s">
        <v>107</v>
      </c>
      <c r="G29" s="8">
        <v>405130</v>
      </c>
      <c r="H29" s="8">
        <v>88752</v>
      </c>
      <c r="I29" s="8">
        <v>75552</v>
      </c>
      <c r="J29" s="8">
        <v>6528</v>
      </c>
      <c r="K29" s="8">
        <v>1038</v>
      </c>
      <c r="L29" s="8">
        <v>882</v>
      </c>
      <c r="M29" s="8">
        <v>49</v>
      </c>
      <c r="N29" s="8">
        <v>1575</v>
      </c>
      <c r="O29" s="9">
        <f t="shared" si="0"/>
        <v>0.11246558661584075</v>
      </c>
      <c r="P29" s="6" t="s">
        <v>22</v>
      </c>
    </row>
    <row r="30" spans="1:16" x14ac:dyDescent="0.25">
      <c r="A30" s="2" t="s">
        <v>117</v>
      </c>
      <c r="B30" s="2" t="s">
        <v>118</v>
      </c>
      <c r="C30" s="2" t="s">
        <v>43</v>
      </c>
      <c r="D30" s="3" t="s">
        <v>44</v>
      </c>
      <c r="E30" s="3" t="s">
        <v>34</v>
      </c>
      <c r="F30" s="2" t="s">
        <v>46</v>
      </c>
      <c r="G30" s="4">
        <v>142316</v>
      </c>
      <c r="H30" s="4">
        <v>65539</v>
      </c>
      <c r="I30" s="4">
        <v>54462</v>
      </c>
      <c r="J30" s="4">
        <v>5046</v>
      </c>
      <c r="K30" s="4">
        <v>826</v>
      </c>
      <c r="L30" s="4">
        <v>502</v>
      </c>
      <c r="M30" s="4">
        <v>46</v>
      </c>
      <c r="N30" s="4">
        <v>2081</v>
      </c>
      <c r="O30" s="5">
        <f t="shared" si="0"/>
        <v>0.11788035694612757</v>
      </c>
      <c r="P30" s="2" t="s">
        <v>22</v>
      </c>
    </row>
    <row r="31" spans="1:16" x14ac:dyDescent="0.25">
      <c r="A31" s="6" t="s">
        <v>119</v>
      </c>
      <c r="B31" s="6" t="s">
        <v>120</v>
      </c>
      <c r="C31" s="6" t="s">
        <v>32</v>
      </c>
      <c r="D31" s="7" t="s">
        <v>121</v>
      </c>
      <c r="E31" s="7" t="s">
        <v>50</v>
      </c>
      <c r="F31" s="6" t="s">
        <v>51</v>
      </c>
      <c r="G31" s="8">
        <v>671136</v>
      </c>
      <c r="H31" s="8">
        <v>351188</v>
      </c>
      <c r="I31" s="8">
        <v>294255</v>
      </c>
      <c r="J31" s="8">
        <v>12809</v>
      </c>
      <c r="K31" s="8">
        <v>533</v>
      </c>
      <c r="L31" s="8">
        <v>731</v>
      </c>
      <c r="M31" s="8">
        <v>17</v>
      </c>
      <c r="N31" s="8">
        <v>5294</v>
      </c>
      <c r="O31" s="9">
        <f t="shared" si="0"/>
        <v>4.7883638340894805E-2</v>
      </c>
      <c r="P31" s="6" t="s">
        <v>66</v>
      </c>
    </row>
    <row r="32" spans="1:16" x14ac:dyDescent="0.25">
      <c r="A32" s="2" t="s">
        <v>122</v>
      </c>
      <c r="B32" s="2" t="s">
        <v>123</v>
      </c>
      <c r="C32" s="2" t="s">
        <v>32</v>
      </c>
      <c r="D32" s="3" t="s">
        <v>49</v>
      </c>
      <c r="E32" s="3" t="s">
        <v>45</v>
      </c>
      <c r="F32" s="2" t="s">
        <v>51</v>
      </c>
      <c r="G32" s="4">
        <v>69848</v>
      </c>
      <c r="H32" s="4">
        <v>18761</v>
      </c>
      <c r="I32" s="4">
        <v>14848</v>
      </c>
      <c r="J32" s="4">
        <v>608</v>
      </c>
      <c r="K32" s="4">
        <v>56</v>
      </c>
      <c r="L32" s="4">
        <v>83</v>
      </c>
      <c r="M32" s="4">
        <v>37</v>
      </c>
      <c r="N32" s="4">
        <v>626</v>
      </c>
      <c r="O32" s="5">
        <f t="shared" si="0"/>
        <v>5.2801724137931036E-2</v>
      </c>
      <c r="P32" s="2" t="s">
        <v>22</v>
      </c>
    </row>
    <row r="33" spans="1:16" x14ac:dyDescent="0.25">
      <c r="A33" s="6" t="s">
        <v>124</v>
      </c>
      <c r="B33" s="6" t="s">
        <v>125</v>
      </c>
      <c r="C33" s="6" t="s">
        <v>76</v>
      </c>
      <c r="D33" s="7" t="s">
        <v>103</v>
      </c>
      <c r="E33" s="7" t="s">
        <v>50</v>
      </c>
      <c r="F33" s="6" t="s">
        <v>104</v>
      </c>
      <c r="G33" s="8">
        <v>441875</v>
      </c>
      <c r="H33" s="8">
        <v>220381</v>
      </c>
      <c r="I33" s="8">
        <v>183514</v>
      </c>
      <c r="J33" s="8">
        <v>7323</v>
      </c>
      <c r="K33" s="8">
        <v>460</v>
      </c>
      <c r="L33" s="8">
        <v>561</v>
      </c>
      <c r="M33" s="8">
        <v>408</v>
      </c>
      <c r="N33" s="8">
        <v>3324</v>
      </c>
      <c r="O33" s="9">
        <f t="shared" si="0"/>
        <v>4.7691184323811808E-2</v>
      </c>
      <c r="P33" s="6" t="s">
        <v>29</v>
      </c>
    </row>
    <row r="34" spans="1:16" x14ac:dyDescent="0.25">
      <c r="A34" s="2" t="s">
        <v>126</v>
      </c>
      <c r="B34" s="2" t="s">
        <v>127</v>
      </c>
      <c r="C34" s="2" t="s">
        <v>32</v>
      </c>
      <c r="D34" s="3" t="s">
        <v>49</v>
      </c>
      <c r="E34" s="3" t="s">
        <v>27</v>
      </c>
      <c r="F34" s="2" t="s">
        <v>128</v>
      </c>
      <c r="G34" s="4">
        <v>415660</v>
      </c>
      <c r="H34" s="4">
        <v>190334</v>
      </c>
      <c r="I34" s="4">
        <v>160147</v>
      </c>
      <c r="J34" s="4">
        <v>5356</v>
      </c>
      <c r="K34" s="4">
        <v>531</v>
      </c>
      <c r="L34" s="4">
        <v>142</v>
      </c>
      <c r="M34" s="4">
        <v>24</v>
      </c>
      <c r="N34" s="4">
        <v>2820</v>
      </c>
      <c r="O34" s="5">
        <f t="shared" si="0"/>
        <v>3.7796524443167841E-2</v>
      </c>
      <c r="P34" s="2" t="s">
        <v>22</v>
      </c>
    </row>
    <row r="35" spans="1:16" x14ac:dyDescent="0.25">
      <c r="A35" s="6" t="s">
        <v>129</v>
      </c>
      <c r="B35" s="6" t="s">
        <v>130</v>
      </c>
      <c r="C35" s="6" t="s">
        <v>32</v>
      </c>
      <c r="D35" s="7" t="s">
        <v>38</v>
      </c>
      <c r="E35" s="7" t="s">
        <v>34</v>
      </c>
      <c r="F35" s="6" t="s">
        <v>35</v>
      </c>
      <c r="G35" s="8">
        <v>22824</v>
      </c>
      <c r="H35" s="8">
        <v>2503</v>
      </c>
      <c r="I35" s="8">
        <v>1875</v>
      </c>
      <c r="J35" s="8">
        <v>60</v>
      </c>
      <c r="K35" s="8">
        <v>10</v>
      </c>
      <c r="L35" s="8">
        <v>1</v>
      </c>
      <c r="M35" s="8">
        <v>1</v>
      </c>
      <c r="N35" s="8">
        <v>83</v>
      </c>
      <c r="O35" s="9">
        <f t="shared" si="0"/>
        <v>3.8399999999999997E-2</v>
      </c>
      <c r="P35" s="6" t="s">
        <v>22</v>
      </c>
    </row>
    <row r="36" spans="1:16" x14ac:dyDescent="0.25">
      <c r="A36" s="2" t="s">
        <v>131</v>
      </c>
      <c r="B36" s="2" t="s">
        <v>132</v>
      </c>
      <c r="C36" s="2" t="s">
        <v>25</v>
      </c>
      <c r="D36" s="3" t="s">
        <v>26</v>
      </c>
      <c r="E36" s="3" t="s">
        <v>45</v>
      </c>
      <c r="F36" s="2" t="s">
        <v>54</v>
      </c>
      <c r="G36" s="4">
        <v>593864</v>
      </c>
      <c r="H36" s="4">
        <v>204924</v>
      </c>
      <c r="I36" s="4">
        <v>178021</v>
      </c>
      <c r="J36" s="4">
        <v>6161</v>
      </c>
      <c r="K36" s="4">
        <v>746</v>
      </c>
      <c r="L36" s="4">
        <v>722</v>
      </c>
      <c r="M36" s="4">
        <v>449</v>
      </c>
      <c r="N36" s="4">
        <v>6061</v>
      </c>
      <c r="O36" s="5">
        <f t="shared" si="0"/>
        <v>4.5376669044663268E-2</v>
      </c>
      <c r="P36" s="2" t="s">
        <v>66</v>
      </c>
    </row>
    <row r="37" spans="1:16" x14ac:dyDescent="0.25">
      <c r="A37" s="6" t="s">
        <v>133</v>
      </c>
      <c r="B37" s="6" t="s">
        <v>134</v>
      </c>
      <c r="C37" s="6" t="s">
        <v>18</v>
      </c>
      <c r="D37" s="7" t="s">
        <v>92</v>
      </c>
      <c r="E37" s="7" t="s">
        <v>45</v>
      </c>
      <c r="F37" s="6" t="s">
        <v>58</v>
      </c>
      <c r="G37" s="8">
        <v>418422</v>
      </c>
      <c r="H37" s="8">
        <v>80775</v>
      </c>
      <c r="I37" s="8">
        <v>68815</v>
      </c>
      <c r="J37" s="8">
        <v>4655</v>
      </c>
      <c r="K37" s="8">
        <v>210</v>
      </c>
      <c r="L37" s="8">
        <v>560</v>
      </c>
      <c r="M37" s="8">
        <v>1024</v>
      </c>
      <c r="N37" s="8">
        <v>1858</v>
      </c>
      <c r="O37" s="9">
        <f t="shared" si="0"/>
        <v>9.3715033059652689E-2</v>
      </c>
      <c r="P37" s="6" t="s">
        <v>22</v>
      </c>
    </row>
    <row r="38" spans="1:16" x14ac:dyDescent="0.25">
      <c r="A38" s="2" t="s">
        <v>135</v>
      </c>
      <c r="B38" s="2" t="s">
        <v>136</v>
      </c>
      <c r="C38" s="2" t="s">
        <v>32</v>
      </c>
      <c r="D38" s="3" t="s">
        <v>38</v>
      </c>
      <c r="E38" s="3" t="s">
        <v>34</v>
      </c>
      <c r="F38" s="2" t="s">
        <v>40</v>
      </c>
      <c r="G38" s="4">
        <v>15766</v>
      </c>
      <c r="H38" s="4">
        <v>8651</v>
      </c>
      <c r="I38" s="4">
        <v>6880</v>
      </c>
      <c r="J38" s="4">
        <v>361</v>
      </c>
      <c r="K38" s="4">
        <v>59</v>
      </c>
      <c r="L38" s="4">
        <v>28</v>
      </c>
      <c r="M38" s="4">
        <v>9</v>
      </c>
      <c r="N38" s="4">
        <v>156</v>
      </c>
      <c r="O38" s="5">
        <f t="shared" si="0"/>
        <v>6.6424418604651161E-2</v>
      </c>
      <c r="P38" s="2" t="s">
        <v>29</v>
      </c>
    </row>
    <row r="39" spans="1:16" x14ac:dyDescent="0.25">
      <c r="A39" s="6" t="s">
        <v>137</v>
      </c>
      <c r="B39" s="6" t="s">
        <v>138</v>
      </c>
      <c r="C39" s="6" t="s">
        <v>43</v>
      </c>
      <c r="D39" s="7" t="s">
        <v>69</v>
      </c>
      <c r="E39" s="7" t="s">
        <v>39</v>
      </c>
      <c r="F39" s="6" t="s">
        <v>46</v>
      </c>
      <c r="G39" s="8">
        <v>769036</v>
      </c>
      <c r="H39" s="8">
        <v>202805</v>
      </c>
      <c r="I39" s="8">
        <v>179028</v>
      </c>
      <c r="J39" s="8">
        <v>5110</v>
      </c>
      <c r="K39" s="8">
        <v>829</v>
      </c>
      <c r="L39" s="8">
        <v>264</v>
      </c>
      <c r="M39" s="8">
        <v>29</v>
      </c>
      <c r="N39" s="8">
        <v>4481</v>
      </c>
      <c r="O39" s="9">
        <f t="shared" si="0"/>
        <v>3.4810197287575124E-2</v>
      </c>
      <c r="P39" s="6" t="s">
        <v>29</v>
      </c>
    </row>
    <row r="40" spans="1:16" x14ac:dyDescent="0.25">
      <c r="A40" s="2" t="s">
        <v>139</v>
      </c>
      <c r="B40" s="2" t="s">
        <v>140</v>
      </c>
      <c r="C40" s="2" t="s">
        <v>18</v>
      </c>
      <c r="D40" s="3" t="s">
        <v>19</v>
      </c>
      <c r="E40" s="3" t="s">
        <v>39</v>
      </c>
      <c r="F40" s="2" t="s">
        <v>21</v>
      </c>
      <c r="G40" s="4">
        <v>374560</v>
      </c>
      <c r="H40" s="4">
        <v>102626</v>
      </c>
      <c r="I40" s="4">
        <v>87669</v>
      </c>
      <c r="J40" s="4">
        <v>3753</v>
      </c>
      <c r="K40" s="4">
        <v>118</v>
      </c>
      <c r="L40" s="4">
        <v>537</v>
      </c>
      <c r="M40" s="4">
        <v>251</v>
      </c>
      <c r="N40" s="4">
        <v>2730</v>
      </c>
      <c r="O40" s="5">
        <f t="shared" si="0"/>
        <v>5.3143072237621054E-2</v>
      </c>
      <c r="P40" s="2" t="s">
        <v>22</v>
      </c>
    </row>
    <row r="41" spans="1:16" x14ac:dyDescent="0.25">
      <c r="A41" s="6" t="s">
        <v>141</v>
      </c>
      <c r="B41" s="6" t="s">
        <v>142</v>
      </c>
      <c r="C41" s="6" t="s">
        <v>32</v>
      </c>
      <c r="D41" s="7" t="s">
        <v>121</v>
      </c>
      <c r="E41" s="7" t="s">
        <v>34</v>
      </c>
      <c r="F41" s="6" t="s">
        <v>128</v>
      </c>
      <c r="G41" s="8">
        <v>311028</v>
      </c>
      <c r="H41" s="8">
        <v>147526</v>
      </c>
      <c r="I41" s="8">
        <v>124817</v>
      </c>
      <c r="J41" s="8">
        <v>6216</v>
      </c>
      <c r="K41" s="8">
        <v>702</v>
      </c>
      <c r="L41" s="8">
        <v>402</v>
      </c>
      <c r="M41" s="8">
        <v>47</v>
      </c>
      <c r="N41" s="8">
        <v>3173</v>
      </c>
      <c r="O41" s="9">
        <f t="shared" si="0"/>
        <v>5.9022408806492704E-2</v>
      </c>
      <c r="P41" s="6" t="s">
        <v>22</v>
      </c>
    </row>
    <row r="42" spans="1:16" x14ac:dyDescent="0.25">
      <c r="A42" s="2" t="s">
        <v>143</v>
      </c>
      <c r="B42" s="2" t="s">
        <v>144</v>
      </c>
      <c r="C42" s="2" t="s">
        <v>25</v>
      </c>
      <c r="D42" s="3" t="s">
        <v>145</v>
      </c>
      <c r="E42" s="3" t="s">
        <v>45</v>
      </c>
      <c r="F42" s="2" t="s">
        <v>146</v>
      </c>
      <c r="G42" s="4">
        <v>333376</v>
      </c>
      <c r="H42" s="4">
        <v>128497</v>
      </c>
      <c r="I42" s="4">
        <v>109458</v>
      </c>
      <c r="J42" s="4">
        <v>4046</v>
      </c>
      <c r="K42" s="4">
        <v>569</v>
      </c>
      <c r="L42" s="4">
        <v>226</v>
      </c>
      <c r="M42" s="4">
        <v>679</v>
      </c>
      <c r="N42" s="4">
        <v>3573</v>
      </c>
      <c r="O42" s="5">
        <f t="shared" si="0"/>
        <v>5.0430302033656747E-2</v>
      </c>
      <c r="P42" s="2" t="s">
        <v>22</v>
      </c>
    </row>
    <row r="43" spans="1:16" x14ac:dyDescent="0.25">
      <c r="A43" s="6" t="s">
        <v>147</v>
      </c>
      <c r="B43" s="6" t="s">
        <v>148</v>
      </c>
      <c r="C43" s="6" t="s">
        <v>18</v>
      </c>
      <c r="D43" s="7" t="s">
        <v>19</v>
      </c>
      <c r="E43" s="7" t="s">
        <v>50</v>
      </c>
      <c r="F43" s="6" t="s">
        <v>21</v>
      </c>
      <c r="G43" s="8">
        <v>744911</v>
      </c>
      <c r="H43" s="8">
        <v>176065</v>
      </c>
      <c r="I43" s="8">
        <v>144679</v>
      </c>
      <c r="J43" s="8">
        <v>10888</v>
      </c>
      <c r="K43" s="8">
        <v>532</v>
      </c>
      <c r="L43" s="8">
        <v>1447</v>
      </c>
      <c r="M43" s="8">
        <v>1613</v>
      </c>
      <c r="N43" s="8">
        <v>5489</v>
      </c>
      <c r="O43" s="9">
        <f t="shared" si="0"/>
        <v>0.10008363342295704</v>
      </c>
      <c r="P43" s="6" t="s">
        <v>22</v>
      </c>
    </row>
    <row r="44" spans="1:16" x14ac:dyDescent="0.25">
      <c r="A44" s="2" t="s">
        <v>149</v>
      </c>
      <c r="B44" s="2" t="s">
        <v>150</v>
      </c>
      <c r="C44" s="2" t="s">
        <v>25</v>
      </c>
      <c r="D44" s="3" t="s">
        <v>145</v>
      </c>
      <c r="E44" s="3" t="s">
        <v>50</v>
      </c>
      <c r="F44" s="2" t="s">
        <v>65</v>
      </c>
      <c r="G44" s="4">
        <v>122129</v>
      </c>
      <c r="H44" s="4">
        <v>37664</v>
      </c>
      <c r="I44" s="4">
        <v>31146</v>
      </c>
      <c r="J44" s="4">
        <v>2304</v>
      </c>
      <c r="K44" s="4">
        <v>121</v>
      </c>
      <c r="L44" s="4">
        <v>289</v>
      </c>
      <c r="M44" s="4">
        <v>552</v>
      </c>
      <c r="N44" s="4">
        <v>284</v>
      </c>
      <c r="O44" s="5">
        <f t="shared" si="0"/>
        <v>0.10486097733256276</v>
      </c>
      <c r="P44" s="2" t="s">
        <v>22</v>
      </c>
    </row>
    <row r="45" spans="1:16" x14ac:dyDescent="0.25">
      <c r="A45" s="6" t="s">
        <v>151</v>
      </c>
      <c r="B45" s="6" t="s">
        <v>152</v>
      </c>
      <c r="C45" s="6" t="s">
        <v>43</v>
      </c>
      <c r="D45" s="7" t="s">
        <v>44</v>
      </c>
      <c r="E45" s="7" t="s">
        <v>27</v>
      </c>
      <c r="F45" s="6" t="s">
        <v>46</v>
      </c>
      <c r="G45" s="8">
        <v>474898</v>
      </c>
      <c r="H45" s="8">
        <v>118482</v>
      </c>
      <c r="I45" s="8">
        <v>108743</v>
      </c>
      <c r="J45" s="8">
        <v>4540</v>
      </c>
      <c r="K45" s="8">
        <v>559</v>
      </c>
      <c r="L45" s="8">
        <v>450</v>
      </c>
      <c r="M45" s="8">
        <v>47</v>
      </c>
      <c r="N45" s="8">
        <v>945</v>
      </c>
      <c r="O45" s="9">
        <f t="shared" si="0"/>
        <v>5.1460783682627846E-2</v>
      </c>
      <c r="P45" s="6" t="s">
        <v>29</v>
      </c>
    </row>
    <row r="46" spans="1:16" x14ac:dyDescent="0.25">
      <c r="A46" s="2" t="s">
        <v>153</v>
      </c>
      <c r="B46" s="2" t="s">
        <v>154</v>
      </c>
      <c r="C46" s="2" t="s">
        <v>76</v>
      </c>
      <c r="D46" s="3" t="s">
        <v>86</v>
      </c>
      <c r="E46" s="3" t="s">
        <v>20</v>
      </c>
      <c r="F46" s="2" t="s">
        <v>155</v>
      </c>
      <c r="G46" s="4">
        <v>581305</v>
      </c>
      <c r="H46" s="4">
        <v>47390</v>
      </c>
      <c r="I46" s="4">
        <v>40360</v>
      </c>
      <c r="J46" s="4">
        <v>2283</v>
      </c>
      <c r="K46" s="4">
        <v>79</v>
      </c>
      <c r="L46" s="4">
        <v>131</v>
      </c>
      <c r="M46" s="4">
        <v>243</v>
      </c>
      <c r="N46" s="4">
        <v>1459</v>
      </c>
      <c r="O46" s="5">
        <f t="shared" si="0"/>
        <v>6.7789890981169471E-2</v>
      </c>
      <c r="P46" s="2" t="s">
        <v>22</v>
      </c>
    </row>
    <row r="47" spans="1:16" x14ac:dyDescent="0.25">
      <c r="A47" s="6" t="s">
        <v>156</v>
      </c>
      <c r="B47" s="6" t="s">
        <v>157</v>
      </c>
      <c r="C47" s="6" t="s">
        <v>43</v>
      </c>
      <c r="D47" s="7" t="s">
        <v>44</v>
      </c>
      <c r="E47" s="7" t="s">
        <v>39</v>
      </c>
      <c r="F47" s="6" t="s">
        <v>70</v>
      </c>
      <c r="G47" s="8">
        <v>573515</v>
      </c>
      <c r="H47" s="8">
        <v>94586</v>
      </c>
      <c r="I47" s="8">
        <v>83411</v>
      </c>
      <c r="J47" s="8">
        <v>2296</v>
      </c>
      <c r="K47" s="8">
        <v>126</v>
      </c>
      <c r="L47" s="8">
        <v>137</v>
      </c>
      <c r="M47" s="8">
        <v>47</v>
      </c>
      <c r="N47" s="8">
        <v>2811</v>
      </c>
      <c r="O47" s="9">
        <f t="shared" si="0"/>
        <v>3.1242881634316818E-2</v>
      </c>
      <c r="P47" s="6" t="s">
        <v>66</v>
      </c>
    </row>
    <row r="48" spans="1:16" x14ac:dyDescent="0.25">
      <c r="A48" s="2" t="s">
        <v>158</v>
      </c>
      <c r="B48" s="2" t="s">
        <v>159</v>
      </c>
      <c r="C48" s="2" t="s">
        <v>18</v>
      </c>
      <c r="D48" s="3" t="s">
        <v>57</v>
      </c>
      <c r="E48" s="3" t="s">
        <v>50</v>
      </c>
      <c r="F48" s="2" t="s">
        <v>73</v>
      </c>
      <c r="G48" s="4">
        <v>568711</v>
      </c>
      <c r="H48" s="4">
        <v>71573</v>
      </c>
      <c r="I48" s="4">
        <v>64106</v>
      </c>
      <c r="J48" s="4">
        <v>4585</v>
      </c>
      <c r="K48" s="4">
        <v>552</v>
      </c>
      <c r="L48" s="4">
        <v>107</v>
      </c>
      <c r="M48" s="4">
        <v>439</v>
      </c>
      <c r="N48" s="4">
        <v>1805</v>
      </c>
      <c r="O48" s="5">
        <f t="shared" si="0"/>
        <v>8.8650048357408043E-2</v>
      </c>
      <c r="P48" s="2" t="s">
        <v>29</v>
      </c>
    </row>
    <row r="49" spans="1:16" x14ac:dyDescent="0.25">
      <c r="A49" s="6" t="s">
        <v>160</v>
      </c>
      <c r="B49" s="6" t="s">
        <v>161</v>
      </c>
      <c r="C49" s="6" t="s">
        <v>18</v>
      </c>
      <c r="D49" s="7" t="s">
        <v>92</v>
      </c>
      <c r="E49" s="7" t="s">
        <v>34</v>
      </c>
      <c r="F49" s="6" t="s">
        <v>21</v>
      </c>
      <c r="G49" s="8">
        <v>495855</v>
      </c>
      <c r="H49" s="8">
        <v>164658</v>
      </c>
      <c r="I49" s="8">
        <v>121835</v>
      </c>
      <c r="J49" s="8">
        <v>9075</v>
      </c>
      <c r="K49" s="8">
        <v>1136</v>
      </c>
      <c r="L49" s="8">
        <v>761</v>
      </c>
      <c r="M49" s="8">
        <v>619</v>
      </c>
      <c r="N49" s="8">
        <v>2542</v>
      </c>
      <c r="O49" s="9">
        <f t="shared" si="0"/>
        <v>9.5136865432757414E-2</v>
      </c>
      <c r="P49" s="6" t="s">
        <v>22</v>
      </c>
    </row>
    <row r="50" spans="1:16" x14ac:dyDescent="0.25">
      <c r="A50" s="2" t="s">
        <v>162</v>
      </c>
      <c r="B50" s="2" t="s">
        <v>163</v>
      </c>
      <c r="C50" s="2" t="s">
        <v>18</v>
      </c>
      <c r="D50" s="3" t="s">
        <v>57</v>
      </c>
      <c r="E50" s="3" t="s">
        <v>45</v>
      </c>
      <c r="F50" s="2" t="s">
        <v>58</v>
      </c>
      <c r="G50" s="4">
        <v>304718</v>
      </c>
      <c r="H50" s="4">
        <v>93931</v>
      </c>
      <c r="I50" s="4">
        <v>77119</v>
      </c>
      <c r="J50" s="4">
        <v>4441</v>
      </c>
      <c r="K50" s="4">
        <v>342</v>
      </c>
      <c r="L50" s="4">
        <v>275</v>
      </c>
      <c r="M50" s="4">
        <v>1083</v>
      </c>
      <c r="N50" s="4">
        <v>1608</v>
      </c>
      <c r="O50" s="5">
        <f t="shared" si="0"/>
        <v>7.9630181926632862E-2</v>
      </c>
      <c r="P50" s="2" t="s">
        <v>22</v>
      </c>
    </row>
    <row r="51" spans="1:16" x14ac:dyDescent="0.25">
      <c r="A51" s="6" t="s">
        <v>164</v>
      </c>
      <c r="B51" s="6" t="s">
        <v>165</v>
      </c>
      <c r="C51" s="6" t="s">
        <v>32</v>
      </c>
      <c r="D51" s="7" t="s">
        <v>121</v>
      </c>
      <c r="E51" s="7" t="s">
        <v>34</v>
      </c>
      <c r="F51" s="6" t="s">
        <v>51</v>
      </c>
      <c r="G51" s="8">
        <v>546123</v>
      </c>
      <c r="H51" s="8">
        <v>279163</v>
      </c>
      <c r="I51" s="8">
        <v>222562</v>
      </c>
      <c r="J51" s="8">
        <v>6447</v>
      </c>
      <c r="K51" s="8">
        <v>451</v>
      </c>
      <c r="L51" s="8">
        <v>238</v>
      </c>
      <c r="M51" s="8">
        <v>18</v>
      </c>
      <c r="N51" s="8">
        <v>5064</v>
      </c>
      <c r="O51" s="9">
        <f t="shared" si="0"/>
        <v>3.2143852050215221E-2</v>
      </c>
      <c r="P51" s="6" t="s">
        <v>29</v>
      </c>
    </row>
    <row r="52" spans="1:16" x14ac:dyDescent="0.25">
      <c r="A52" s="2" t="s">
        <v>166</v>
      </c>
      <c r="B52" s="2" t="s">
        <v>167</v>
      </c>
      <c r="C52" s="2" t="s">
        <v>25</v>
      </c>
      <c r="D52" s="3" t="s">
        <v>64</v>
      </c>
      <c r="E52" s="3" t="s">
        <v>50</v>
      </c>
      <c r="F52" s="2" t="s">
        <v>54</v>
      </c>
      <c r="G52" s="4">
        <v>581577</v>
      </c>
      <c r="H52" s="4">
        <v>121014</v>
      </c>
      <c r="I52" s="4">
        <v>96994</v>
      </c>
      <c r="J52" s="4">
        <v>3273</v>
      </c>
      <c r="K52" s="4">
        <v>506</v>
      </c>
      <c r="L52" s="4">
        <v>277</v>
      </c>
      <c r="M52" s="4">
        <v>632</v>
      </c>
      <c r="N52" s="4">
        <v>2452</v>
      </c>
      <c r="O52" s="5">
        <f t="shared" si="0"/>
        <v>4.8332886570303317E-2</v>
      </c>
      <c r="P52" s="2" t="s">
        <v>22</v>
      </c>
    </row>
    <row r="53" spans="1:16" x14ac:dyDescent="0.25">
      <c r="A53" s="6" t="s">
        <v>168</v>
      </c>
      <c r="B53" s="6" t="s">
        <v>169</v>
      </c>
      <c r="C53" s="6" t="s">
        <v>32</v>
      </c>
      <c r="D53" s="7" t="s">
        <v>33</v>
      </c>
      <c r="E53" s="7" t="s">
        <v>20</v>
      </c>
      <c r="F53" s="6" t="s">
        <v>35</v>
      </c>
      <c r="G53" s="8">
        <v>202369</v>
      </c>
      <c r="H53" s="8">
        <v>74815</v>
      </c>
      <c r="I53" s="8">
        <v>66591</v>
      </c>
      <c r="J53" s="8">
        <v>2736</v>
      </c>
      <c r="K53" s="8">
        <v>406</v>
      </c>
      <c r="L53" s="8">
        <v>202</v>
      </c>
      <c r="M53" s="8">
        <v>50</v>
      </c>
      <c r="N53" s="8">
        <v>1513</v>
      </c>
      <c r="O53" s="9">
        <f t="shared" si="0"/>
        <v>5.0967848508056642E-2</v>
      </c>
      <c r="P53" s="6" t="s">
        <v>29</v>
      </c>
    </row>
    <row r="54" spans="1:16" x14ac:dyDescent="0.25">
      <c r="A54" s="2" t="s">
        <v>170</v>
      </c>
      <c r="B54" s="2" t="s">
        <v>171</v>
      </c>
      <c r="C54" s="2" t="s">
        <v>43</v>
      </c>
      <c r="D54" s="3" t="s">
        <v>172</v>
      </c>
      <c r="E54" s="3" t="s">
        <v>45</v>
      </c>
      <c r="F54" s="2" t="s">
        <v>46</v>
      </c>
      <c r="G54" s="4">
        <v>158313</v>
      </c>
      <c r="H54" s="4">
        <v>56371</v>
      </c>
      <c r="I54" s="4">
        <v>46304</v>
      </c>
      <c r="J54" s="4">
        <v>2965</v>
      </c>
      <c r="K54" s="4">
        <v>291</v>
      </c>
      <c r="L54" s="4">
        <v>183</v>
      </c>
      <c r="M54" s="4">
        <v>12</v>
      </c>
      <c r="N54" s="4">
        <v>1940</v>
      </c>
      <c r="O54" s="5">
        <f t="shared" si="0"/>
        <v>7.4529198341395986E-2</v>
      </c>
      <c r="P54" s="2" t="s">
        <v>22</v>
      </c>
    </row>
    <row r="55" spans="1:16" x14ac:dyDescent="0.25">
      <c r="A55" s="6" t="s">
        <v>173</v>
      </c>
      <c r="B55" s="6" t="s">
        <v>174</v>
      </c>
      <c r="C55" s="6" t="s">
        <v>32</v>
      </c>
      <c r="D55" s="7" t="s">
        <v>175</v>
      </c>
      <c r="E55" s="7" t="s">
        <v>50</v>
      </c>
      <c r="F55" s="6" t="s">
        <v>35</v>
      </c>
      <c r="G55" s="8">
        <v>741985</v>
      </c>
      <c r="H55" s="8">
        <v>220593</v>
      </c>
      <c r="I55" s="8">
        <v>192870</v>
      </c>
      <c r="J55" s="8">
        <v>13041</v>
      </c>
      <c r="K55" s="8">
        <v>688</v>
      </c>
      <c r="L55" s="8">
        <v>1896</v>
      </c>
      <c r="M55" s="8">
        <v>8</v>
      </c>
      <c r="N55" s="8">
        <v>4427</v>
      </c>
      <c r="O55" s="9">
        <f t="shared" si="0"/>
        <v>8.1054596360242648E-2</v>
      </c>
      <c r="P55" s="6" t="s">
        <v>22</v>
      </c>
    </row>
    <row r="56" spans="1:16" x14ac:dyDescent="0.25">
      <c r="A56" s="2" t="s">
        <v>176</v>
      </c>
      <c r="B56" s="2" t="s">
        <v>177</v>
      </c>
      <c r="C56" s="2" t="s">
        <v>32</v>
      </c>
      <c r="D56" s="3" t="s">
        <v>175</v>
      </c>
      <c r="E56" s="3" t="s">
        <v>27</v>
      </c>
      <c r="F56" s="2" t="s">
        <v>35</v>
      </c>
      <c r="G56" s="4">
        <v>18593</v>
      </c>
      <c r="H56" s="4">
        <v>5832</v>
      </c>
      <c r="I56" s="4">
        <v>5326</v>
      </c>
      <c r="J56" s="4">
        <v>142</v>
      </c>
      <c r="K56" s="4">
        <v>20</v>
      </c>
      <c r="L56" s="4">
        <v>7</v>
      </c>
      <c r="M56" s="4">
        <v>39</v>
      </c>
      <c r="N56" s="4">
        <v>150</v>
      </c>
      <c r="O56" s="5">
        <f t="shared" si="0"/>
        <v>3.9053698835899361E-2</v>
      </c>
      <c r="P56" s="2" t="s">
        <v>29</v>
      </c>
    </row>
    <row r="57" spans="1:16" x14ac:dyDescent="0.25">
      <c r="A57" s="6" t="s">
        <v>178</v>
      </c>
      <c r="B57" s="6" t="s">
        <v>179</v>
      </c>
      <c r="C57" s="6" t="s">
        <v>43</v>
      </c>
      <c r="D57" s="7" t="s">
        <v>69</v>
      </c>
      <c r="E57" s="7" t="s">
        <v>50</v>
      </c>
      <c r="F57" s="6" t="s">
        <v>107</v>
      </c>
      <c r="G57" s="8">
        <v>756129</v>
      </c>
      <c r="H57" s="8">
        <v>270792</v>
      </c>
      <c r="I57" s="8">
        <v>191693</v>
      </c>
      <c r="J57" s="8">
        <v>6527</v>
      </c>
      <c r="K57" s="8">
        <v>813</v>
      </c>
      <c r="L57" s="8">
        <v>911</v>
      </c>
      <c r="M57" s="8">
        <v>14</v>
      </c>
      <c r="N57" s="8">
        <v>7420</v>
      </c>
      <c r="O57" s="9">
        <f t="shared" si="0"/>
        <v>4.3115815392320012E-2</v>
      </c>
      <c r="P57" s="6" t="s">
        <v>22</v>
      </c>
    </row>
    <row r="58" spans="1:16" x14ac:dyDescent="0.25">
      <c r="A58" s="2" t="s">
        <v>180</v>
      </c>
      <c r="B58" s="2" t="s">
        <v>181</v>
      </c>
      <c r="C58" s="2" t="s">
        <v>76</v>
      </c>
      <c r="D58" s="3" t="s">
        <v>182</v>
      </c>
      <c r="E58" s="3" t="s">
        <v>20</v>
      </c>
      <c r="F58" s="2" t="s">
        <v>78</v>
      </c>
      <c r="G58" s="4">
        <v>32853</v>
      </c>
      <c r="H58" s="4">
        <v>17536</v>
      </c>
      <c r="I58" s="4">
        <v>13658</v>
      </c>
      <c r="J58" s="4">
        <v>803</v>
      </c>
      <c r="K58" s="4">
        <v>53</v>
      </c>
      <c r="L58" s="4">
        <v>59</v>
      </c>
      <c r="M58" s="4">
        <v>149</v>
      </c>
      <c r="N58" s="4">
        <v>182</v>
      </c>
      <c r="O58" s="5">
        <f t="shared" si="0"/>
        <v>7.7903060477375899E-2</v>
      </c>
      <c r="P58" s="2" t="s">
        <v>22</v>
      </c>
    </row>
    <row r="59" spans="1:16" x14ac:dyDescent="0.25">
      <c r="A59" s="6" t="s">
        <v>183</v>
      </c>
      <c r="B59" s="6" t="s">
        <v>184</v>
      </c>
      <c r="C59" s="6" t="s">
        <v>25</v>
      </c>
      <c r="D59" s="7" t="s">
        <v>26</v>
      </c>
      <c r="E59" s="7" t="s">
        <v>27</v>
      </c>
      <c r="F59" s="6" t="s">
        <v>146</v>
      </c>
      <c r="G59" s="8">
        <v>245967</v>
      </c>
      <c r="H59" s="8">
        <v>55285</v>
      </c>
      <c r="I59" s="8">
        <v>46810</v>
      </c>
      <c r="J59" s="8">
        <v>4087</v>
      </c>
      <c r="K59" s="8">
        <v>407</v>
      </c>
      <c r="L59" s="8">
        <v>234</v>
      </c>
      <c r="M59" s="8">
        <v>651</v>
      </c>
      <c r="N59" s="8">
        <v>398</v>
      </c>
      <c r="O59" s="9">
        <f t="shared" si="0"/>
        <v>0.11491134372997223</v>
      </c>
      <c r="P59" s="6" t="s">
        <v>66</v>
      </c>
    </row>
    <row r="60" spans="1:16" x14ac:dyDescent="0.25">
      <c r="A60" s="2" t="s">
        <v>185</v>
      </c>
      <c r="B60" s="2" t="s">
        <v>186</v>
      </c>
      <c r="C60" s="2" t="s">
        <v>18</v>
      </c>
      <c r="D60" s="3" t="s">
        <v>57</v>
      </c>
      <c r="E60" s="3" t="s">
        <v>50</v>
      </c>
      <c r="F60" s="2" t="s">
        <v>21</v>
      </c>
      <c r="G60" s="4">
        <v>405880</v>
      </c>
      <c r="H60" s="4">
        <v>57144</v>
      </c>
      <c r="I60" s="4">
        <v>47190</v>
      </c>
      <c r="J60" s="4">
        <v>3113</v>
      </c>
      <c r="K60" s="4">
        <v>556</v>
      </c>
      <c r="L60" s="4">
        <v>181</v>
      </c>
      <c r="M60" s="4">
        <v>764</v>
      </c>
      <c r="N60" s="4">
        <v>1414</v>
      </c>
      <c r="O60" s="5">
        <f t="shared" si="0"/>
        <v>9.7774952320406866E-2</v>
      </c>
      <c r="P60" s="2" t="s">
        <v>22</v>
      </c>
    </row>
    <row r="61" spans="1:16" x14ac:dyDescent="0.25">
      <c r="A61" s="6" t="s">
        <v>187</v>
      </c>
      <c r="B61" s="6" t="s">
        <v>188</v>
      </c>
      <c r="C61" s="6" t="s">
        <v>76</v>
      </c>
      <c r="D61" s="7" t="s">
        <v>189</v>
      </c>
      <c r="E61" s="7" t="s">
        <v>45</v>
      </c>
      <c r="F61" s="6" t="s">
        <v>104</v>
      </c>
      <c r="G61" s="8">
        <v>302596</v>
      </c>
      <c r="H61" s="8">
        <v>63898</v>
      </c>
      <c r="I61" s="8">
        <v>49681</v>
      </c>
      <c r="J61" s="8">
        <v>3718</v>
      </c>
      <c r="K61" s="8">
        <v>457</v>
      </c>
      <c r="L61" s="8">
        <v>401</v>
      </c>
      <c r="M61" s="8">
        <v>721</v>
      </c>
      <c r="N61" s="8">
        <v>1583</v>
      </c>
      <c r="O61" s="9">
        <f t="shared" si="0"/>
        <v>0.10662023711277953</v>
      </c>
      <c r="P61" s="6" t="s">
        <v>29</v>
      </c>
    </row>
    <row r="62" spans="1:16" x14ac:dyDescent="0.25">
      <c r="A62" s="2" t="s">
        <v>190</v>
      </c>
      <c r="B62" s="2" t="s">
        <v>191</v>
      </c>
      <c r="C62" s="2" t="s">
        <v>76</v>
      </c>
      <c r="D62" s="3" t="s">
        <v>103</v>
      </c>
      <c r="E62" s="3" t="s">
        <v>39</v>
      </c>
      <c r="F62" s="2" t="s">
        <v>87</v>
      </c>
      <c r="G62" s="4">
        <v>610227</v>
      </c>
      <c r="H62" s="4">
        <v>94527</v>
      </c>
      <c r="I62" s="4">
        <v>72963</v>
      </c>
      <c r="J62" s="4">
        <v>4247</v>
      </c>
      <c r="K62" s="4">
        <v>255</v>
      </c>
      <c r="L62" s="4">
        <v>519</v>
      </c>
      <c r="M62" s="4">
        <v>956</v>
      </c>
      <c r="N62" s="4">
        <v>1510</v>
      </c>
      <c r="O62" s="5">
        <f t="shared" si="0"/>
        <v>8.1918232528815971E-2</v>
      </c>
      <c r="P62" s="2" t="s">
        <v>22</v>
      </c>
    </row>
    <row r="63" spans="1:16" x14ac:dyDescent="0.25">
      <c r="A63" s="6" t="s">
        <v>192</v>
      </c>
      <c r="B63" s="6" t="s">
        <v>193</v>
      </c>
      <c r="C63" s="6" t="s">
        <v>32</v>
      </c>
      <c r="D63" s="7" t="s">
        <v>38</v>
      </c>
      <c r="E63" s="7" t="s">
        <v>45</v>
      </c>
      <c r="F63" s="6" t="s">
        <v>40</v>
      </c>
      <c r="G63" s="8">
        <v>845798</v>
      </c>
      <c r="H63" s="8">
        <v>531879</v>
      </c>
      <c r="I63" s="8">
        <v>460561</v>
      </c>
      <c r="J63" s="8">
        <v>17837</v>
      </c>
      <c r="K63" s="8">
        <v>2344</v>
      </c>
      <c r="L63" s="8">
        <v>1920</v>
      </c>
      <c r="M63" s="8">
        <v>25</v>
      </c>
      <c r="N63" s="8">
        <v>18093</v>
      </c>
      <c r="O63" s="9">
        <f t="shared" si="0"/>
        <v>4.8041410366922083E-2</v>
      </c>
      <c r="P63" s="6" t="s">
        <v>29</v>
      </c>
    </row>
    <row r="64" spans="1:16" x14ac:dyDescent="0.25">
      <c r="A64" s="2" t="s">
        <v>194</v>
      </c>
      <c r="B64" s="2" t="s">
        <v>195</v>
      </c>
      <c r="C64" s="2" t="s">
        <v>76</v>
      </c>
      <c r="D64" s="3" t="s">
        <v>103</v>
      </c>
      <c r="E64" s="3" t="s">
        <v>27</v>
      </c>
      <c r="F64" s="2" t="s">
        <v>87</v>
      </c>
      <c r="G64" s="4">
        <v>479377</v>
      </c>
      <c r="H64" s="4">
        <v>243013</v>
      </c>
      <c r="I64" s="4">
        <v>201361</v>
      </c>
      <c r="J64" s="4">
        <v>16851</v>
      </c>
      <c r="K64" s="4">
        <v>2882</v>
      </c>
      <c r="L64" s="4">
        <v>574</v>
      </c>
      <c r="M64" s="4">
        <v>1630</v>
      </c>
      <c r="N64" s="4">
        <v>1397</v>
      </c>
      <c r="O64" s="5">
        <f t="shared" si="0"/>
        <v>0.10894363853973708</v>
      </c>
      <c r="P64" s="2" t="s">
        <v>66</v>
      </c>
    </row>
    <row r="65" spans="1:16" x14ac:dyDescent="0.25">
      <c r="A65" s="6" t="s">
        <v>196</v>
      </c>
      <c r="B65" s="6" t="s">
        <v>197</v>
      </c>
      <c r="C65" s="6" t="s">
        <v>25</v>
      </c>
      <c r="D65" s="7" t="s">
        <v>145</v>
      </c>
      <c r="E65" s="7" t="s">
        <v>45</v>
      </c>
      <c r="F65" s="6" t="s">
        <v>65</v>
      </c>
      <c r="G65" s="8">
        <v>737632</v>
      </c>
      <c r="H65" s="8">
        <v>230678</v>
      </c>
      <c r="I65" s="8">
        <v>163775</v>
      </c>
      <c r="J65" s="8">
        <v>5128</v>
      </c>
      <c r="K65" s="8">
        <v>919</v>
      </c>
      <c r="L65" s="8">
        <v>179</v>
      </c>
      <c r="M65" s="8">
        <v>497</v>
      </c>
      <c r="N65" s="8">
        <v>4873</v>
      </c>
      <c r="O65" s="9">
        <f t="shared" si="0"/>
        <v>4.10502213402534E-2</v>
      </c>
      <c r="P65" s="6" t="s">
        <v>22</v>
      </c>
    </row>
    <row r="66" spans="1:16" x14ac:dyDescent="0.25">
      <c r="A66" s="2" t="s">
        <v>198</v>
      </c>
      <c r="B66" s="2" t="s">
        <v>199</v>
      </c>
      <c r="C66" s="2" t="s">
        <v>43</v>
      </c>
      <c r="D66" s="3" t="s">
        <v>69</v>
      </c>
      <c r="E66" s="3" t="s">
        <v>27</v>
      </c>
      <c r="F66" s="2" t="s">
        <v>107</v>
      </c>
      <c r="G66" s="4">
        <v>764394</v>
      </c>
      <c r="H66" s="4">
        <v>241918</v>
      </c>
      <c r="I66" s="4">
        <v>213713</v>
      </c>
      <c r="J66" s="4">
        <v>13774</v>
      </c>
      <c r="K66" s="4">
        <v>2353</v>
      </c>
      <c r="L66" s="4">
        <v>776</v>
      </c>
      <c r="M66" s="4">
        <v>44</v>
      </c>
      <c r="N66" s="4">
        <v>3898</v>
      </c>
      <c r="O66" s="5">
        <f t="shared" ref="O66:O129" si="1">IF(I66&gt;0, (J66+K66+L66+M66)/I66, 0)</f>
        <v>7.9297936952829259E-2</v>
      </c>
      <c r="P66" s="2" t="s">
        <v>22</v>
      </c>
    </row>
    <row r="67" spans="1:16" x14ac:dyDescent="0.25">
      <c r="A67" s="6" t="s">
        <v>200</v>
      </c>
      <c r="B67" s="6" t="s">
        <v>201</v>
      </c>
      <c r="C67" s="6" t="s">
        <v>18</v>
      </c>
      <c r="D67" s="7" t="s">
        <v>92</v>
      </c>
      <c r="E67" s="7" t="s">
        <v>45</v>
      </c>
      <c r="F67" s="6" t="s">
        <v>58</v>
      </c>
      <c r="G67" s="8">
        <v>65991</v>
      </c>
      <c r="H67" s="8">
        <v>12418</v>
      </c>
      <c r="I67" s="8">
        <v>11285</v>
      </c>
      <c r="J67" s="8">
        <v>862</v>
      </c>
      <c r="K67" s="8">
        <v>37</v>
      </c>
      <c r="L67" s="8">
        <v>41</v>
      </c>
      <c r="M67" s="8">
        <v>153</v>
      </c>
      <c r="N67" s="8">
        <v>423</v>
      </c>
      <c r="O67" s="9">
        <f t="shared" si="1"/>
        <v>9.6854231280460792E-2</v>
      </c>
      <c r="P67" s="6" t="s">
        <v>22</v>
      </c>
    </row>
    <row r="68" spans="1:16" x14ac:dyDescent="0.25">
      <c r="A68" s="2" t="s">
        <v>202</v>
      </c>
      <c r="B68" s="2" t="s">
        <v>203</v>
      </c>
      <c r="C68" s="2" t="s">
        <v>43</v>
      </c>
      <c r="D68" s="3" t="s">
        <v>44</v>
      </c>
      <c r="E68" s="3" t="s">
        <v>34</v>
      </c>
      <c r="F68" s="2" t="s">
        <v>107</v>
      </c>
      <c r="G68" s="4">
        <v>219720</v>
      </c>
      <c r="H68" s="4">
        <v>119404</v>
      </c>
      <c r="I68" s="4">
        <v>92213</v>
      </c>
      <c r="J68" s="4">
        <v>3445</v>
      </c>
      <c r="K68" s="4">
        <v>568</v>
      </c>
      <c r="L68" s="4">
        <v>70</v>
      </c>
      <c r="M68" s="4">
        <v>9</v>
      </c>
      <c r="N68" s="4">
        <v>4134</v>
      </c>
      <c r="O68" s="5">
        <f t="shared" si="1"/>
        <v>4.4375521889538354E-2</v>
      </c>
      <c r="P68" s="2" t="s">
        <v>22</v>
      </c>
    </row>
    <row r="69" spans="1:16" x14ac:dyDescent="0.25">
      <c r="A69" s="6" t="s">
        <v>204</v>
      </c>
      <c r="B69" s="6" t="s">
        <v>205</v>
      </c>
      <c r="C69" s="6" t="s">
        <v>76</v>
      </c>
      <c r="D69" s="7" t="s">
        <v>86</v>
      </c>
      <c r="E69" s="7" t="s">
        <v>34</v>
      </c>
      <c r="F69" s="6" t="s">
        <v>78</v>
      </c>
      <c r="G69" s="8">
        <v>830858</v>
      </c>
      <c r="H69" s="8">
        <v>345342</v>
      </c>
      <c r="I69" s="8">
        <v>254977</v>
      </c>
      <c r="J69" s="8">
        <v>7992</v>
      </c>
      <c r="K69" s="8">
        <v>1128</v>
      </c>
      <c r="L69" s="8">
        <v>706</v>
      </c>
      <c r="M69" s="8">
        <v>1591</v>
      </c>
      <c r="N69" s="8">
        <v>6660</v>
      </c>
      <c r="O69" s="9">
        <f t="shared" si="1"/>
        <v>4.4776587692223223E-2</v>
      </c>
      <c r="P69" s="6" t="s">
        <v>29</v>
      </c>
    </row>
    <row r="70" spans="1:16" x14ac:dyDescent="0.25">
      <c r="A70" s="2" t="s">
        <v>206</v>
      </c>
      <c r="B70" s="2" t="s">
        <v>207</v>
      </c>
      <c r="C70" s="2" t="s">
        <v>43</v>
      </c>
      <c r="D70" s="3" t="s">
        <v>44</v>
      </c>
      <c r="E70" s="3" t="s">
        <v>27</v>
      </c>
      <c r="F70" s="2" t="s">
        <v>70</v>
      </c>
      <c r="G70" s="4">
        <v>765069</v>
      </c>
      <c r="H70" s="4">
        <v>439286</v>
      </c>
      <c r="I70" s="4">
        <v>336650</v>
      </c>
      <c r="J70" s="4">
        <v>25742</v>
      </c>
      <c r="K70" s="4">
        <v>892</v>
      </c>
      <c r="L70" s="4">
        <v>3856</v>
      </c>
      <c r="M70" s="4">
        <v>25</v>
      </c>
      <c r="N70" s="4">
        <v>7814</v>
      </c>
      <c r="O70" s="5">
        <f t="shared" si="1"/>
        <v>9.0643101143620966E-2</v>
      </c>
      <c r="P70" s="2" t="s">
        <v>22</v>
      </c>
    </row>
    <row r="71" spans="1:16" x14ac:dyDescent="0.25">
      <c r="A71" s="6" t="s">
        <v>208</v>
      </c>
      <c r="B71" s="6" t="s">
        <v>209</v>
      </c>
      <c r="C71" s="6" t="s">
        <v>76</v>
      </c>
      <c r="D71" s="7" t="s">
        <v>103</v>
      </c>
      <c r="E71" s="7" t="s">
        <v>27</v>
      </c>
      <c r="F71" s="6" t="s">
        <v>155</v>
      </c>
      <c r="G71" s="8">
        <v>71372</v>
      </c>
      <c r="H71" s="8">
        <v>31108</v>
      </c>
      <c r="I71" s="8">
        <v>25528</v>
      </c>
      <c r="J71" s="8">
        <v>1229</v>
      </c>
      <c r="K71" s="8">
        <v>220</v>
      </c>
      <c r="L71" s="8">
        <v>109</v>
      </c>
      <c r="M71" s="8">
        <v>172</v>
      </c>
      <c r="N71" s="8">
        <v>720</v>
      </c>
      <c r="O71" s="9">
        <f t="shared" si="1"/>
        <v>6.7768724537762462E-2</v>
      </c>
      <c r="P71" s="6" t="s">
        <v>22</v>
      </c>
    </row>
    <row r="72" spans="1:16" x14ac:dyDescent="0.25">
      <c r="A72" s="2" t="s">
        <v>210</v>
      </c>
      <c r="B72" s="2" t="s">
        <v>211</v>
      </c>
      <c r="C72" s="2" t="s">
        <v>43</v>
      </c>
      <c r="D72" s="3" t="s">
        <v>44</v>
      </c>
      <c r="E72" s="3" t="s">
        <v>39</v>
      </c>
      <c r="F72" s="2" t="s">
        <v>46</v>
      </c>
      <c r="G72" s="4">
        <v>242092</v>
      </c>
      <c r="H72" s="4">
        <v>133544</v>
      </c>
      <c r="I72" s="4">
        <v>105702</v>
      </c>
      <c r="J72" s="4">
        <v>3432</v>
      </c>
      <c r="K72" s="4">
        <v>322</v>
      </c>
      <c r="L72" s="4">
        <v>365</v>
      </c>
      <c r="M72" s="4">
        <v>23</v>
      </c>
      <c r="N72" s="4">
        <v>4488</v>
      </c>
      <c r="O72" s="5">
        <f t="shared" si="1"/>
        <v>3.9185635087320959E-2</v>
      </c>
      <c r="P72" s="2" t="s">
        <v>29</v>
      </c>
    </row>
    <row r="73" spans="1:16" x14ac:dyDescent="0.25">
      <c r="A73" s="6" t="s">
        <v>212</v>
      </c>
      <c r="B73" s="6" t="s">
        <v>213</v>
      </c>
      <c r="C73" s="6" t="s">
        <v>76</v>
      </c>
      <c r="D73" s="7" t="s">
        <v>77</v>
      </c>
      <c r="E73" s="7" t="s">
        <v>39</v>
      </c>
      <c r="F73" s="6" t="s">
        <v>87</v>
      </c>
      <c r="G73" s="8">
        <v>783258</v>
      </c>
      <c r="H73" s="8">
        <v>425080</v>
      </c>
      <c r="I73" s="8">
        <v>303165</v>
      </c>
      <c r="J73" s="8">
        <v>32900</v>
      </c>
      <c r="K73" s="8">
        <v>3758</v>
      </c>
      <c r="L73" s="8">
        <v>3523</v>
      </c>
      <c r="M73" s="8">
        <v>4348</v>
      </c>
      <c r="N73" s="8">
        <v>13265</v>
      </c>
      <c r="O73" s="9">
        <f t="shared" si="1"/>
        <v>0.14688041165701846</v>
      </c>
      <c r="P73" s="6" t="s">
        <v>66</v>
      </c>
    </row>
    <row r="74" spans="1:16" x14ac:dyDescent="0.25">
      <c r="A74" s="2" t="s">
        <v>214</v>
      </c>
      <c r="B74" s="2" t="s">
        <v>215</v>
      </c>
      <c r="C74" s="2" t="s">
        <v>43</v>
      </c>
      <c r="D74" s="3" t="s">
        <v>110</v>
      </c>
      <c r="E74" s="3" t="s">
        <v>50</v>
      </c>
      <c r="F74" s="2" t="s">
        <v>70</v>
      </c>
      <c r="G74" s="4">
        <v>608491</v>
      </c>
      <c r="H74" s="4">
        <v>102345</v>
      </c>
      <c r="I74" s="4">
        <v>76690</v>
      </c>
      <c r="J74" s="4">
        <v>2711</v>
      </c>
      <c r="K74" s="4">
        <v>425</v>
      </c>
      <c r="L74" s="4">
        <v>183</v>
      </c>
      <c r="M74" s="4">
        <v>48</v>
      </c>
      <c r="N74" s="4">
        <v>1367</v>
      </c>
      <c r="O74" s="5">
        <f t="shared" si="1"/>
        <v>4.3904029208501762E-2</v>
      </c>
      <c r="P74" s="2" t="s">
        <v>22</v>
      </c>
    </row>
    <row r="75" spans="1:16" x14ac:dyDescent="0.25">
      <c r="A75" s="6" t="s">
        <v>216</v>
      </c>
      <c r="B75" s="6" t="s">
        <v>217</v>
      </c>
      <c r="C75" s="6" t="s">
        <v>43</v>
      </c>
      <c r="D75" s="7" t="s">
        <v>172</v>
      </c>
      <c r="E75" s="7" t="s">
        <v>45</v>
      </c>
      <c r="F75" s="6" t="s">
        <v>107</v>
      </c>
      <c r="G75" s="8">
        <v>586283</v>
      </c>
      <c r="H75" s="8">
        <v>3330602</v>
      </c>
      <c r="I75" s="8">
        <v>2839550</v>
      </c>
      <c r="J75" s="8">
        <v>72397</v>
      </c>
      <c r="K75" s="8">
        <v>5139</v>
      </c>
      <c r="L75" s="8">
        <v>8623</v>
      </c>
      <c r="M75" s="8">
        <v>21</v>
      </c>
      <c r="N75" s="8">
        <v>51726</v>
      </c>
      <c r="O75" s="9">
        <f t="shared" si="1"/>
        <v>3.0349879382296489E-2</v>
      </c>
      <c r="P75" s="6" t="s">
        <v>22</v>
      </c>
    </row>
    <row r="76" spans="1:16" x14ac:dyDescent="0.25">
      <c r="A76" s="2" t="s">
        <v>218</v>
      </c>
      <c r="B76" s="2" t="s">
        <v>219</v>
      </c>
      <c r="C76" s="2" t="s">
        <v>76</v>
      </c>
      <c r="D76" s="3" t="s">
        <v>86</v>
      </c>
      <c r="E76" s="3" t="s">
        <v>45</v>
      </c>
      <c r="F76" s="2" t="s">
        <v>87</v>
      </c>
      <c r="G76" s="4">
        <v>98714</v>
      </c>
      <c r="H76" s="4">
        <v>20001</v>
      </c>
      <c r="I76" s="4">
        <v>15996</v>
      </c>
      <c r="J76" s="4">
        <v>588</v>
      </c>
      <c r="K76" s="4">
        <v>45</v>
      </c>
      <c r="L76" s="4">
        <v>36</v>
      </c>
      <c r="M76" s="4">
        <v>140</v>
      </c>
      <c r="N76" s="4">
        <v>457</v>
      </c>
      <c r="O76" s="5">
        <f t="shared" si="1"/>
        <v>5.0575143785946484E-2</v>
      </c>
      <c r="P76" s="2" t="s">
        <v>66</v>
      </c>
    </row>
    <row r="77" spans="1:16" x14ac:dyDescent="0.25">
      <c r="A77" s="6" t="s">
        <v>220</v>
      </c>
      <c r="B77" s="6" t="s">
        <v>221</v>
      </c>
      <c r="C77" s="6" t="s">
        <v>76</v>
      </c>
      <c r="D77" s="7" t="s">
        <v>77</v>
      </c>
      <c r="E77" s="7" t="s">
        <v>50</v>
      </c>
      <c r="F77" s="6" t="s">
        <v>104</v>
      </c>
      <c r="G77" s="8">
        <v>696593</v>
      </c>
      <c r="H77" s="8">
        <v>296771</v>
      </c>
      <c r="I77" s="8">
        <v>225574</v>
      </c>
      <c r="J77" s="8">
        <v>19378</v>
      </c>
      <c r="K77" s="8">
        <v>912</v>
      </c>
      <c r="L77" s="8">
        <v>1470</v>
      </c>
      <c r="M77" s="8">
        <v>2066</v>
      </c>
      <c r="N77" s="8">
        <v>7524</v>
      </c>
      <c r="O77" s="9">
        <f t="shared" si="1"/>
        <v>0.10562387509198755</v>
      </c>
      <c r="P77" s="6" t="s">
        <v>22</v>
      </c>
    </row>
    <row r="78" spans="1:16" x14ac:dyDescent="0.25">
      <c r="A78" s="2" t="s">
        <v>222</v>
      </c>
      <c r="B78" s="2" t="s">
        <v>223</v>
      </c>
      <c r="C78" s="2" t="s">
        <v>32</v>
      </c>
      <c r="D78" s="3" t="s">
        <v>33</v>
      </c>
      <c r="E78" s="3" t="s">
        <v>34</v>
      </c>
      <c r="F78" s="2" t="s">
        <v>128</v>
      </c>
      <c r="G78" s="4">
        <v>216853</v>
      </c>
      <c r="H78" s="4">
        <v>43458</v>
      </c>
      <c r="I78" s="4">
        <v>37726</v>
      </c>
      <c r="J78" s="4">
        <v>1623</v>
      </c>
      <c r="K78" s="4">
        <v>77</v>
      </c>
      <c r="L78" s="4">
        <v>137</v>
      </c>
      <c r="M78" s="4">
        <v>27</v>
      </c>
      <c r="N78" s="4">
        <v>446</v>
      </c>
      <c r="O78" s="5">
        <f t="shared" si="1"/>
        <v>4.9408895721783384E-2</v>
      </c>
      <c r="P78" s="2" t="s">
        <v>22</v>
      </c>
    </row>
    <row r="79" spans="1:16" x14ac:dyDescent="0.25">
      <c r="A79" s="6" t="s">
        <v>224</v>
      </c>
      <c r="B79" s="6" t="s">
        <v>225</v>
      </c>
      <c r="C79" s="6" t="s">
        <v>18</v>
      </c>
      <c r="D79" s="7" t="s">
        <v>226</v>
      </c>
      <c r="E79" s="7" t="s">
        <v>39</v>
      </c>
      <c r="F79" s="6" t="s">
        <v>73</v>
      </c>
      <c r="G79" s="8">
        <v>46857</v>
      </c>
      <c r="H79" s="8">
        <v>16027</v>
      </c>
      <c r="I79" s="8">
        <v>14258</v>
      </c>
      <c r="J79" s="8">
        <v>874</v>
      </c>
      <c r="K79" s="8">
        <v>101</v>
      </c>
      <c r="L79" s="8">
        <v>98</v>
      </c>
      <c r="M79" s="8">
        <v>116</v>
      </c>
      <c r="N79" s="8">
        <v>135</v>
      </c>
      <c r="O79" s="9">
        <f t="shared" si="1"/>
        <v>8.3391780053303402E-2</v>
      </c>
      <c r="P79" s="6" t="s">
        <v>22</v>
      </c>
    </row>
    <row r="80" spans="1:16" x14ac:dyDescent="0.25">
      <c r="A80" s="2" t="s">
        <v>227</v>
      </c>
      <c r="B80" s="2" t="s">
        <v>228</v>
      </c>
      <c r="C80" s="2" t="s">
        <v>32</v>
      </c>
      <c r="D80" s="3" t="s">
        <v>38</v>
      </c>
      <c r="E80" s="3" t="s">
        <v>34</v>
      </c>
      <c r="F80" s="2" t="s">
        <v>35</v>
      </c>
      <c r="G80" s="4">
        <v>113505</v>
      </c>
      <c r="H80" s="4">
        <v>47179</v>
      </c>
      <c r="I80" s="4">
        <v>33841</v>
      </c>
      <c r="J80" s="4">
        <v>3407</v>
      </c>
      <c r="K80" s="4">
        <v>483</v>
      </c>
      <c r="L80" s="4">
        <v>166</v>
      </c>
      <c r="M80" s="4">
        <v>49</v>
      </c>
      <c r="N80" s="4">
        <v>473</v>
      </c>
      <c r="O80" s="5">
        <f t="shared" si="1"/>
        <v>0.12130256198102893</v>
      </c>
      <c r="P80" s="2" t="s">
        <v>22</v>
      </c>
    </row>
    <row r="81" spans="1:16" x14ac:dyDescent="0.25">
      <c r="A81" s="6" t="s">
        <v>229</v>
      </c>
      <c r="B81" s="6" t="s">
        <v>230</v>
      </c>
      <c r="C81" s="6" t="s">
        <v>18</v>
      </c>
      <c r="D81" s="7" t="s">
        <v>231</v>
      </c>
      <c r="E81" s="7" t="s">
        <v>45</v>
      </c>
      <c r="F81" s="6" t="s">
        <v>73</v>
      </c>
      <c r="G81" s="8">
        <v>157364</v>
      </c>
      <c r="H81" s="8">
        <v>25724</v>
      </c>
      <c r="I81" s="8">
        <v>18988</v>
      </c>
      <c r="J81" s="8">
        <v>750</v>
      </c>
      <c r="K81" s="8">
        <v>107</v>
      </c>
      <c r="L81" s="8">
        <v>22</v>
      </c>
      <c r="M81" s="8">
        <v>180</v>
      </c>
      <c r="N81" s="8">
        <v>613</v>
      </c>
      <c r="O81" s="9">
        <f t="shared" si="1"/>
        <v>5.5772066568358966E-2</v>
      </c>
      <c r="P81" s="6" t="s">
        <v>22</v>
      </c>
    </row>
    <row r="82" spans="1:16" x14ac:dyDescent="0.25">
      <c r="A82" s="2" t="s">
        <v>232</v>
      </c>
      <c r="B82" s="2" t="s">
        <v>233</v>
      </c>
      <c r="C82" s="2" t="s">
        <v>43</v>
      </c>
      <c r="D82" s="3" t="s">
        <v>172</v>
      </c>
      <c r="E82" s="3" t="s">
        <v>50</v>
      </c>
      <c r="F82" s="2" t="s">
        <v>107</v>
      </c>
      <c r="G82" s="4">
        <v>333995</v>
      </c>
      <c r="H82" s="4">
        <v>39719</v>
      </c>
      <c r="I82" s="4">
        <v>33320</v>
      </c>
      <c r="J82" s="4">
        <v>2692</v>
      </c>
      <c r="K82" s="4">
        <v>319</v>
      </c>
      <c r="L82" s="4">
        <v>177</v>
      </c>
      <c r="M82" s="4">
        <v>4</v>
      </c>
      <c r="N82" s="4">
        <v>568</v>
      </c>
      <c r="O82" s="5">
        <f t="shared" si="1"/>
        <v>9.5798319327731099E-2</v>
      </c>
      <c r="P82" s="2" t="s">
        <v>22</v>
      </c>
    </row>
    <row r="83" spans="1:16" x14ac:dyDescent="0.25">
      <c r="A83" s="6" t="s">
        <v>234</v>
      </c>
      <c r="B83" s="6" t="s">
        <v>235</v>
      </c>
      <c r="C83" s="6" t="s">
        <v>76</v>
      </c>
      <c r="D83" s="7" t="s">
        <v>77</v>
      </c>
      <c r="E83" s="7" t="s">
        <v>27</v>
      </c>
      <c r="F83" s="6" t="s">
        <v>104</v>
      </c>
      <c r="G83" s="8">
        <v>487688</v>
      </c>
      <c r="H83" s="8">
        <v>304274</v>
      </c>
      <c r="I83" s="8">
        <v>272962</v>
      </c>
      <c r="J83" s="8">
        <v>14296</v>
      </c>
      <c r="K83" s="8">
        <v>2165</v>
      </c>
      <c r="L83" s="8">
        <v>1497</v>
      </c>
      <c r="M83" s="8">
        <v>1634</v>
      </c>
      <c r="N83" s="8">
        <v>5863</v>
      </c>
      <c r="O83" s="9">
        <f t="shared" si="1"/>
        <v>7.1775558502648718E-2</v>
      </c>
      <c r="P83" s="6" t="s">
        <v>22</v>
      </c>
    </row>
    <row r="84" spans="1:16" x14ac:dyDescent="0.25">
      <c r="A84" s="2" t="s">
        <v>236</v>
      </c>
      <c r="B84" s="2" t="s">
        <v>237</v>
      </c>
      <c r="C84" s="2" t="s">
        <v>18</v>
      </c>
      <c r="D84" s="3" t="s">
        <v>226</v>
      </c>
      <c r="E84" s="3" t="s">
        <v>27</v>
      </c>
      <c r="F84" s="2" t="s">
        <v>73</v>
      </c>
      <c r="G84" s="4">
        <v>183441</v>
      </c>
      <c r="H84" s="4">
        <v>859292</v>
      </c>
      <c r="I84" s="4">
        <v>700576</v>
      </c>
      <c r="J84" s="4">
        <v>48625</v>
      </c>
      <c r="K84" s="4">
        <v>4112</v>
      </c>
      <c r="L84" s="4">
        <v>6775</v>
      </c>
      <c r="M84" s="4">
        <v>6198</v>
      </c>
      <c r="N84" s="4">
        <v>24261</v>
      </c>
      <c r="O84" s="5">
        <f t="shared" si="1"/>
        <v>9.3794249303430319E-2</v>
      </c>
      <c r="P84" s="2" t="s">
        <v>29</v>
      </c>
    </row>
    <row r="85" spans="1:16" x14ac:dyDescent="0.25">
      <c r="A85" s="6" t="s">
        <v>238</v>
      </c>
      <c r="B85" s="6" t="s">
        <v>239</v>
      </c>
      <c r="C85" s="6" t="s">
        <v>76</v>
      </c>
      <c r="D85" s="7" t="s">
        <v>103</v>
      </c>
      <c r="E85" s="7" t="s">
        <v>34</v>
      </c>
      <c r="F85" s="6" t="s">
        <v>104</v>
      </c>
      <c r="G85" s="8">
        <v>300449</v>
      </c>
      <c r="H85" s="8">
        <v>169871</v>
      </c>
      <c r="I85" s="8">
        <v>151545</v>
      </c>
      <c r="J85" s="8">
        <v>6795</v>
      </c>
      <c r="K85" s="8">
        <v>797</v>
      </c>
      <c r="L85" s="8">
        <v>260</v>
      </c>
      <c r="M85" s="8">
        <v>815</v>
      </c>
      <c r="N85" s="8">
        <v>5780</v>
      </c>
      <c r="O85" s="9">
        <f t="shared" si="1"/>
        <v>5.7190933386122932E-2</v>
      </c>
      <c r="P85" s="6" t="s">
        <v>29</v>
      </c>
    </row>
    <row r="86" spans="1:16" x14ac:dyDescent="0.25">
      <c r="A86" s="2" t="s">
        <v>240</v>
      </c>
      <c r="B86" s="2" t="s">
        <v>241</v>
      </c>
      <c r="C86" s="2" t="s">
        <v>76</v>
      </c>
      <c r="D86" s="3" t="s">
        <v>103</v>
      </c>
      <c r="E86" s="3" t="s">
        <v>27</v>
      </c>
      <c r="F86" s="2" t="s">
        <v>104</v>
      </c>
      <c r="G86" s="4">
        <v>677251</v>
      </c>
      <c r="H86" s="4">
        <v>368096</v>
      </c>
      <c r="I86" s="4">
        <v>314583</v>
      </c>
      <c r="J86" s="4">
        <v>28279</v>
      </c>
      <c r="K86" s="4">
        <v>5078</v>
      </c>
      <c r="L86" s="4">
        <v>3919</v>
      </c>
      <c r="M86" s="4">
        <v>1942</v>
      </c>
      <c r="N86" s="4">
        <v>9244</v>
      </c>
      <c r="O86" s="5">
        <f t="shared" si="1"/>
        <v>0.12466662216330825</v>
      </c>
      <c r="P86" s="2" t="s">
        <v>22</v>
      </c>
    </row>
    <row r="87" spans="1:16" x14ac:dyDescent="0.25">
      <c r="A87" s="6" t="s">
        <v>242</v>
      </c>
      <c r="B87" s="6" t="s">
        <v>243</v>
      </c>
      <c r="C87" s="6" t="s">
        <v>25</v>
      </c>
      <c r="D87" s="7" t="s">
        <v>244</v>
      </c>
      <c r="E87" s="7" t="s">
        <v>39</v>
      </c>
      <c r="F87" s="6" t="s">
        <v>146</v>
      </c>
      <c r="G87" s="8">
        <v>240047</v>
      </c>
      <c r="H87" s="8">
        <v>40404</v>
      </c>
      <c r="I87" s="8">
        <v>35788</v>
      </c>
      <c r="J87" s="8">
        <v>1053</v>
      </c>
      <c r="K87" s="8">
        <v>153</v>
      </c>
      <c r="L87" s="8">
        <v>135</v>
      </c>
      <c r="M87" s="8">
        <v>238</v>
      </c>
      <c r="N87" s="8">
        <v>247</v>
      </c>
      <c r="O87" s="9">
        <f t="shared" si="1"/>
        <v>4.4120934391416115E-2</v>
      </c>
      <c r="P87" s="6" t="s">
        <v>22</v>
      </c>
    </row>
    <row r="88" spans="1:16" x14ac:dyDescent="0.25">
      <c r="A88" s="2" t="s">
        <v>245</v>
      </c>
      <c r="B88" s="2" t="s">
        <v>246</v>
      </c>
      <c r="C88" s="2" t="s">
        <v>32</v>
      </c>
      <c r="D88" s="3" t="s">
        <v>49</v>
      </c>
      <c r="E88" s="3" t="s">
        <v>20</v>
      </c>
      <c r="F88" s="2" t="s">
        <v>51</v>
      </c>
      <c r="G88" s="4">
        <v>729001</v>
      </c>
      <c r="H88" s="4">
        <v>394502</v>
      </c>
      <c r="I88" s="4">
        <v>338743</v>
      </c>
      <c r="J88" s="4">
        <v>8924</v>
      </c>
      <c r="K88" s="4">
        <v>755</v>
      </c>
      <c r="L88" s="4">
        <v>1013</v>
      </c>
      <c r="M88" s="4">
        <v>28</v>
      </c>
      <c r="N88" s="4">
        <v>9198</v>
      </c>
      <c r="O88" s="5">
        <f t="shared" si="1"/>
        <v>3.1646410405528673E-2</v>
      </c>
      <c r="P88" s="2" t="s">
        <v>29</v>
      </c>
    </row>
    <row r="89" spans="1:16" x14ac:dyDescent="0.25">
      <c r="A89" s="6" t="s">
        <v>247</v>
      </c>
      <c r="B89" s="6" t="s">
        <v>248</v>
      </c>
      <c r="C89" s="6" t="s">
        <v>25</v>
      </c>
      <c r="D89" s="7" t="s">
        <v>244</v>
      </c>
      <c r="E89" s="7" t="s">
        <v>39</v>
      </c>
      <c r="F89" s="6" t="s">
        <v>146</v>
      </c>
      <c r="G89" s="8">
        <v>388209</v>
      </c>
      <c r="H89" s="8">
        <v>157278</v>
      </c>
      <c r="I89" s="8">
        <v>126069</v>
      </c>
      <c r="J89" s="8">
        <v>5804</v>
      </c>
      <c r="K89" s="8">
        <v>506</v>
      </c>
      <c r="L89" s="8">
        <v>514</v>
      </c>
      <c r="M89" s="8">
        <v>1411</v>
      </c>
      <c r="N89" s="8">
        <v>4640</v>
      </c>
      <c r="O89" s="9">
        <f t="shared" si="1"/>
        <v>6.5321371629821767E-2</v>
      </c>
      <c r="P89" s="6" t="s">
        <v>29</v>
      </c>
    </row>
    <row r="90" spans="1:16" x14ac:dyDescent="0.25">
      <c r="A90" s="2" t="s">
        <v>249</v>
      </c>
      <c r="B90" s="2" t="s">
        <v>250</v>
      </c>
      <c r="C90" s="2" t="s">
        <v>32</v>
      </c>
      <c r="D90" s="3" t="s">
        <v>38</v>
      </c>
      <c r="E90" s="3" t="s">
        <v>27</v>
      </c>
      <c r="F90" s="2" t="s">
        <v>128</v>
      </c>
      <c r="G90" s="4">
        <v>748457</v>
      </c>
      <c r="H90" s="4">
        <v>423001</v>
      </c>
      <c r="I90" s="4">
        <v>303906</v>
      </c>
      <c r="J90" s="4">
        <v>12528</v>
      </c>
      <c r="K90" s="4">
        <v>1220</v>
      </c>
      <c r="L90" s="4">
        <v>1086</v>
      </c>
      <c r="M90" s="4">
        <v>27</v>
      </c>
      <c r="N90" s="4">
        <v>3278</v>
      </c>
      <c r="O90" s="5">
        <f t="shared" si="1"/>
        <v>4.8899988812330125E-2</v>
      </c>
      <c r="P90" s="2" t="s">
        <v>66</v>
      </c>
    </row>
    <row r="91" spans="1:16" x14ac:dyDescent="0.25">
      <c r="A91" s="6" t="s">
        <v>251</v>
      </c>
      <c r="B91" s="6" t="s">
        <v>252</v>
      </c>
      <c r="C91" s="6" t="s">
        <v>76</v>
      </c>
      <c r="D91" s="7" t="s">
        <v>182</v>
      </c>
      <c r="E91" s="7" t="s">
        <v>34</v>
      </c>
      <c r="F91" s="6" t="s">
        <v>104</v>
      </c>
      <c r="G91" s="8">
        <v>528892</v>
      </c>
      <c r="H91" s="8">
        <v>158728</v>
      </c>
      <c r="I91" s="8">
        <v>124201</v>
      </c>
      <c r="J91" s="8">
        <v>3443</v>
      </c>
      <c r="K91" s="8">
        <v>584</v>
      </c>
      <c r="L91" s="8">
        <v>444</v>
      </c>
      <c r="M91" s="8">
        <v>619</v>
      </c>
      <c r="N91" s="8">
        <v>4562</v>
      </c>
      <c r="O91" s="9">
        <f t="shared" si="1"/>
        <v>4.0981956667015561E-2</v>
      </c>
      <c r="P91" s="6" t="s">
        <v>22</v>
      </c>
    </row>
    <row r="92" spans="1:16" x14ac:dyDescent="0.25">
      <c r="A92" s="2" t="s">
        <v>253</v>
      </c>
      <c r="B92" s="2" t="s">
        <v>254</v>
      </c>
      <c r="C92" s="2" t="s">
        <v>25</v>
      </c>
      <c r="D92" s="3" t="s">
        <v>26</v>
      </c>
      <c r="E92" s="3" t="s">
        <v>39</v>
      </c>
      <c r="F92" s="2" t="s">
        <v>54</v>
      </c>
      <c r="G92" s="4">
        <v>85574</v>
      </c>
      <c r="H92" s="4">
        <v>211405</v>
      </c>
      <c r="I92" s="4">
        <v>173507</v>
      </c>
      <c r="J92" s="4">
        <v>13452</v>
      </c>
      <c r="K92" s="4">
        <v>1468</v>
      </c>
      <c r="L92" s="4">
        <v>463</v>
      </c>
      <c r="M92" s="4">
        <v>1447</v>
      </c>
      <c r="N92" s="4">
        <v>2966</v>
      </c>
      <c r="O92" s="5">
        <f t="shared" si="1"/>
        <v>9.6998968341334937E-2</v>
      </c>
      <c r="P92" s="2" t="s">
        <v>22</v>
      </c>
    </row>
    <row r="93" spans="1:16" x14ac:dyDescent="0.25">
      <c r="A93" s="6" t="s">
        <v>255</v>
      </c>
      <c r="B93" s="6" t="s">
        <v>256</v>
      </c>
      <c r="C93" s="6" t="s">
        <v>32</v>
      </c>
      <c r="D93" s="7" t="s">
        <v>175</v>
      </c>
      <c r="E93" s="7" t="s">
        <v>34</v>
      </c>
      <c r="F93" s="6" t="s">
        <v>35</v>
      </c>
      <c r="G93" s="8">
        <v>628226</v>
      </c>
      <c r="H93" s="8">
        <v>276554</v>
      </c>
      <c r="I93" s="8">
        <v>208307</v>
      </c>
      <c r="J93" s="8">
        <v>7913</v>
      </c>
      <c r="K93" s="8">
        <v>746</v>
      </c>
      <c r="L93" s="8">
        <v>790</v>
      </c>
      <c r="M93" s="8">
        <v>15</v>
      </c>
      <c r="N93" s="8">
        <v>6117</v>
      </c>
      <c r="O93" s="9">
        <f t="shared" si="1"/>
        <v>4.5432942723960305E-2</v>
      </c>
      <c r="P93" s="6" t="s">
        <v>22</v>
      </c>
    </row>
    <row r="94" spans="1:16" x14ac:dyDescent="0.25">
      <c r="A94" s="2" t="s">
        <v>257</v>
      </c>
      <c r="B94" s="2" t="s">
        <v>258</v>
      </c>
      <c r="C94" s="2" t="s">
        <v>76</v>
      </c>
      <c r="D94" s="3" t="s">
        <v>189</v>
      </c>
      <c r="E94" s="3" t="s">
        <v>27</v>
      </c>
      <c r="F94" s="2" t="s">
        <v>87</v>
      </c>
      <c r="G94" s="4">
        <v>411920</v>
      </c>
      <c r="H94" s="4">
        <v>43175</v>
      </c>
      <c r="I94" s="4">
        <v>39540</v>
      </c>
      <c r="J94" s="4">
        <v>1520</v>
      </c>
      <c r="K94" s="4">
        <v>49</v>
      </c>
      <c r="L94" s="4">
        <v>186</v>
      </c>
      <c r="M94" s="4">
        <v>180</v>
      </c>
      <c r="N94" s="4">
        <v>1165</v>
      </c>
      <c r="O94" s="5">
        <f t="shared" si="1"/>
        <v>4.8937784522003036E-2</v>
      </c>
      <c r="P94" s="2" t="s">
        <v>29</v>
      </c>
    </row>
    <row r="95" spans="1:16" x14ac:dyDescent="0.25">
      <c r="A95" s="6" t="s">
        <v>259</v>
      </c>
      <c r="B95" s="6" t="s">
        <v>260</v>
      </c>
      <c r="C95" s="6" t="s">
        <v>18</v>
      </c>
      <c r="D95" s="7" t="s">
        <v>19</v>
      </c>
      <c r="E95" s="7" t="s">
        <v>34</v>
      </c>
      <c r="F95" s="6" t="s">
        <v>58</v>
      </c>
      <c r="G95" s="8">
        <v>575036</v>
      </c>
      <c r="H95" s="8">
        <v>256692</v>
      </c>
      <c r="I95" s="8">
        <v>223684</v>
      </c>
      <c r="J95" s="8">
        <v>12289</v>
      </c>
      <c r="K95" s="8">
        <v>1650</v>
      </c>
      <c r="L95" s="8">
        <v>1255</v>
      </c>
      <c r="M95" s="8">
        <v>2608</v>
      </c>
      <c r="N95" s="8">
        <v>1769</v>
      </c>
      <c r="O95" s="9">
        <f t="shared" si="1"/>
        <v>7.9585486668693334E-2</v>
      </c>
      <c r="P95" s="6" t="s">
        <v>29</v>
      </c>
    </row>
    <row r="96" spans="1:16" x14ac:dyDescent="0.25">
      <c r="A96" s="2" t="s">
        <v>261</v>
      </c>
      <c r="B96" s="2" t="s">
        <v>262</v>
      </c>
      <c r="C96" s="2" t="s">
        <v>76</v>
      </c>
      <c r="D96" s="3" t="s">
        <v>86</v>
      </c>
      <c r="E96" s="3" t="s">
        <v>34</v>
      </c>
      <c r="F96" s="2" t="s">
        <v>78</v>
      </c>
      <c r="G96" s="4">
        <v>327638</v>
      </c>
      <c r="H96" s="4">
        <v>210933</v>
      </c>
      <c r="I96" s="4">
        <v>169621</v>
      </c>
      <c r="J96" s="4">
        <v>4682</v>
      </c>
      <c r="K96" s="4">
        <v>594</v>
      </c>
      <c r="L96" s="4">
        <v>267</v>
      </c>
      <c r="M96" s="4">
        <v>1041</v>
      </c>
      <c r="N96" s="4">
        <v>1357</v>
      </c>
      <c r="O96" s="5">
        <f t="shared" si="1"/>
        <v>3.8815948496943184E-2</v>
      </c>
      <c r="P96" s="2" t="s">
        <v>29</v>
      </c>
    </row>
    <row r="97" spans="1:16" x14ac:dyDescent="0.25">
      <c r="A97" s="6" t="s">
        <v>263</v>
      </c>
      <c r="B97" s="6" t="s">
        <v>264</v>
      </c>
      <c r="C97" s="6" t="s">
        <v>32</v>
      </c>
      <c r="D97" s="7" t="s">
        <v>121</v>
      </c>
      <c r="E97" s="7" t="s">
        <v>45</v>
      </c>
      <c r="F97" s="6" t="s">
        <v>35</v>
      </c>
      <c r="G97" s="8">
        <v>407926</v>
      </c>
      <c r="H97" s="8">
        <v>76072</v>
      </c>
      <c r="I97" s="8">
        <v>61576</v>
      </c>
      <c r="J97" s="8">
        <v>5740</v>
      </c>
      <c r="K97" s="8">
        <v>619</v>
      </c>
      <c r="L97" s="8">
        <v>712</v>
      </c>
      <c r="M97" s="8">
        <v>46</v>
      </c>
      <c r="N97" s="8">
        <v>1349</v>
      </c>
      <c r="O97" s="9">
        <f t="shared" si="1"/>
        <v>0.1155807457450955</v>
      </c>
      <c r="P97" s="6" t="s">
        <v>22</v>
      </c>
    </row>
    <row r="98" spans="1:16" x14ac:dyDescent="0.25">
      <c r="A98" s="2" t="s">
        <v>265</v>
      </c>
      <c r="B98" s="2" t="s">
        <v>266</v>
      </c>
      <c r="C98" s="2" t="s">
        <v>18</v>
      </c>
      <c r="D98" s="3" t="s">
        <v>226</v>
      </c>
      <c r="E98" s="3" t="s">
        <v>34</v>
      </c>
      <c r="F98" s="2" t="s">
        <v>58</v>
      </c>
      <c r="G98" s="4">
        <v>695524</v>
      </c>
      <c r="H98" s="4">
        <v>232424</v>
      </c>
      <c r="I98" s="4">
        <v>184485</v>
      </c>
      <c r="J98" s="4">
        <v>14267</v>
      </c>
      <c r="K98" s="4">
        <v>1180</v>
      </c>
      <c r="L98" s="4">
        <v>363</v>
      </c>
      <c r="M98" s="4">
        <v>3195</v>
      </c>
      <c r="N98" s="4">
        <v>3620</v>
      </c>
      <c r="O98" s="5">
        <f t="shared" si="1"/>
        <v>0.10301650540694365</v>
      </c>
      <c r="P98" s="2" t="s">
        <v>66</v>
      </c>
    </row>
    <row r="99" spans="1:16" x14ac:dyDescent="0.25">
      <c r="A99" s="6" t="s">
        <v>267</v>
      </c>
      <c r="B99" s="6" t="s">
        <v>268</v>
      </c>
      <c r="C99" s="6" t="s">
        <v>76</v>
      </c>
      <c r="D99" s="7" t="s">
        <v>182</v>
      </c>
      <c r="E99" s="7" t="s">
        <v>50</v>
      </c>
      <c r="F99" s="6" t="s">
        <v>155</v>
      </c>
      <c r="G99" s="8">
        <v>35153</v>
      </c>
      <c r="H99" s="8">
        <v>14986</v>
      </c>
      <c r="I99" s="8">
        <v>11934</v>
      </c>
      <c r="J99" s="8">
        <v>413</v>
      </c>
      <c r="K99" s="8">
        <v>27</v>
      </c>
      <c r="L99" s="8">
        <v>42</v>
      </c>
      <c r="M99" s="8">
        <v>50</v>
      </c>
      <c r="N99" s="8">
        <v>501</v>
      </c>
      <c r="O99" s="9">
        <f t="shared" si="1"/>
        <v>4.457851516675046E-2</v>
      </c>
      <c r="P99" s="6" t="s">
        <v>22</v>
      </c>
    </row>
    <row r="100" spans="1:16" x14ac:dyDescent="0.25">
      <c r="A100" s="2" t="s">
        <v>269</v>
      </c>
      <c r="B100" s="2" t="s">
        <v>270</v>
      </c>
      <c r="C100" s="2" t="s">
        <v>18</v>
      </c>
      <c r="D100" s="3" t="s">
        <v>57</v>
      </c>
      <c r="E100" s="3" t="s">
        <v>34</v>
      </c>
      <c r="F100" s="2" t="s">
        <v>73</v>
      </c>
      <c r="G100" s="4">
        <v>146883</v>
      </c>
      <c r="H100" s="4">
        <v>45075</v>
      </c>
      <c r="I100" s="4">
        <v>34316</v>
      </c>
      <c r="J100" s="4">
        <v>3499</v>
      </c>
      <c r="K100" s="4">
        <v>118</v>
      </c>
      <c r="L100" s="4">
        <v>154</v>
      </c>
      <c r="M100" s="4">
        <v>537</v>
      </c>
      <c r="N100" s="4">
        <v>1460</v>
      </c>
      <c r="O100" s="5">
        <f t="shared" si="1"/>
        <v>0.12553910712204219</v>
      </c>
      <c r="P100" s="2" t="s">
        <v>22</v>
      </c>
    </row>
    <row r="101" spans="1:16" x14ac:dyDescent="0.25">
      <c r="A101" s="6" t="s">
        <v>271</v>
      </c>
      <c r="B101" s="6" t="s">
        <v>272</v>
      </c>
      <c r="C101" s="6" t="s">
        <v>25</v>
      </c>
      <c r="D101" s="7" t="s">
        <v>61</v>
      </c>
      <c r="E101" s="7" t="s">
        <v>50</v>
      </c>
      <c r="F101" s="6" t="s">
        <v>65</v>
      </c>
      <c r="G101" s="8">
        <v>212402</v>
      </c>
      <c r="H101" s="8">
        <v>120243</v>
      </c>
      <c r="I101" s="8">
        <v>88737</v>
      </c>
      <c r="J101" s="8">
        <v>7551</v>
      </c>
      <c r="K101" s="8">
        <v>1356</v>
      </c>
      <c r="L101" s="8">
        <v>946</v>
      </c>
      <c r="M101" s="8">
        <v>1838</v>
      </c>
      <c r="N101" s="8">
        <v>4160</v>
      </c>
      <c r="O101" s="9">
        <f t="shared" si="1"/>
        <v>0.13174887589167991</v>
      </c>
      <c r="P101" s="6" t="s">
        <v>29</v>
      </c>
    </row>
    <row r="102" spans="1:16" x14ac:dyDescent="0.25">
      <c r="A102" s="2" t="s">
        <v>273</v>
      </c>
      <c r="B102" s="2" t="s">
        <v>274</v>
      </c>
      <c r="C102" s="2" t="s">
        <v>18</v>
      </c>
      <c r="D102" s="3" t="s">
        <v>231</v>
      </c>
      <c r="E102" s="3" t="s">
        <v>20</v>
      </c>
      <c r="F102" s="2" t="s">
        <v>73</v>
      </c>
      <c r="G102" s="4">
        <v>746531</v>
      </c>
      <c r="H102" s="4">
        <v>331078</v>
      </c>
      <c r="I102" s="4">
        <v>258084</v>
      </c>
      <c r="J102" s="4">
        <v>11076</v>
      </c>
      <c r="K102" s="4">
        <v>1968</v>
      </c>
      <c r="L102" s="4">
        <v>1361</v>
      </c>
      <c r="M102" s="4">
        <v>1078</v>
      </c>
      <c r="N102" s="4">
        <v>6562</v>
      </c>
      <c r="O102" s="5">
        <f t="shared" si="1"/>
        <v>5.9992095596782445E-2</v>
      </c>
      <c r="P102" s="2" t="s">
        <v>22</v>
      </c>
    </row>
    <row r="103" spans="1:16" x14ac:dyDescent="0.25">
      <c r="A103" s="6" t="s">
        <v>275</v>
      </c>
      <c r="B103" s="6" t="s">
        <v>276</v>
      </c>
      <c r="C103" s="6" t="s">
        <v>43</v>
      </c>
      <c r="D103" s="7" t="s">
        <v>44</v>
      </c>
      <c r="E103" s="7" t="s">
        <v>27</v>
      </c>
      <c r="F103" s="6" t="s">
        <v>70</v>
      </c>
      <c r="G103" s="8">
        <v>71441</v>
      </c>
      <c r="H103" s="8">
        <v>46420</v>
      </c>
      <c r="I103" s="8">
        <v>37382</v>
      </c>
      <c r="J103" s="8">
        <v>2072</v>
      </c>
      <c r="K103" s="8">
        <v>189</v>
      </c>
      <c r="L103" s="8">
        <v>196</v>
      </c>
      <c r="M103" s="8">
        <v>8</v>
      </c>
      <c r="N103" s="8">
        <v>1586</v>
      </c>
      <c r="O103" s="9">
        <f t="shared" si="1"/>
        <v>6.5940827136054786E-2</v>
      </c>
      <c r="P103" s="6" t="s">
        <v>29</v>
      </c>
    </row>
    <row r="104" spans="1:16" x14ac:dyDescent="0.25">
      <c r="A104" s="2" t="s">
        <v>277</v>
      </c>
      <c r="B104" s="2" t="s">
        <v>278</v>
      </c>
      <c r="C104" s="2" t="s">
        <v>18</v>
      </c>
      <c r="D104" s="3" t="s">
        <v>19</v>
      </c>
      <c r="E104" s="3" t="s">
        <v>27</v>
      </c>
      <c r="F104" s="2" t="s">
        <v>73</v>
      </c>
      <c r="G104" s="4">
        <v>618838</v>
      </c>
      <c r="H104" s="4">
        <v>390344</v>
      </c>
      <c r="I104" s="4">
        <v>316424</v>
      </c>
      <c r="J104" s="4">
        <v>28140</v>
      </c>
      <c r="K104" s="4">
        <v>4353</v>
      </c>
      <c r="L104" s="4">
        <v>2458</v>
      </c>
      <c r="M104" s="4">
        <v>3118</v>
      </c>
      <c r="N104" s="4">
        <v>3848</v>
      </c>
      <c r="O104" s="5">
        <f t="shared" si="1"/>
        <v>0.12031009025864031</v>
      </c>
      <c r="P104" s="2" t="s">
        <v>66</v>
      </c>
    </row>
    <row r="105" spans="1:16" x14ac:dyDescent="0.25">
      <c r="A105" s="6" t="s">
        <v>279</v>
      </c>
      <c r="B105" s="6" t="s">
        <v>280</v>
      </c>
      <c r="C105" s="6" t="s">
        <v>18</v>
      </c>
      <c r="D105" s="7" t="s">
        <v>226</v>
      </c>
      <c r="E105" s="7" t="s">
        <v>50</v>
      </c>
      <c r="F105" s="6" t="s">
        <v>21</v>
      </c>
      <c r="G105" s="8">
        <v>668405</v>
      </c>
      <c r="H105" s="8">
        <v>158035</v>
      </c>
      <c r="I105" s="8">
        <v>121153</v>
      </c>
      <c r="J105" s="8">
        <v>8219</v>
      </c>
      <c r="K105" s="8">
        <v>866</v>
      </c>
      <c r="L105" s="8">
        <v>344</v>
      </c>
      <c r="M105" s="8">
        <v>1958</v>
      </c>
      <c r="N105" s="8">
        <v>1521</v>
      </c>
      <c r="O105" s="9">
        <f t="shared" si="1"/>
        <v>9.3988592936204637E-2</v>
      </c>
      <c r="P105" s="6" t="s">
        <v>29</v>
      </c>
    </row>
    <row r="106" spans="1:16" x14ac:dyDescent="0.25">
      <c r="A106" s="2" t="s">
        <v>281</v>
      </c>
      <c r="B106" s="2" t="s">
        <v>282</v>
      </c>
      <c r="C106" s="2" t="s">
        <v>43</v>
      </c>
      <c r="D106" s="3" t="s">
        <v>81</v>
      </c>
      <c r="E106" s="3" t="s">
        <v>34</v>
      </c>
      <c r="F106" s="2" t="s">
        <v>70</v>
      </c>
      <c r="G106" s="4">
        <v>50170</v>
      </c>
      <c r="H106" s="4">
        <v>26062</v>
      </c>
      <c r="I106" s="4">
        <v>21976</v>
      </c>
      <c r="J106" s="4">
        <v>1720</v>
      </c>
      <c r="K106" s="4">
        <v>159</v>
      </c>
      <c r="L106" s="4">
        <v>177</v>
      </c>
      <c r="M106" s="4">
        <v>31</v>
      </c>
      <c r="N106" s="4">
        <v>825</v>
      </c>
      <c r="O106" s="5">
        <f t="shared" si="1"/>
        <v>9.49672369858027E-2</v>
      </c>
      <c r="P106" s="2" t="s">
        <v>22</v>
      </c>
    </row>
    <row r="107" spans="1:16" x14ac:dyDescent="0.25">
      <c r="A107" s="6" t="s">
        <v>283</v>
      </c>
      <c r="B107" s="6" t="s">
        <v>284</v>
      </c>
      <c r="C107" s="6" t="s">
        <v>32</v>
      </c>
      <c r="D107" s="7" t="s">
        <v>38</v>
      </c>
      <c r="E107" s="7" t="s">
        <v>39</v>
      </c>
      <c r="F107" s="6" t="s">
        <v>128</v>
      </c>
      <c r="G107" s="8">
        <v>724563</v>
      </c>
      <c r="H107" s="8">
        <v>239522</v>
      </c>
      <c r="I107" s="8">
        <v>192139</v>
      </c>
      <c r="J107" s="8">
        <v>9679</v>
      </c>
      <c r="K107" s="8">
        <v>498</v>
      </c>
      <c r="L107" s="8">
        <v>1277</v>
      </c>
      <c r="M107" s="8">
        <v>20</v>
      </c>
      <c r="N107" s="8">
        <v>6473</v>
      </c>
      <c r="O107" s="9">
        <f t="shared" si="1"/>
        <v>5.971718391372912E-2</v>
      </c>
      <c r="P107" s="6" t="s">
        <v>29</v>
      </c>
    </row>
    <row r="108" spans="1:16" x14ac:dyDescent="0.25">
      <c r="A108" s="2" t="s">
        <v>285</v>
      </c>
      <c r="B108" s="2" t="s">
        <v>286</v>
      </c>
      <c r="C108" s="2" t="s">
        <v>43</v>
      </c>
      <c r="D108" s="3" t="s">
        <v>172</v>
      </c>
      <c r="E108" s="3" t="s">
        <v>34</v>
      </c>
      <c r="F108" s="2" t="s">
        <v>46</v>
      </c>
      <c r="G108" s="4">
        <v>255980</v>
      </c>
      <c r="H108" s="4">
        <v>59504</v>
      </c>
      <c r="I108" s="4">
        <v>43497</v>
      </c>
      <c r="J108" s="4">
        <v>1370</v>
      </c>
      <c r="K108" s="4">
        <v>235</v>
      </c>
      <c r="L108" s="4">
        <v>181</v>
      </c>
      <c r="M108" s="4">
        <v>26</v>
      </c>
      <c r="N108" s="4">
        <v>740</v>
      </c>
      <c r="O108" s="5">
        <f t="shared" si="1"/>
        <v>4.1658045382440168E-2</v>
      </c>
      <c r="P108" s="2" t="s">
        <v>29</v>
      </c>
    </row>
    <row r="109" spans="1:16" x14ac:dyDescent="0.25">
      <c r="A109" s="6" t="s">
        <v>287</v>
      </c>
      <c r="B109" s="6" t="s">
        <v>288</v>
      </c>
      <c r="C109" s="6" t="s">
        <v>18</v>
      </c>
      <c r="D109" s="7" t="s">
        <v>19</v>
      </c>
      <c r="E109" s="7" t="s">
        <v>20</v>
      </c>
      <c r="F109" s="6" t="s">
        <v>58</v>
      </c>
      <c r="G109" s="8">
        <v>542228</v>
      </c>
      <c r="H109" s="8">
        <v>315074</v>
      </c>
      <c r="I109" s="8">
        <v>222158</v>
      </c>
      <c r="J109" s="8">
        <v>24170</v>
      </c>
      <c r="K109" s="8">
        <v>2557</v>
      </c>
      <c r="L109" s="8">
        <v>3520</v>
      </c>
      <c r="M109" s="8">
        <v>2248</v>
      </c>
      <c r="N109" s="8">
        <v>4911</v>
      </c>
      <c r="O109" s="9">
        <f t="shared" si="1"/>
        <v>0.14626977196409763</v>
      </c>
      <c r="P109" s="6" t="s">
        <v>22</v>
      </c>
    </row>
    <row r="110" spans="1:16" x14ac:dyDescent="0.25">
      <c r="A110" s="2" t="s">
        <v>289</v>
      </c>
      <c r="B110" s="2" t="s">
        <v>290</v>
      </c>
      <c r="C110" s="2" t="s">
        <v>32</v>
      </c>
      <c r="D110" s="3" t="s">
        <v>38</v>
      </c>
      <c r="E110" s="3" t="s">
        <v>27</v>
      </c>
      <c r="F110" s="2" t="s">
        <v>128</v>
      </c>
      <c r="G110" s="4">
        <v>115218</v>
      </c>
      <c r="H110" s="4">
        <v>67172</v>
      </c>
      <c r="I110" s="4">
        <v>52425</v>
      </c>
      <c r="J110" s="4">
        <v>2968</v>
      </c>
      <c r="K110" s="4">
        <v>109</v>
      </c>
      <c r="L110" s="4">
        <v>79</v>
      </c>
      <c r="M110" s="4">
        <v>35</v>
      </c>
      <c r="N110" s="4">
        <v>728</v>
      </c>
      <c r="O110" s="5">
        <f t="shared" si="1"/>
        <v>6.0867906533142585E-2</v>
      </c>
      <c r="P110" s="2" t="s">
        <v>22</v>
      </c>
    </row>
    <row r="111" spans="1:16" x14ac:dyDescent="0.25">
      <c r="A111" s="6" t="s">
        <v>291</v>
      </c>
      <c r="B111" s="6" t="s">
        <v>292</v>
      </c>
      <c r="C111" s="6" t="s">
        <v>43</v>
      </c>
      <c r="D111" s="7" t="s">
        <v>110</v>
      </c>
      <c r="E111" s="7" t="s">
        <v>27</v>
      </c>
      <c r="F111" s="6" t="s">
        <v>107</v>
      </c>
      <c r="G111" s="8">
        <v>643225</v>
      </c>
      <c r="H111" s="8">
        <v>408960</v>
      </c>
      <c r="I111" s="8">
        <v>319849</v>
      </c>
      <c r="J111" s="8">
        <v>32392</v>
      </c>
      <c r="K111" s="8">
        <v>3682</v>
      </c>
      <c r="L111" s="8">
        <v>2187</v>
      </c>
      <c r="M111" s="8">
        <v>9</v>
      </c>
      <c r="N111" s="8">
        <v>4487</v>
      </c>
      <c r="O111" s="9">
        <f t="shared" si="1"/>
        <v>0.11965020994281676</v>
      </c>
      <c r="P111" s="6" t="s">
        <v>22</v>
      </c>
    </row>
    <row r="112" spans="1:16" x14ac:dyDescent="0.25">
      <c r="A112" s="2" t="s">
        <v>293</v>
      </c>
      <c r="B112" s="2" t="s">
        <v>294</v>
      </c>
      <c r="C112" s="2" t="s">
        <v>25</v>
      </c>
      <c r="D112" s="3" t="s">
        <v>244</v>
      </c>
      <c r="E112" s="3" t="s">
        <v>39</v>
      </c>
      <c r="F112" s="2" t="s">
        <v>65</v>
      </c>
      <c r="G112" s="4">
        <v>158675</v>
      </c>
      <c r="H112" s="4">
        <v>59318</v>
      </c>
      <c r="I112" s="4">
        <v>53676</v>
      </c>
      <c r="J112" s="4">
        <v>2320</v>
      </c>
      <c r="K112" s="4">
        <v>206</v>
      </c>
      <c r="L112" s="4">
        <v>232</v>
      </c>
      <c r="M112" s="4">
        <v>506</v>
      </c>
      <c r="N112" s="4">
        <v>1353</v>
      </c>
      <c r="O112" s="5">
        <f t="shared" si="1"/>
        <v>6.0809300245919962E-2</v>
      </c>
      <c r="P112" s="2" t="s">
        <v>22</v>
      </c>
    </row>
    <row r="113" spans="1:16" x14ac:dyDescent="0.25">
      <c r="A113" s="6" t="s">
        <v>295</v>
      </c>
      <c r="B113" s="6" t="s">
        <v>296</v>
      </c>
      <c r="C113" s="6" t="s">
        <v>43</v>
      </c>
      <c r="D113" s="7" t="s">
        <v>110</v>
      </c>
      <c r="E113" s="7" t="s">
        <v>39</v>
      </c>
      <c r="F113" s="6" t="s">
        <v>70</v>
      </c>
      <c r="G113" s="8">
        <v>388751</v>
      </c>
      <c r="H113" s="8">
        <v>55387</v>
      </c>
      <c r="I113" s="8">
        <v>45883</v>
      </c>
      <c r="J113" s="8">
        <v>3755</v>
      </c>
      <c r="K113" s="8">
        <v>521</v>
      </c>
      <c r="L113" s="8">
        <v>410</v>
      </c>
      <c r="M113" s="8">
        <v>1</v>
      </c>
      <c r="N113" s="8">
        <v>1268</v>
      </c>
      <c r="O113" s="9">
        <f t="shared" si="1"/>
        <v>0.10215112350979666</v>
      </c>
      <c r="P113" s="6" t="s">
        <v>22</v>
      </c>
    </row>
    <row r="114" spans="1:16" x14ac:dyDescent="0.25">
      <c r="A114" s="2" t="s">
        <v>297</v>
      </c>
      <c r="B114" s="2" t="s">
        <v>298</v>
      </c>
      <c r="C114" s="2" t="s">
        <v>76</v>
      </c>
      <c r="D114" s="3" t="s">
        <v>189</v>
      </c>
      <c r="E114" s="3" t="s">
        <v>39</v>
      </c>
      <c r="F114" s="2" t="s">
        <v>155</v>
      </c>
      <c r="G114" s="4">
        <v>552197</v>
      </c>
      <c r="H114" s="4">
        <v>239239</v>
      </c>
      <c r="I114" s="4">
        <v>175245</v>
      </c>
      <c r="J114" s="4">
        <v>14556</v>
      </c>
      <c r="K114" s="4">
        <v>505</v>
      </c>
      <c r="L114" s="4">
        <v>2085</v>
      </c>
      <c r="M114" s="4">
        <v>1047</v>
      </c>
      <c r="N114" s="4">
        <v>1332</v>
      </c>
      <c r="O114" s="5">
        <f t="shared" si="1"/>
        <v>0.10381465947673257</v>
      </c>
      <c r="P114" s="2" t="s">
        <v>22</v>
      </c>
    </row>
    <row r="115" spans="1:16" x14ac:dyDescent="0.25">
      <c r="A115" s="6" t="s">
        <v>299</v>
      </c>
      <c r="B115" s="6" t="s">
        <v>300</v>
      </c>
      <c r="C115" s="6" t="s">
        <v>32</v>
      </c>
      <c r="D115" s="7" t="s">
        <v>33</v>
      </c>
      <c r="E115" s="7" t="s">
        <v>27</v>
      </c>
      <c r="F115" s="6" t="s">
        <v>35</v>
      </c>
      <c r="G115" s="8">
        <v>774081</v>
      </c>
      <c r="H115" s="8">
        <v>373332</v>
      </c>
      <c r="I115" s="8">
        <v>278362</v>
      </c>
      <c r="J115" s="8">
        <v>14747</v>
      </c>
      <c r="K115" s="8">
        <v>1907</v>
      </c>
      <c r="L115" s="8">
        <v>1302</v>
      </c>
      <c r="M115" s="8">
        <v>20</v>
      </c>
      <c r="N115" s="8">
        <v>12581</v>
      </c>
      <c r="O115" s="9">
        <f t="shared" si="1"/>
        <v>6.45777800130765E-2</v>
      </c>
      <c r="P115" s="6" t="s">
        <v>22</v>
      </c>
    </row>
    <row r="116" spans="1:16" x14ac:dyDescent="0.25">
      <c r="A116" s="2" t="s">
        <v>301</v>
      </c>
      <c r="B116" s="2" t="s">
        <v>302</v>
      </c>
      <c r="C116" s="2" t="s">
        <v>18</v>
      </c>
      <c r="D116" s="3" t="s">
        <v>92</v>
      </c>
      <c r="E116" s="3" t="s">
        <v>39</v>
      </c>
      <c r="F116" s="2" t="s">
        <v>21</v>
      </c>
      <c r="G116" s="4">
        <v>260994</v>
      </c>
      <c r="H116" s="4">
        <v>65286</v>
      </c>
      <c r="I116" s="4">
        <v>56776</v>
      </c>
      <c r="J116" s="4">
        <v>4066</v>
      </c>
      <c r="K116" s="4">
        <v>542</v>
      </c>
      <c r="L116" s="4">
        <v>339</v>
      </c>
      <c r="M116" s="4">
        <v>593</v>
      </c>
      <c r="N116" s="4">
        <v>1424</v>
      </c>
      <c r="O116" s="5">
        <f t="shared" si="1"/>
        <v>9.7576440749612511E-2</v>
      </c>
      <c r="P116" s="2" t="s">
        <v>66</v>
      </c>
    </row>
    <row r="117" spans="1:16" x14ac:dyDescent="0.25">
      <c r="A117" s="6" t="s">
        <v>303</v>
      </c>
      <c r="B117" s="6" t="s">
        <v>304</v>
      </c>
      <c r="C117" s="6" t="s">
        <v>43</v>
      </c>
      <c r="D117" s="7" t="s">
        <v>172</v>
      </c>
      <c r="E117" s="7" t="s">
        <v>39</v>
      </c>
      <c r="F117" s="6" t="s">
        <v>46</v>
      </c>
      <c r="G117" s="8">
        <v>364399</v>
      </c>
      <c r="H117" s="8">
        <v>196276</v>
      </c>
      <c r="I117" s="8">
        <v>139209</v>
      </c>
      <c r="J117" s="8">
        <v>15175</v>
      </c>
      <c r="K117" s="8">
        <v>635</v>
      </c>
      <c r="L117" s="8">
        <v>2126</v>
      </c>
      <c r="M117" s="8">
        <v>41</v>
      </c>
      <c r="N117" s="8">
        <v>2491</v>
      </c>
      <c r="O117" s="9">
        <f t="shared" si="1"/>
        <v>0.12913676558268503</v>
      </c>
      <c r="P117" s="6" t="s">
        <v>22</v>
      </c>
    </row>
    <row r="118" spans="1:16" x14ac:dyDescent="0.25">
      <c r="A118" s="2" t="s">
        <v>305</v>
      </c>
      <c r="B118" s="2" t="s">
        <v>306</v>
      </c>
      <c r="C118" s="2" t="s">
        <v>43</v>
      </c>
      <c r="D118" s="3" t="s">
        <v>110</v>
      </c>
      <c r="E118" s="3" t="s">
        <v>20</v>
      </c>
      <c r="F118" s="2" t="s">
        <v>70</v>
      </c>
      <c r="G118" s="4">
        <v>648084</v>
      </c>
      <c r="H118" s="4">
        <v>140239</v>
      </c>
      <c r="I118" s="4">
        <v>118833</v>
      </c>
      <c r="J118" s="4">
        <v>7273</v>
      </c>
      <c r="K118" s="4">
        <v>914</v>
      </c>
      <c r="L118" s="4">
        <v>195</v>
      </c>
      <c r="M118" s="4">
        <v>26</v>
      </c>
      <c r="N118" s="4">
        <v>2090</v>
      </c>
      <c r="O118" s="5">
        <f t="shared" si="1"/>
        <v>7.075475667533429E-2</v>
      </c>
      <c r="P118" s="2" t="s">
        <v>22</v>
      </c>
    </row>
    <row r="119" spans="1:16" x14ac:dyDescent="0.25">
      <c r="A119" s="6" t="s">
        <v>307</v>
      </c>
      <c r="B119" s="6" t="s">
        <v>308</v>
      </c>
      <c r="C119" s="6" t="s">
        <v>25</v>
      </c>
      <c r="D119" s="7" t="s">
        <v>26</v>
      </c>
      <c r="E119" s="7" t="s">
        <v>45</v>
      </c>
      <c r="F119" s="6" t="s">
        <v>65</v>
      </c>
      <c r="G119" s="8">
        <v>503141</v>
      </c>
      <c r="H119" s="8">
        <v>257039</v>
      </c>
      <c r="I119" s="8">
        <v>198088</v>
      </c>
      <c r="J119" s="8">
        <v>15102</v>
      </c>
      <c r="K119" s="8">
        <v>2509</v>
      </c>
      <c r="L119" s="8">
        <v>477</v>
      </c>
      <c r="M119" s="8">
        <v>2489</v>
      </c>
      <c r="N119" s="8">
        <v>5411</v>
      </c>
      <c r="O119" s="9">
        <f t="shared" si="1"/>
        <v>0.10387807439117967</v>
      </c>
      <c r="P119" s="6" t="s">
        <v>29</v>
      </c>
    </row>
    <row r="120" spans="1:16" x14ac:dyDescent="0.25">
      <c r="A120" s="2" t="s">
        <v>309</v>
      </c>
      <c r="B120" s="2" t="s">
        <v>310</v>
      </c>
      <c r="C120" s="2" t="s">
        <v>25</v>
      </c>
      <c r="D120" s="3" t="s">
        <v>145</v>
      </c>
      <c r="E120" s="3" t="s">
        <v>39</v>
      </c>
      <c r="F120" s="2" t="s">
        <v>65</v>
      </c>
      <c r="G120" s="4">
        <v>197861</v>
      </c>
      <c r="H120" s="4">
        <v>124338</v>
      </c>
      <c r="I120" s="4">
        <v>111019</v>
      </c>
      <c r="J120" s="4">
        <v>2555</v>
      </c>
      <c r="K120" s="4">
        <v>294</v>
      </c>
      <c r="L120" s="4">
        <v>86</v>
      </c>
      <c r="M120" s="4">
        <v>630</v>
      </c>
      <c r="N120" s="4">
        <v>1683</v>
      </c>
      <c r="O120" s="5">
        <f t="shared" si="1"/>
        <v>3.211162053342221E-2</v>
      </c>
      <c r="P120" s="2" t="s">
        <v>66</v>
      </c>
    </row>
    <row r="121" spans="1:16" x14ac:dyDescent="0.25">
      <c r="A121" s="6" t="s">
        <v>311</v>
      </c>
      <c r="B121" s="6" t="s">
        <v>312</v>
      </c>
      <c r="C121" s="6" t="s">
        <v>25</v>
      </c>
      <c r="D121" s="7" t="s">
        <v>61</v>
      </c>
      <c r="E121" s="7" t="s">
        <v>39</v>
      </c>
      <c r="F121" s="6" t="s">
        <v>28</v>
      </c>
      <c r="G121" s="8">
        <v>204677</v>
      </c>
      <c r="H121" s="8">
        <v>54953</v>
      </c>
      <c r="I121" s="8">
        <v>44015</v>
      </c>
      <c r="J121" s="8">
        <v>1947</v>
      </c>
      <c r="K121" s="8">
        <v>112</v>
      </c>
      <c r="L121" s="8">
        <v>225</v>
      </c>
      <c r="M121" s="8">
        <v>405</v>
      </c>
      <c r="N121" s="8">
        <v>1210</v>
      </c>
      <c r="O121" s="9">
        <f t="shared" si="1"/>
        <v>6.1092809269567193E-2</v>
      </c>
      <c r="P121" s="6" t="s">
        <v>29</v>
      </c>
    </row>
    <row r="122" spans="1:16" x14ac:dyDescent="0.25">
      <c r="A122" s="2" t="s">
        <v>313</v>
      </c>
      <c r="B122" s="2" t="s">
        <v>314</v>
      </c>
      <c r="C122" s="2" t="s">
        <v>32</v>
      </c>
      <c r="D122" s="3" t="s">
        <v>121</v>
      </c>
      <c r="E122" s="3" t="s">
        <v>27</v>
      </c>
      <c r="F122" s="2" t="s">
        <v>40</v>
      </c>
      <c r="G122" s="4">
        <v>93451</v>
      </c>
      <c r="H122" s="4">
        <v>12556</v>
      </c>
      <c r="I122" s="4">
        <v>10108</v>
      </c>
      <c r="J122" s="4">
        <v>956</v>
      </c>
      <c r="K122" s="4">
        <v>29</v>
      </c>
      <c r="L122" s="4">
        <v>66</v>
      </c>
      <c r="M122" s="4">
        <v>28</v>
      </c>
      <c r="N122" s="4">
        <v>346</v>
      </c>
      <c r="O122" s="5">
        <f t="shared" si="1"/>
        <v>0.10674713098535814</v>
      </c>
      <c r="P122" s="2" t="s">
        <v>66</v>
      </c>
    </row>
    <row r="123" spans="1:16" x14ac:dyDescent="0.25">
      <c r="A123" s="6" t="s">
        <v>315</v>
      </c>
      <c r="B123" s="6" t="s">
        <v>316</v>
      </c>
      <c r="C123" s="6" t="s">
        <v>76</v>
      </c>
      <c r="D123" s="7" t="s">
        <v>103</v>
      </c>
      <c r="E123" s="7" t="s">
        <v>45</v>
      </c>
      <c r="F123" s="6" t="s">
        <v>78</v>
      </c>
      <c r="G123" s="8">
        <v>728920</v>
      </c>
      <c r="H123" s="8">
        <v>335768</v>
      </c>
      <c r="I123" s="8">
        <v>257701</v>
      </c>
      <c r="J123" s="8">
        <v>14882</v>
      </c>
      <c r="K123" s="8">
        <v>1568</v>
      </c>
      <c r="L123" s="8">
        <v>2029</v>
      </c>
      <c r="M123" s="8">
        <v>2838</v>
      </c>
      <c r="N123" s="8">
        <v>4811</v>
      </c>
      <c r="O123" s="9">
        <f t="shared" si="1"/>
        <v>8.2719896313945232E-2</v>
      </c>
      <c r="P123" s="6" t="s">
        <v>22</v>
      </c>
    </row>
    <row r="124" spans="1:16" x14ac:dyDescent="0.25">
      <c r="A124" s="2" t="s">
        <v>317</v>
      </c>
      <c r="B124" s="2" t="s">
        <v>318</v>
      </c>
      <c r="C124" s="2" t="s">
        <v>25</v>
      </c>
      <c r="D124" s="3" t="s">
        <v>64</v>
      </c>
      <c r="E124" s="3" t="s">
        <v>39</v>
      </c>
      <c r="F124" s="2" t="s">
        <v>146</v>
      </c>
      <c r="G124" s="4">
        <v>479579</v>
      </c>
      <c r="H124" s="4">
        <v>203951</v>
      </c>
      <c r="I124" s="4">
        <v>174261</v>
      </c>
      <c r="J124" s="4">
        <v>15248</v>
      </c>
      <c r="K124" s="4">
        <v>2189</v>
      </c>
      <c r="L124" s="4">
        <v>1894</v>
      </c>
      <c r="M124" s="4">
        <v>3280</v>
      </c>
      <c r="N124" s="4">
        <v>5681</v>
      </c>
      <c r="O124" s="5">
        <f t="shared" si="1"/>
        <v>0.12975364539397799</v>
      </c>
      <c r="P124" s="2" t="s">
        <v>29</v>
      </c>
    </row>
    <row r="125" spans="1:16" x14ac:dyDescent="0.25">
      <c r="A125" s="6" t="s">
        <v>319</v>
      </c>
      <c r="B125" s="6" t="s">
        <v>320</v>
      </c>
      <c r="C125" s="6" t="s">
        <v>43</v>
      </c>
      <c r="D125" s="7" t="s">
        <v>110</v>
      </c>
      <c r="E125" s="7" t="s">
        <v>34</v>
      </c>
      <c r="F125" s="6" t="s">
        <v>107</v>
      </c>
      <c r="G125" s="8">
        <v>120159</v>
      </c>
      <c r="H125" s="8">
        <v>47121</v>
      </c>
      <c r="I125" s="8">
        <v>35080</v>
      </c>
      <c r="J125" s="8">
        <v>2459</v>
      </c>
      <c r="K125" s="8">
        <v>134</v>
      </c>
      <c r="L125" s="8">
        <v>322</v>
      </c>
      <c r="M125" s="8">
        <v>28</v>
      </c>
      <c r="N125" s="8">
        <v>399</v>
      </c>
      <c r="O125" s="9">
        <f t="shared" si="1"/>
        <v>8.3893956670467507E-2</v>
      </c>
      <c r="P125" s="6" t="s">
        <v>22</v>
      </c>
    </row>
    <row r="126" spans="1:16" x14ac:dyDescent="0.25">
      <c r="A126" s="2" t="s">
        <v>321</v>
      </c>
      <c r="B126" s="2" t="s">
        <v>322</v>
      </c>
      <c r="C126" s="2" t="s">
        <v>43</v>
      </c>
      <c r="D126" s="3" t="s">
        <v>69</v>
      </c>
      <c r="E126" s="3" t="s">
        <v>34</v>
      </c>
      <c r="F126" s="2" t="s">
        <v>46</v>
      </c>
      <c r="G126" s="4">
        <v>140853</v>
      </c>
      <c r="H126" s="4">
        <v>47942</v>
      </c>
      <c r="I126" s="4">
        <v>39453</v>
      </c>
      <c r="J126" s="4">
        <v>2894</v>
      </c>
      <c r="K126" s="4">
        <v>220</v>
      </c>
      <c r="L126" s="4">
        <v>66</v>
      </c>
      <c r="M126" s="4">
        <v>16</v>
      </c>
      <c r="N126" s="4">
        <v>1413</v>
      </c>
      <c r="O126" s="5">
        <f t="shared" si="1"/>
        <v>8.1007781410792595E-2</v>
      </c>
      <c r="P126" s="2" t="s">
        <v>29</v>
      </c>
    </row>
    <row r="127" spans="1:16" x14ac:dyDescent="0.25">
      <c r="A127" s="6" t="s">
        <v>323</v>
      </c>
      <c r="B127" s="6" t="s">
        <v>324</v>
      </c>
      <c r="C127" s="6" t="s">
        <v>18</v>
      </c>
      <c r="D127" s="7" t="s">
        <v>226</v>
      </c>
      <c r="E127" s="7" t="s">
        <v>27</v>
      </c>
      <c r="F127" s="6" t="s">
        <v>21</v>
      </c>
      <c r="G127" s="8">
        <v>74871</v>
      </c>
      <c r="H127" s="8">
        <v>26136</v>
      </c>
      <c r="I127" s="8">
        <v>20646</v>
      </c>
      <c r="J127" s="8">
        <v>1728</v>
      </c>
      <c r="K127" s="8">
        <v>250</v>
      </c>
      <c r="L127" s="8">
        <v>254</v>
      </c>
      <c r="M127" s="8">
        <v>309</v>
      </c>
      <c r="N127" s="8">
        <v>460</v>
      </c>
      <c r="O127" s="9">
        <f t="shared" si="1"/>
        <v>0.12307468759081662</v>
      </c>
      <c r="P127" s="6" t="s">
        <v>66</v>
      </c>
    </row>
    <row r="128" spans="1:16" x14ac:dyDescent="0.25">
      <c r="A128" s="2" t="s">
        <v>325</v>
      </c>
      <c r="B128" s="2" t="s">
        <v>326</v>
      </c>
      <c r="C128" s="2" t="s">
        <v>32</v>
      </c>
      <c r="D128" s="3" t="s">
        <v>121</v>
      </c>
      <c r="E128" s="3" t="s">
        <v>34</v>
      </c>
      <c r="F128" s="2" t="s">
        <v>51</v>
      </c>
      <c r="G128" s="4">
        <v>687780</v>
      </c>
      <c r="H128" s="4">
        <v>101530</v>
      </c>
      <c r="I128" s="4">
        <v>79850</v>
      </c>
      <c r="J128" s="4">
        <v>2806</v>
      </c>
      <c r="K128" s="4">
        <v>496</v>
      </c>
      <c r="L128" s="4">
        <v>360</v>
      </c>
      <c r="M128" s="4">
        <v>48</v>
      </c>
      <c r="N128" s="4">
        <v>576</v>
      </c>
      <c r="O128" s="5">
        <f t="shared" si="1"/>
        <v>4.6462116468378209E-2</v>
      </c>
      <c r="P128" s="2" t="s">
        <v>22</v>
      </c>
    </row>
    <row r="129" spans="1:16" x14ac:dyDescent="0.25">
      <c r="A129" s="6" t="s">
        <v>327</v>
      </c>
      <c r="B129" s="6" t="s">
        <v>328</v>
      </c>
      <c r="C129" s="6" t="s">
        <v>43</v>
      </c>
      <c r="D129" s="7" t="s">
        <v>69</v>
      </c>
      <c r="E129" s="7" t="s">
        <v>20</v>
      </c>
      <c r="F129" s="6" t="s">
        <v>70</v>
      </c>
      <c r="G129" s="8">
        <v>485500</v>
      </c>
      <c r="H129" s="8">
        <v>115121</v>
      </c>
      <c r="I129" s="8">
        <v>99971</v>
      </c>
      <c r="J129" s="8">
        <v>2524</v>
      </c>
      <c r="K129" s="8">
        <v>325</v>
      </c>
      <c r="L129" s="8">
        <v>252</v>
      </c>
      <c r="M129" s="8">
        <v>1</v>
      </c>
      <c r="N129" s="8">
        <v>1406</v>
      </c>
      <c r="O129" s="9">
        <f t="shared" si="1"/>
        <v>3.1028998409538766E-2</v>
      </c>
      <c r="P129" s="6" t="s">
        <v>22</v>
      </c>
    </row>
    <row r="130" spans="1:16" x14ac:dyDescent="0.25">
      <c r="A130" s="2" t="s">
        <v>329</v>
      </c>
      <c r="B130" s="2" t="s">
        <v>330</v>
      </c>
      <c r="C130" s="2" t="s">
        <v>76</v>
      </c>
      <c r="D130" s="3" t="s">
        <v>86</v>
      </c>
      <c r="E130" s="3" t="s">
        <v>45</v>
      </c>
      <c r="F130" s="2" t="s">
        <v>87</v>
      </c>
      <c r="G130" s="4">
        <v>424305</v>
      </c>
      <c r="H130" s="4">
        <v>164487</v>
      </c>
      <c r="I130" s="4">
        <v>146396</v>
      </c>
      <c r="J130" s="4">
        <v>3846</v>
      </c>
      <c r="K130" s="4">
        <v>406</v>
      </c>
      <c r="L130" s="4">
        <v>221</v>
      </c>
      <c r="M130" s="4">
        <v>819</v>
      </c>
      <c r="N130" s="4">
        <v>4432</v>
      </c>
      <c r="O130" s="5">
        <f t="shared" ref="O130:O193" si="2">IF(I130&gt;0, (J130+K130+L130+M130)/I130, 0)</f>
        <v>3.6148528648323727E-2</v>
      </c>
      <c r="P130" s="2" t="s">
        <v>22</v>
      </c>
    </row>
    <row r="131" spans="1:16" x14ac:dyDescent="0.25">
      <c r="A131" s="6" t="s">
        <v>331</v>
      </c>
      <c r="B131" s="6" t="s">
        <v>332</v>
      </c>
      <c r="C131" s="6" t="s">
        <v>25</v>
      </c>
      <c r="D131" s="7" t="s">
        <v>244</v>
      </c>
      <c r="E131" s="7" t="s">
        <v>20</v>
      </c>
      <c r="F131" s="6" t="s">
        <v>146</v>
      </c>
      <c r="G131" s="8">
        <v>436149</v>
      </c>
      <c r="H131" s="8">
        <v>50046</v>
      </c>
      <c r="I131" s="8">
        <v>44717</v>
      </c>
      <c r="J131" s="8">
        <v>3738</v>
      </c>
      <c r="K131" s="8">
        <v>463</v>
      </c>
      <c r="L131" s="8">
        <v>282</v>
      </c>
      <c r="M131" s="8">
        <v>557</v>
      </c>
      <c r="N131" s="8">
        <v>1710</v>
      </c>
      <c r="O131" s="9">
        <f t="shared" si="2"/>
        <v>0.1127088132030324</v>
      </c>
      <c r="P131" s="6" t="s">
        <v>66</v>
      </c>
    </row>
    <row r="132" spans="1:16" x14ac:dyDescent="0.25">
      <c r="A132" s="2" t="s">
        <v>333</v>
      </c>
      <c r="B132" s="2" t="s">
        <v>334</v>
      </c>
      <c r="C132" s="2" t="s">
        <v>18</v>
      </c>
      <c r="D132" s="3" t="s">
        <v>57</v>
      </c>
      <c r="E132" s="3" t="s">
        <v>39</v>
      </c>
      <c r="F132" s="2" t="s">
        <v>21</v>
      </c>
      <c r="G132" s="4">
        <v>316955</v>
      </c>
      <c r="H132" s="4">
        <v>161652</v>
      </c>
      <c r="I132" s="4">
        <v>121726</v>
      </c>
      <c r="J132" s="4">
        <v>5418</v>
      </c>
      <c r="K132" s="4">
        <v>859</v>
      </c>
      <c r="L132" s="4">
        <v>210</v>
      </c>
      <c r="M132" s="4">
        <v>772</v>
      </c>
      <c r="N132" s="4">
        <v>1087</v>
      </c>
      <c r="O132" s="5">
        <f t="shared" si="2"/>
        <v>5.9633931945516978E-2</v>
      </c>
      <c r="P132" s="2" t="s">
        <v>22</v>
      </c>
    </row>
    <row r="133" spans="1:16" x14ac:dyDescent="0.25">
      <c r="A133" s="6" t="s">
        <v>335</v>
      </c>
      <c r="B133" s="6" t="s">
        <v>336</v>
      </c>
      <c r="C133" s="6" t="s">
        <v>32</v>
      </c>
      <c r="D133" s="7" t="s">
        <v>49</v>
      </c>
      <c r="E133" s="7" t="s">
        <v>50</v>
      </c>
      <c r="F133" s="6" t="s">
        <v>51</v>
      </c>
      <c r="G133" s="8">
        <v>348805</v>
      </c>
      <c r="H133" s="8">
        <v>211260</v>
      </c>
      <c r="I133" s="8">
        <v>152179</v>
      </c>
      <c r="J133" s="8">
        <v>13409</v>
      </c>
      <c r="K133" s="8">
        <v>785</v>
      </c>
      <c r="L133" s="8">
        <v>736</v>
      </c>
      <c r="M133" s="8">
        <v>43</v>
      </c>
      <c r="N133" s="8">
        <v>4890</v>
      </c>
      <c r="O133" s="9">
        <f t="shared" si="2"/>
        <v>9.8390710939091464E-2</v>
      </c>
      <c r="P133" s="6" t="s">
        <v>22</v>
      </c>
    </row>
    <row r="134" spans="1:16" x14ac:dyDescent="0.25">
      <c r="A134" s="2" t="s">
        <v>337</v>
      </c>
      <c r="B134" s="2" t="s">
        <v>338</v>
      </c>
      <c r="C134" s="2" t="s">
        <v>43</v>
      </c>
      <c r="D134" s="3" t="s">
        <v>172</v>
      </c>
      <c r="E134" s="3" t="s">
        <v>20</v>
      </c>
      <c r="F134" s="2" t="s">
        <v>46</v>
      </c>
      <c r="G134" s="4">
        <v>221536</v>
      </c>
      <c r="H134" s="4">
        <v>59768</v>
      </c>
      <c r="I134" s="4">
        <v>44622</v>
      </c>
      <c r="J134" s="4">
        <v>1876</v>
      </c>
      <c r="K134" s="4">
        <v>264</v>
      </c>
      <c r="L134" s="4">
        <v>219</v>
      </c>
      <c r="M134" s="4">
        <v>48</v>
      </c>
      <c r="N134" s="4">
        <v>1157</v>
      </c>
      <c r="O134" s="5">
        <f t="shared" si="2"/>
        <v>5.3942001703195734E-2</v>
      </c>
      <c r="P134" s="2" t="s">
        <v>22</v>
      </c>
    </row>
    <row r="135" spans="1:16" x14ac:dyDescent="0.25">
      <c r="A135" s="6" t="s">
        <v>339</v>
      </c>
      <c r="B135" s="6" t="s">
        <v>340</v>
      </c>
      <c r="C135" s="6" t="s">
        <v>25</v>
      </c>
      <c r="D135" s="7" t="s">
        <v>61</v>
      </c>
      <c r="E135" s="7" t="s">
        <v>50</v>
      </c>
      <c r="F135" s="6" t="s">
        <v>28</v>
      </c>
      <c r="G135" s="8">
        <v>401652</v>
      </c>
      <c r="H135" s="8">
        <v>180651</v>
      </c>
      <c r="I135" s="8">
        <v>136851</v>
      </c>
      <c r="J135" s="8">
        <v>9171</v>
      </c>
      <c r="K135" s="8">
        <v>959</v>
      </c>
      <c r="L135" s="8">
        <v>300</v>
      </c>
      <c r="M135" s="8">
        <v>2258</v>
      </c>
      <c r="N135" s="8">
        <v>3447</v>
      </c>
      <c r="O135" s="9">
        <f t="shared" si="2"/>
        <v>9.2713973591716542E-2</v>
      </c>
      <c r="P135" s="6" t="s">
        <v>29</v>
      </c>
    </row>
    <row r="136" spans="1:16" x14ac:dyDescent="0.25">
      <c r="A136" s="2" t="s">
        <v>341</v>
      </c>
      <c r="B136" s="2" t="s">
        <v>342</v>
      </c>
      <c r="C136" s="2" t="s">
        <v>76</v>
      </c>
      <c r="D136" s="3" t="s">
        <v>189</v>
      </c>
      <c r="E136" s="3" t="s">
        <v>20</v>
      </c>
      <c r="F136" s="2" t="s">
        <v>155</v>
      </c>
      <c r="G136" s="4">
        <v>19507</v>
      </c>
      <c r="H136" s="4">
        <v>11954</v>
      </c>
      <c r="I136" s="4">
        <v>10261</v>
      </c>
      <c r="J136" s="4">
        <v>450</v>
      </c>
      <c r="K136" s="4">
        <v>26</v>
      </c>
      <c r="L136" s="4">
        <v>22</v>
      </c>
      <c r="M136" s="4">
        <v>73</v>
      </c>
      <c r="N136" s="4">
        <v>147</v>
      </c>
      <c r="O136" s="5">
        <f t="shared" si="2"/>
        <v>5.5647597700029236E-2</v>
      </c>
      <c r="P136" s="2" t="s">
        <v>22</v>
      </c>
    </row>
    <row r="137" spans="1:16" x14ac:dyDescent="0.25">
      <c r="A137" s="6" t="s">
        <v>343</v>
      </c>
      <c r="B137" s="6" t="s">
        <v>344</v>
      </c>
      <c r="C137" s="6" t="s">
        <v>32</v>
      </c>
      <c r="D137" s="7" t="s">
        <v>121</v>
      </c>
      <c r="E137" s="7" t="s">
        <v>39</v>
      </c>
      <c r="F137" s="6" t="s">
        <v>51</v>
      </c>
      <c r="G137" s="8">
        <v>770867</v>
      </c>
      <c r="H137" s="8">
        <v>136043</v>
      </c>
      <c r="I137" s="8">
        <v>111587</v>
      </c>
      <c r="J137" s="8">
        <v>4223</v>
      </c>
      <c r="K137" s="8">
        <v>690</v>
      </c>
      <c r="L137" s="8">
        <v>628</v>
      </c>
      <c r="M137" s="8">
        <v>3</v>
      </c>
      <c r="N137" s="8">
        <v>2818</v>
      </c>
      <c r="O137" s="9">
        <f t="shared" si="2"/>
        <v>4.968320682516781E-2</v>
      </c>
      <c r="P137" s="6" t="s">
        <v>29</v>
      </c>
    </row>
    <row r="138" spans="1:16" x14ac:dyDescent="0.25">
      <c r="A138" s="2" t="s">
        <v>345</v>
      </c>
      <c r="B138" s="2" t="s">
        <v>346</v>
      </c>
      <c r="C138" s="2" t="s">
        <v>76</v>
      </c>
      <c r="D138" s="3" t="s">
        <v>182</v>
      </c>
      <c r="E138" s="3" t="s">
        <v>20</v>
      </c>
      <c r="F138" s="2" t="s">
        <v>155</v>
      </c>
      <c r="G138" s="4">
        <v>73769</v>
      </c>
      <c r="H138" s="4">
        <v>6285</v>
      </c>
      <c r="I138" s="4">
        <v>5030</v>
      </c>
      <c r="J138" s="4">
        <v>148</v>
      </c>
      <c r="K138" s="4">
        <v>18</v>
      </c>
      <c r="L138" s="4">
        <v>20</v>
      </c>
      <c r="M138" s="4">
        <v>34</v>
      </c>
      <c r="N138" s="4">
        <v>155</v>
      </c>
      <c r="O138" s="5">
        <f t="shared" si="2"/>
        <v>4.37375745526839E-2</v>
      </c>
      <c r="P138" s="2" t="s">
        <v>22</v>
      </c>
    </row>
    <row r="139" spans="1:16" x14ac:dyDescent="0.25">
      <c r="A139" s="6" t="s">
        <v>347</v>
      </c>
      <c r="B139" s="6" t="s">
        <v>348</v>
      </c>
      <c r="C139" s="6" t="s">
        <v>76</v>
      </c>
      <c r="D139" s="7" t="s">
        <v>189</v>
      </c>
      <c r="E139" s="7" t="s">
        <v>45</v>
      </c>
      <c r="F139" s="6" t="s">
        <v>78</v>
      </c>
      <c r="G139" s="8">
        <v>564262</v>
      </c>
      <c r="H139" s="8">
        <v>50654</v>
      </c>
      <c r="I139" s="8">
        <v>43234</v>
      </c>
      <c r="J139" s="8">
        <v>2321</v>
      </c>
      <c r="K139" s="8">
        <v>396</v>
      </c>
      <c r="L139" s="8">
        <v>100</v>
      </c>
      <c r="M139" s="8">
        <v>542</v>
      </c>
      <c r="N139" s="8">
        <v>1050</v>
      </c>
      <c r="O139" s="9">
        <f t="shared" si="2"/>
        <v>7.7693481981773602E-2</v>
      </c>
      <c r="P139" s="6" t="s">
        <v>22</v>
      </c>
    </row>
    <row r="140" spans="1:16" x14ac:dyDescent="0.25">
      <c r="A140" s="2" t="s">
        <v>349</v>
      </c>
      <c r="B140" s="2" t="s">
        <v>350</v>
      </c>
      <c r="C140" s="2" t="s">
        <v>18</v>
      </c>
      <c r="D140" s="3" t="s">
        <v>231</v>
      </c>
      <c r="E140" s="3" t="s">
        <v>39</v>
      </c>
      <c r="F140" s="2" t="s">
        <v>21</v>
      </c>
      <c r="G140" s="4">
        <v>393672</v>
      </c>
      <c r="H140" s="4">
        <v>134489</v>
      </c>
      <c r="I140" s="4">
        <v>123440</v>
      </c>
      <c r="J140" s="4">
        <v>4512</v>
      </c>
      <c r="K140" s="4">
        <v>598</v>
      </c>
      <c r="L140" s="4">
        <v>587</v>
      </c>
      <c r="M140" s="4">
        <v>815</v>
      </c>
      <c r="N140" s="4">
        <v>4135</v>
      </c>
      <c r="O140" s="5">
        <f t="shared" si="2"/>
        <v>5.2754374594944912E-2</v>
      </c>
      <c r="P140" s="2" t="s">
        <v>29</v>
      </c>
    </row>
    <row r="141" spans="1:16" x14ac:dyDescent="0.25">
      <c r="A141" s="6" t="s">
        <v>351</v>
      </c>
      <c r="B141" s="6" t="s">
        <v>352</v>
      </c>
      <c r="C141" s="6" t="s">
        <v>43</v>
      </c>
      <c r="D141" s="7" t="s">
        <v>69</v>
      </c>
      <c r="E141" s="7" t="s">
        <v>34</v>
      </c>
      <c r="F141" s="6" t="s">
        <v>107</v>
      </c>
      <c r="G141" s="8">
        <v>12409</v>
      </c>
      <c r="H141" s="8">
        <v>1577</v>
      </c>
      <c r="I141" s="8">
        <v>1327</v>
      </c>
      <c r="J141" s="8">
        <v>62</v>
      </c>
      <c r="K141" s="8">
        <v>10</v>
      </c>
      <c r="L141" s="8">
        <v>9</v>
      </c>
      <c r="M141" s="8">
        <v>33</v>
      </c>
      <c r="N141" s="8">
        <v>51</v>
      </c>
      <c r="O141" s="9">
        <f t="shared" si="2"/>
        <v>8.5908063300678225E-2</v>
      </c>
      <c r="P141" s="6" t="s">
        <v>22</v>
      </c>
    </row>
    <row r="142" spans="1:16" x14ac:dyDescent="0.25">
      <c r="A142" s="2" t="s">
        <v>353</v>
      </c>
      <c r="B142" s="2" t="s">
        <v>354</v>
      </c>
      <c r="C142" s="2" t="s">
        <v>32</v>
      </c>
      <c r="D142" s="3" t="s">
        <v>38</v>
      </c>
      <c r="E142" s="3" t="s">
        <v>34</v>
      </c>
      <c r="F142" s="2" t="s">
        <v>128</v>
      </c>
      <c r="G142" s="4">
        <v>720175</v>
      </c>
      <c r="H142" s="4">
        <v>426781</v>
      </c>
      <c r="I142" s="4">
        <v>360537</v>
      </c>
      <c r="J142" s="4">
        <v>13128</v>
      </c>
      <c r="K142" s="4">
        <v>2068</v>
      </c>
      <c r="L142" s="4">
        <v>289</v>
      </c>
      <c r="M142" s="4">
        <v>13</v>
      </c>
      <c r="N142" s="4">
        <v>9649</v>
      </c>
      <c r="O142" s="5">
        <f t="shared" si="2"/>
        <v>4.2985879396566791E-2</v>
      </c>
      <c r="P142" s="2" t="s">
        <v>29</v>
      </c>
    </row>
    <row r="143" spans="1:16" x14ac:dyDescent="0.25">
      <c r="A143" s="6" t="s">
        <v>355</v>
      </c>
      <c r="B143" s="6" t="s">
        <v>356</v>
      </c>
      <c r="C143" s="6" t="s">
        <v>18</v>
      </c>
      <c r="D143" s="7" t="s">
        <v>19</v>
      </c>
      <c r="E143" s="7" t="s">
        <v>27</v>
      </c>
      <c r="F143" s="6" t="s">
        <v>21</v>
      </c>
      <c r="G143" s="8">
        <v>596723</v>
      </c>
      <c r="H143" s="8">
        <v>180102</v>
      </c>
      <c r="I143" s="8">
        <v>139215</v>
      </c>
      <c r="J143" s="8">
        <v>11767</v>
      </c>
      <c r="K143" s="8">
        <v>600</v>
      </c>
      <c r="L143" s="8">
        <v>1747</v>
      </c>
      <c r="M143" s="8">
        <v>2292</v>
      </c>
      <c r="N143" s="8">
        <v>3606</v>
      </c>
      <c r="O143" s="9">
        <f t="shared" si="2"/>
        <v>0.11784649642639083</v>
      </c>
      <c r="P143" s="6" t="s">
        <v>66</v>
      </c>
    </row>
    <row r="144" spans="1:16" x14ac:dyDescent="0.25">
      <c r="A144" s="2" t="s">
        <v>357</v>
      </c>
      <c r="B144" s="2" t="s">
        <v>358</v>
      </c>
      <c r="C144" s="2" t="s">
        <v>76</v>
      </c>
      <c r="D144" s="3" t="s">
        <v>103</v>
      </c>
      <c r="E144" s="3" t="s">
        <v>27</v>
      </c>
      <c r="F144" s="2" t="s">
        <v>104</v>
      </c>
      <c r="G144" s="4">
        <v>813631</v>
      </c>
      <c r="H144" s="4">
        <v>359177</v>
      </c>
      <c r="I144" s="4">
        <v>329856</v>
      </c>
      <c r="J144" s="4">
        <v>17756</v>
      </c>
      <c r="K144" s="4">
        <v>1480</v>
      </c>
      <c r="L144" s="4">
        <v>2527</v>
      </c>
      <c r="M144" s="4">
        <v>2421</v>
      </c>
      <c r="N144" s="4">
        <v>9119</v>
      </c>
      <c r="O144" s="5">
        <f t="shared" si="2"/>
        <v>7.3316841288319751E-2</v>
      </c>
      <c r="P144" s="2" t="s">
        <v>29</v>
      </c>
    </row>
    <row r="145" spans="1:16" x14ac:dyDescent="0.25">
      <c r="A145" s="6" t="s">
        <v>359</v>
      </c>
      <c r="B145" s="6" t="s">
        <v>360</v>
      </c>
      <c r="C145" s="6" t="s">
        <v>25</v>
      </c>
      <c r="D145" s="7" t="s">
        <v>145</v>
      </c>
      <c r="E145" s="7" t="s">
        <v>34</v>
      </c>
      <c r="F145" s="6" t="s">
        <v>28</v>
      </c>
      <c r="G145" s="8">
        <v>164212</v>
      </c>
      <c r="H145" s="8">
        <v>86509</v>
      </c>
      <c r="I145" s="8">
        <v>74633</v>
      </c>
      <c r="J145" s="8">
        <v>3373</v>
      </c>
      <c r="K145" s="8">
        <v>155</v>
      </c>
      <c r="L145" s="8">
        <v>69</v>
      </c>
      <c r="M145" s="8">
        <v>376</v>
      </c>
      <c r="N145" s="8">
        <v>1366</v>
      </c>
      <c r="O145" s="9">
        <f t="shared" si="2"/>
        <v>5.3233824179652431E-2</v>
      </c>
      <c r="P145" s="6" t="s">
        <v>22</v>
      </c>
    </row>
    <row r="146" spans="1:16" x14ac:dyDescent="0.25">
      <c r="A146" s="2" t="s">
        <v>361</v>
      </c>
      <c r="B146" s="2" t="s">
        <v>362</v>
      </c>
      <c r="C146" s="2" t="s">
        <v>32</v>
      </c>
      <c r="D146" s="3" t="s">
        <v>33</v>
      </c>
      <c r="E146" s="3" t="s">
        <v>27</v>
      </c>
      <c r="F146" s="2" t="s">
        <v>35</v>
      </c>
      <c r="G146" s="4">
        <v>110810</v>
      </c>
      <c r="H146" s="4">
        <v>342692</v>
      </c>
      <c r="I146" s="4">
        <v>284887</v>
      </c>
      <c r="J146" s="4">
        <v>22983</v>
      </c>
      <c r="K146" s="4">
        <v>3667</v>
      </c>
      <c r="L146" s="4">
        <v>496</v>
      </c>
      <c r="M146" s="4">
        <v>26</v>
      </c>
      <c r="N146" s="4">
        <v>5700</v>
      </c>
      <c r="O146" s="5">
        <f t="shared" si="2"/>
        <v>9.5378167483949783E-2</v>
      </c>
      <c r="P146" s="2" t="s">
        <v>22</v>
      </c>
    </row>
    <row r="147" spans="1:16" x14ac:dyDescent="0.25">
      <c r="A147" s="6" t="s">
        <v>363</v>
      </c>
      <c r="B147" s="6" t="s">
        <v>364</v>
      </c>
      <c r="C147" s="6" t="s">
        <v>43</v>
      </c>
      <c r="D147" s="7" t="s">
        <v>172</v>
      </c>
      <c r="E147" s="7" t="s">
        <v>20</v>
      </c>
      <c r="F147" s="6" t="s">
        <v>107</v>
      </c>
      <c r="G147" s="8">
        <v>401726</v>
      </c>
      <c r="H147" s="8">
        <v>93716</v>
      </c>
      <c r="I147" s="8">
        <v>75768</v>
      </c>
      <c r="J147" s="8">
        <v>2230</v>
      </c>
      <c r="K147" s="8">
        <v>212</v>
      </c>
      <c r="L147" s="8">
        <v>166</v>
      </c>
      <c r="M147" s="8">
        <v>30</v>
      </c>
      <c r="N147" s="8">
        <v>2669</v>
      </c>
      <c r="O147" s="9">
        <f t="shared" si="2"/>
        <v>3.4816809207053108E-2</v>
      </c>
      <c r="P147" s="6" t="s">
        <v>22</v>
      </c>
    </row>
    <row r="148" spans="1:16" x14ac:dyDescent="0.25">
      <c r="A148" s="2" t="s">
        <v>365</v>
      </c>
      <c r="B148" s="2" t="s">
        <v>366</v>
      </c>
      <c r="C148" s="2" t="s">
        <v>43</v>
      </c>
      <c r="D148" s="3" t="s">
        <v>172</v>
      </c>
      <c r="E148" s="3" t="s">
        <v>20</v>
      </c>
      <c r="F148" s="2" t="s">
        <v>46</v>
      </c>
      <c r="G148" s="4">
        <v>114668</v>
      </c>
      <c r="H148" s="4">
        <v>9615</v>
      </c>
      <c r="I148" s="4">
        <v>7433</v>
      </c>
      <c r="J148" s="4">
        <v>550</v>
      </c>
      <c r="K148" s="4">
        <v>82</v>
      </c>
      <c r="L148" s="4">
        <v>34</v>
      </c>
      <c r="M148" s="4">
        <v>21</v>
      </c>
      <c r="N148" s="4">
        <v>172</v>
      </c>
      <c r="O148" s="5">
        <f t="shared" si="2"/>
        <v>9.242566931252523E-2</v>
      </c>
      <c r="P148" s="2" t="s">
        <v>29</v>
      </c>
    </row>
    <row r="149" spans="1:16" x14ac:dyDescent="0.25">
      <c r="A149" s="6" t="s">
        <v>367</v>
      </c>
      <c r="B149" s="6" t="s">
        <v>368</v>
      </c>
      <c r="C149" s="6" t="s">
        <v>18</v>
      </c>
      <c r="D149" s="7" t="s">
        <v>92</v>
      </c>
      <c r="E149" s="7" t="s">
        <v>45</v>
      </c>
      <c r="F149" s="6" t="s">
        <v>21</v>
      </c>
      <c r="G149" s="8">
        <v>504778</v>
      </c>
      <c r="H149" s="8">
        <v>317912</v>
      </c>
      <c r="I149" s="8">
        <v>242922</v>
      </c>
      <c r="J149" s="8">
        <v>19614</v>
      </c>
      <c r="K149" s="8">
        <v>2033</v>
      </c>
      <c r="L149" s="8">
        <v>1860</v>
      </c>
      <c r="M149" s="8">
        <v>1931</v>
      </c>
      <c r="N149" s="8">
        <v>5176</v>
      </c>
      <c r="O149" s="9">
        <f t="shared" si="2"/>
        <v>0.10471674035287047</v>
      </c>
      <c r="P149" s="6" t="s">
        <v>29</v>
      </c>
    </row>
    <row r="150" spans="1:16" x14ac:dyDescent="0.25">
      <c r="A150" s="2" t="s">
        <v>369</v>
      </c>
      <c r="B150" s="2" t="s">
        <v>370</v>
      </c>
      <c r="C150" s="2" t="s">
        <v>43</v>
      </c>
      <c r="D150" s="3" t="s">
        <v>44</v>
      </c>
      <c r="E150" s="3" t="s">
        <v>27</v>
      </c>
      <c r="F150" s="2" t="s">
        <v>107</v>
      </c>
      <c r="G150" s="4">
        <v>191167</v>
      </c>
      <c r="H150" s="4">
        <v>75235</v>
      </c>
      <c r="I150" s="4">
        <v>60305</v>
      </c>
      <c r="J150" s="4">
        <v>4702</v>
      </c>
      <c r="K150" s="4">
        <v>450</v>
      </c>
      <c r="L150" s="4">
        <v>272</v>
      </c>
      <c r="M150" s="4">
        <v>44</v>
      </c>
      <c r="N150" s="4">
        <v>532</v>
      </c>
      <c r="O150" s="5">
        <f t="shared" si="2"/>
        <v>9.0672415222618361E-2</v>
      </c>
      <c r="P150" s="2" t="s">
        <v>29</v>
      </c>
    </row>
    <row r="151" spans="1:16" x14ac:dyDescent="0.25">
      <c r="A151" s="6" t="s">
        <v>371</v>
      </c>
      <c r="B151" s="6" t="s">
        <v>372</v>
      </c>
      <c r="C151" s="6" t="s">
        <v>25</v>
      </c>
      <c r="D151" s="7" t="s">
        <v>244</v>
      </c>
      <c r="E151" s="7" t="s">
        <v>20</v>
      </c>
      <c r="F151" s="6" t="s">
        <v>28</v>
      </c>
      <c r="G151" s="8">
        <v>693158</v>
      </c>
      <c r="H151" s="8">
        <v>222630</v>
      </c>
      <c r="I151" s="8">
        <v>159463</v>
      </c>
      <c r="J151" s="8">
        <v>17686</v>
      </c>
      <c r="K151" s="8">
        <v>1801</v>
      </c>
      <c r="L151" s="8">
        <v>1275</v>
      </c>
      <c r="M151" s="8">
        <v>2676</v>
      </c>
      <c r="N151" s="8">
        <v>7260</v>
      </c>
      <c r="O151" s="9">
        <f t="shared" si="2"/>
        <v>0.14698080432451416</v>
      </c>
      <c r="P151" s="6" t="s">
        <v>29</v>
      </c>
    </row>
    <row r="152" spans="1:16" x14ac:dyDescent="0.25">
      <c r="A152" s="2" t="s">
        <v>373</v>
      </c>
      <c r="B152" s="2" t="s">
        <v>374</v>
      </c>
      <c r="C152" s="2" t="s">
        <v>43</v>
      </c>
      <c r="D152" s="3" t="s">
        <v>172</v>
      </c>
      <c r="E152" s="3" t="s">
        <v>45</v>
      </c>
      <c r="F152" s="2" t="s">
        <v>70</v>
      </c>
      <c r="G152" s="4">
        <v>117182</v>
      </c>
      <c r="H152" s="4">
        <v>53298</v>
      </c>
      <c r="I152" s="4">
        <v>39259</v>
      </c>
      <c r="J152" s="4">
        <v>3025</v>
      </c>
      <c r="K152" s="4">
        <v>346</v>
      </c>
      <c r="L152" s="4">
        <v>314</v>
      </c>
      <c r="M152" s="4">
        <v>41</v>
      </c>
      <c r="N152" s="4">
        <v>905</v>
      </c>
      <c r="O152" s="5">
        <f t="shared" si="2"/>
        <v>9.4908173921903261E-2</v>
      </c>
      <c r="P152" s="2" t="s">
        <v>29</v>
      </c>
    </row>
    <row r="153" spans="1:16" x14ac:dyDescent="0.25">
      <c r="A153" s="6" t="s">
        <v>375</v>
      </c>
      <c r="B153" s="6" t="s">
        <v>376</v>
      </c>
      <c r="C153" s="6" t="s">
        <v>76</v>
      </c>
      <c r="D153" s="7" t="s">
        <v>103</v>
      </c>
      <c r="E153" s="7" t="s">
        <v>20</v>
      </c>
      <c r="F153" s="6" t="s">
        <v>155</v>
      </c>
      <c r="G153" s="8">
        <v>469932</v>
      </c>
      <c r="H153" s="8">
        <v>161631</v>
      </c>
      <c r="I153" s="8">
        <v>134071</v>
      </c>
      <c r="J153" s="8">
        <v>8086</v>
      </c>
      <c r="K153" s="8">
        <v>660</v>
      </c>
      <c r="L153" s="8">
        <v>187</v>
      </c>
      <c r="M153" s="8">
        <v>573</v>
      </c>
      <c r="N153" s="8">
        <v>2825</v>
      </c>
      <c r="O153" s="9">
        <f t="shared" si="2"/>
        <v>7.0902730642719153E-2</v>
      </c>
      <c r="P153" s="6" t="s">
        <v>66</v>
      </c>
    </row>
    <row r="154" spans="1:16" x14ac:dyDescent="0.25">
      <c r="A154" s="2" t="s">
        <v>377</v>
      </c>
      <c r="B154" s="2" t="s">
        <v>378</v>
      </c>
      <c r="C154" s="2" t="s">
        <v>18</v>
      </c>
      <c r="D154" s="3" t="s">
        <v>231</v>
      </c>
      <c r="E154" s="3" t="s">
        <v>39</v>
      </c>
      <c r="F154" s="2" t="s">
        <v>21</v>
      </c>
      <c r="G154" s="4">
        <v>548928</v>
      </c>
      <c r="H154" s="4">
        <v>192900</v>
      </c>
      <c r="I154" s="4">
        <v>165669</v>
      </c>
      <c r="J154" s="4">
        <v>9094</v>
      </c>
      <c r="K154" s="4">
        <v>364</v>
      </c>
      <c r="L154" s="4">
        <v>234</v>
      </c>
      <c r="M154" s="4">
        <v>1747</v>
      </c>
      <c r="N154" s="4">
        <v>1095</v>
      </c>
      <c r="O154" s="5">
        <f t="shared" si="2"/>
        <v>6.9047317241004658E-2</v>
      </c>
      <c r="P154" s="2" t="s">
        <v>22</v>
      </c>
    </row>
    <row r="155" spans="1:16" x14ac:dyDescent="0.25">
      <c r="A155" s="6" t="s">
        <v>379</v>
      </c>
      <c r="B155" s="6" t="s">
        <v>380</v>
      </c>
      <c r="C155" s="6" t="s">
        <v>25</v>
      </c>
      <c r="D155" s="7" t="s">
        <v>61</v>
      </c>
      <c r="E155" s="7" t="s">
        <v>20</v>
      </c>
      <c r="F155" s="6" t="s">
        <v>146</v>
      </c>
      <c r="G155" s="8">
        <v>349567</v>
      </c>
      <c r="H155" s="8">
        <v>218942</v>
      </c>
      <c r="I155" s="8">
        <v>191685</v>
      </c>
      <c r="J155" s="8">
        <v>12651</v>
      </c>
      <c r="K155" s="8">
        <v>733</v>
      </c>
      <c r="L155" s="8">
        <v>1334</v>
      </c>
      <c r="M155" s="8">
        <v>1633</v>
      </c>
      <c r="N155" s="8">
        <v>5938</v>
      </c>
      <c r="O155" s="9">
        <f t="shared" si="2"/>
        <v>8.530140595247411E-2</v>
      </c>
      <c r="P155" s="6" t="s">
        <v>66</v>
      </c>
    </row>
    <row r="156" spans="1:16" x14ac:dyDescent="0.25">
      <c r="A156" s="2" t="s">
        <v>381</v>
      </c>
      <c r="B156" s="2" t="s">
        <v>382</v>
      </c>
      <c r="C156" s="2" t="s">
        <v>76</v>
      </c>
      <c r="D156" s="3" t="s">
        <v>86</v>
      </c>
      <c r="E156" s="3" t="s">
        <v>20</v>
      </c>
      <c r="F156" s="2" t="s">
        <v>78</v>
      </c>
      <c r="G156" s="4">
        <v>791370</v>
      </c>
      <c r="H156" s="4">
        <v>422373</v>
      </c>
      <c r="I156" s="4">
        <v>305116</v>
      </c>
      <c r="J156" s="4">
        <v>30545</v>
      </c>
      <c r="K156" s="4">
        <v>1772</v>
      </c>
      <c r="L156" s="4">
        <v>1905</v>
      </c>
      <c r="M156" s="4">
        <v>4322</v>
      </c>
      <c r="N156" s="4">
        <v>5436</v>
      </c>
      <c r="O156" s="5">
        <f t="shared" si="2"/>
        <v>0.12632572529791947</v>
      </c>
      <c r="P156" s="2" t="s">
        <v>29</v>
      </c>
    </row>
    <row r="157" spans="1:16" x14ac:dyDescent="0.25">
      <c r="A157" s="6" t="s">
        <v>383</v>
      </c>
      <c r="B157" s="6" t="s">
        <v>384</v>
      </c>
      <c r="C157" s="6" t="s">
        <v>32</v>
      </c>
      <c r="D157" s="7" t="s">
        <v>33</v>
      </c>
      <c r="E157" s="7" t="s">
        <v>39</v>
      </c>
      <c r="F157" s="6" t="s">
        <v>128</v>
      </c>
      <c r="G157" s="8">
        <v>367325</v>
      </c>
      <c r="H157" s="8">
        <v>125250</v>
      </c>
      <c r="I157" s="8">
        <v>110097</v>
      </c>
      <c r="J157" s="8">
        <v>7810</v>
      </c>
      <c r="K157" s="8">
        <v>582</v>
      </c>
      <c r="L157" s="8">
        <v>780</v>
      </c>
      <c r="M157" s="8">
        <v>5</v>
      </c>
      <c r="N157" s="8">
        <v>3151</v>
      </c>
      <c r="O157" s="9">
        <f t="shared" si="2"/>
        <v>8.335376985748931E-2</v>
      </c>
      <c r="P157" s="6" t="s">
        <v>22</v>
      </c>
    </row>
    <row r="158" spans="1:16" x14ac:dyDescent="0.25">
      <c r="A158" s="2" t="s">
        <v>385</v>
      </c>
      <c r="B158" s="2" t="s">
        <v>386</v>
      </c>
      <c r="C158" s="2" t="s">
        <v>18</v>
      </c>
      <c r="D158" s="3" t="s">
        <v>19</v>
      </c>
      <c r="E158" s="3" t="s">
        <v>27</v>
      </c>
      <c r="F158" s="2" t="s">
        <v>58</v>
      </c>
      <c r="G158" s="4">
        <v>441055</v>
      </c>
      <c r="H158" s="4">
        <v>179791</v>
      </c>
      <c r="I158" s="4">
        <v>133201</v>
      </c>
      <c r="J158" s="4">
        <v>10451</v>
      </c>
      <c r="K158" s="4">
        <v>1400</v>
      </c>
      <c r="L158" s="4">
        <v>1085</v>
      </c>
      <c r="M158" s="4">
        <v>2612</v>
      </c>
      <c r="N158" s="4">
        <v>3892</v>
      </c>
      <c r="O158" s="5">
        <f t="shared" si="2"/>
        <v>0.11672585040652848</v>
      </c>
      <c r="P158" s="2" t="s">
        <v>22</v>
      </c>
    </row>
    <row r="159" spans="1:16" x14ac:dyDescent="0.25">
      <c r="A159" s="6" t="s">
        <v>387</v>
      </c>
      <c r="B159" s="6" t="s">
        <v>388</v>
      </c>
      <c r="C159" s="6" t="s">
        <v>32</v>
      </c>
      <c r="D159" s="7" t="s">
        <v>33</v>
      </c>
      <c r="E159" s="7" t="s">
        <v>34</v>
      </c>
      <c r="F159" s="6" t="s">
        <v>40</v>
      </c>
      <c r="G159" s="8">
        <v>12548</v>
      </c>
      <c r="H159" s="8">
        <v>2399</v>
      </c>
      <c r="I159" s="8">
        <v>2187</v>
      </c>
      <c r="J159" s="8">
        <v>120</v>
      </c>
      <c r="K159" s="8">
        <v>12</v>
      </c>
      <c r="L159" s="8">
        <v>13</v>
      </c>
      <c r="M159" s="8">
        <v>26</v>
      </c>
      <c r="N159" s="8">
        <v>63</v>
      </c>
      <c r="O159" s="9">
        <f t="shared" si="2"/>
        <v>7.8189300411522639E-2</v>
      </c>
      <c r="P159" s="6" t="s">
        <v>22</v>
      </c>
    </row>
    <row r="160" spans="1:16" x14ac:dyDescent="0.25">
      <c r="A160" s="2" t="s">
        <v>389</v>
      </c>
      <c r="B160" s="2" t="s">
        <v>390</v>
      </c>
      <c r="C160" s="2" t="s">
        <v>25</v>
      </c>
      <c r="D160" s="3" t="s">
        <v>244</v>
      </c>
      <c r="E160" s="3" t="s">
        <v>34</v>
      </c>
      <c r="F160" s="2" t="s">
        <v>28</v>
      </c>
      <c r="G160" s="4">
        <v>238265</v>
      </c>
      <c r="H160" s="4">
        <v>41905</v>
      </c>
      <c r="I160" s="4">
        <v>34548</v>
      </c>
      <c r="J160" s="4">
        <v>2780</v>
      </c>
      <c r="K160" s="4">
        <v>289</v>
      </c>
      <c r="L160" s="4">
        <v>240</v>
      </c>
      <c r="M160" s="4">
        <v>457</v>
      </c>
      <c r="N160" s="4">
        <v>546</v>
      </c>
      <c r="O160" s="5">
        <f t="shared" si="2"/>
        <v>0.10900775732314461</v>
      </c>
      <c r="P160" s="2" t="s">
        <v>22</v>
      </c>
    </row>
    <row r="161" spans="1:16" x14ac:dyDescent="0.25">
      <c r="A161" s="6" t="s">
        <v>391</v>
      </c>
      <c r="B161" s="6" t="s">
        <v>392</v>
      </c>
      <c r="C161" s="6" t="s">
        <v>76</v>
      </c>
      <c r="D161" s="7" t="s">
        <v>182</v>
      </c>
      <c r="E161" s="7" t="s">
        <v>27</v>
      </c>
      <c r="F161" s="6" t="s">
        <v>155</v>
      </c>
      <c r="G161" s="8">
        <v>448307</v>
      </c>
      <c r="H161" s="8">
        <v>247976</v>
      </c>
      <c r="I161" s="8">
        <v>187087</v>
      </c>
      <c r="J161" s="8">
        <v>17975</v>
      </c>
      <c r="K161" s="8">
        <v>626</v>
      </c>
      <c r="L161" s="8">
        <v>973</v>
      </c>
      <c r="M161" s="8">
        <v>3998</v>
      </c>
      <c r="N161" s="8">
        <v>1886</v>
      </c>
      <c r="O161" s="9">
        <f t="shared" si="2"/>
        <v>0.12599485800723728</v>
      </c>
      <c r="P161" s="6" t="s">
        <v>29</v>
      </c>
    </row>
    <row r="162" spans="1:16" x14ac:dyDescent="0.25">
      <c r="A162" s="2" t="s">
        <v>393</v>
      </c>
      <c r="B162" s="2" t="s">
        <v>394</v>
      </c>
      <c r="C162" s="2" t="s">
        <v>43</v>
      </c>
      <c r="D162" s="3" t="s">
        <v>110</v>
      </c>
      <c r="E162" s="3" t="s">
        <v>45</v>
      </c>
      <c r="F162" s="2" t="s">
        <v>107</v>
      </c>
      <c r="G162" s="4">
        <v>666008</v>
      </c>
      <c r="H162" s="4">
        <v>287186</v>
      </c>
      <c r="I162" s="4">
        <v>214084</v>
      </c>
      <c r="J162" s="4">
        <v>9309</v>
      </c>
      <c r="K162" s="4">
        <v>362</v>
      </c>
      <c r="L162" s="4">
        <v>610</v>
      </c>
      <c r="M162" s="4">
        <v>17</v>
      </c>
      <c r="N162" s="4">
        <v>6578</v>
      </c>
      <c r="O162" s="5">
        <f t="shared" si="2"/>
        <v>4.8102613927243514E-2</v>
      </c>
      <c r="P162" s="2" t="s">
        <v>22</v>
      </c>
    </row>
    <row r="163" spans="1:16" x14ac:dyDescent="0.25">
      <c r="A163" s="6" t="s">
        <v>395</v>
      </c>
      <c r="B163" s="6" t="s">
        <v>396</v>
      </c>
      <c r="C163" s="6" t="s">
        <v>18</v>
      </c>
      <c r="D163" s="7" t="s">
        <v>92</v>
      </c>
      <c r="E163" s="7" t="s">
        <v>45</v>
      </c>
      <c r="F163" s="6" t="s">
        <v>21</v>
      </c>
      <c r="G163" s="8">
        <v>144675</v>
      </c>
      <c r="H163" s="8">
        <v>76365</v>
      </c>
      <c r="I163" s="8">
        <v>70129</v>
      </c>
      <c r="J163" s="8">
        <v>5500</v>
      </c>
      <c r="K163" s="8">
        <v>269</v>
      </c>
      <c r="L163" s="8">
        <v>729</v>
      </c>
      <c r="M163" s="8">
        <v>549</v>
      </c>
      <c r="N163" s="8">
        <v>2011</v>
      </c>
      <c r="O163" s="9">
        <f t="shared" si="2"/>
        <v>0.10048624677380256</v>
      </c>
      <c r="P163" s="6" t="s">
        <v>29</v>
      </c>
    </row>
    <row r="164" spans="1:16" x14ac:dyDescent="0.25">
      <c r="A164" s="2" t="s">
        <v>397</v>
      </c>
      <c r="B164" s="2" t="s">
        <v>398</v>
      </c>
      <c r="C164" s="2" t="s">
        <v>25</v>
      </c>
      <c r="D164" s="3" t="s">
        <v>61</v>
      </c>
      <c r="E164" s="3" t="s">
        <v>45</v>
      </c>
      <c r="F164" s="2" t="s">
        <v>28</v>
      </c>
      <c r="G164" s="4">
        <v>660809</v>
      </c>
      <c r="H164" s="4">
        <v>223112</v>
      </c>
      <c r="I164" s="4">
        <v>195180</v>
      </c>
      <c r="J164" s="4">
        <v>14755</v>
      </c>
      <c r="K164" s="4">
        <v>1334</v>
      </c>
      <c r="L164" s="4">
        <v>1733</v>
      </c>
      <c r="M164" s="4">
        <v>2787</v>
      </c>
      <c r="N164" s="4">
        <v>6987</v>
      </c>
      <c r="O164" s="5">
        <f t="shared" si="2"/>
        <v>0.10558971206066195</v>
      </c>
      <c r="P164" s="2" t="s">
        <v>22</v>
      </c>
    </row>
    <row r="165" spans="1:16" x14ac:dyDescent="0.25">
      <c r="A165" s="6" t="s">
        <v>399</v>
      </c>
      <c r="B165" s="6" t="s">
        <v>400</v>
      </c>
      <c r="C165" s="6" t="s">
        <v>76</v>
      </c>
      <c r="D165" s="7" t="s">
        <v>182</v>
      </c>
      <c r="E165" s="7" t="s">
        <v>45</v>
      </c>
      <c r="F165" s="6" t="s">
        <v>78</v>
      </c>
      <c r="G165" s="8">
        <v>68907</v>
      </c>
      <c r="H165" s="8">
        <v>21133</v>
      </c>
      <c r="I165" s="8">
        <v>18628</v>
      </c>
      <c r="J165" s="8">
        <v>1049</v>
      </c>
      <c r="K165" s="8">
        <v>82</v>
      </c>
      <c r="L165" s="8">
        <v>59</v>
      </c>
      <c r="M165" s="8">
        <v>167</v>
      </c>
      <c r="N165" s="8">
        <v>188</v>
      </c>
      <c r="O165" s="9">
        <f t="shared" si="2"/>
        <v>7.2847326605110591E-2</v>
      </c>
      <c r="P165" s="6" t="s">
        <v>29</v>
      </c>
    </row>
    <row r="166" spans="1:16" x14ac:dyDescent="0.25">
      <c r="A166" s="2" t="s">
        <v>401</v>
      </c>
      <c r="B166" s="2" t="s">
        <v>402</v>
      </c>
      <c r="C166" s="2" t="s">
        <v>76</v>
      </c>
      <c r="D166" s="3" t="s">
        <v>77</v>
      </c>
      <c r="E166" s="3" t="s">
        <v>34</v>
      </c>
      <c r="F166" s="2" t="s">
        <v>104</v>
      </c>
      <c r="G166" s="4">
        <v>19572</v>
      </c>
      <c r="H166" s="4">
        <v>11133</v>
      </c>
      <c r="I166" s="4">
        <v>8911</v>
      </c>
      <c r="J166" s="4">
        <v>885</v>
      </c>
      <c r="K166" s="4">
        <v>83</v>
      </c>
      <c r="L166" s="4">
        <v>132</v>
      </c>
      <c r="M166" s="4">
        <v>205</v>
      </c>
      <c r="N166" s="4">
        <v>350</v>
      </c>
      <c r="O166" s="5">
        <f t="shared" si="2"/>
        <v>0.14644821007743239</v>
      </c>
      <c r="P166" s="2" t="s">
        <v>22</v>
      </c>
    </row>
    <row r="167" spans="1:16" x14ac:dyDescent="0.25">
      <c r="A167" s="6" t="s">
        <v>403</v>
      </c>
      <c r="B167" s="6" t="s">
        <v>404</v>
      </c>
      <c r="C167" s="6" t="s">
        <v>18</v>
      </c>
      <c r="D167" s="7" t="s">
        <v>231</v>
      </c>
      <c r="E167" s="7" t="s">
        <v>34</v>
      </c>
      <c r="F167" s="6" t="s">
        <v>58</v>
      </c>
      <c r="G167" s="8">
        <v>699287</v>
      </c>
      <c r="H167" s="8">
        <v>121920</v>
      </c>
      <c r="I167" s="8">
        <v>102124</v>
      </c>
      <c r="J167" s="8">
        <v>7749</v>
      </c>
      <c r="K167" s="8">
        <v>1110</v>
      </c>
      <c r="L167" s="8">
        <v>587</v>
      </c>
      <c r="M167" s="8">
        <v>528</v>
      </c>
      <c r="N167" s="8">
        <v>957</v>
      </c>
      <c r="O167" s="9">
        <f t="shared" si="2"/>
        <v>9.7665583016724761E-2</v>
      </c>
      <c r="P167" s="6" t="s">
        <v>22</v>
      </c>
    </row>
    <row r="168" spans="1:16" x14ac:dyDescent="0.25">
      <c r="A168" s="2" t="s">
        <v>405</v>
      </c>
      <c r="B168" s="2" t="s">
        <v>406</v>
      </c>
      <c r="C168" s="2" t="s">
        <v>43</v>
      </c>
      <c r="D168" s="3" t="s">
        <v>69</v>
      </c>
      <c r="E168" s="3" t="s">
        <v>34</v>
      </c>
      <c r="F168" s="2" t="s">
        <v>70</v>
      </c>
      <c r="G168" s="4">
        <v>731886</v>
      </c>
      <c r="H168" s="4">
        <v>108859</v>
      </c>
      <c r="I168" s="4">
        <v>92822</v>
      </c>
      <c r="J168" s="4">
        <v>5297</v>
      </c>
      <c r="K168" s="4">
        <v>340</v>
      </c>
      <c r="L168" s="4">
        <v>167</v>
      </c>
      <c r="M168" s="4">
        <v>6</v>
      </c>
      <c r="N168" s="4">
        <v>881</v>
      </c>
      <c r="O168" s="5">
        <f t="shared" si="2"/>
        <v>6.2592919781948239E-2</v>
      </c>
      <c r="P168" s="2" t="s">
        <v>22</v>
      </c>
    </row>
    <row r="169" spans="1:16" x14ac:dyDescent="0.25">
      <c r="A169" s="6" t="s">
        <v>407</v>
      </c>
      <c r="B169" s="6" t="s">
        <v>408</v>
      </c>
      <c r="C169" s="6" t="s">
        <v>25</v>
      </c>
      <c r="D169" s="7" t="s">
        <v>64</v>
      </c>
      <c r="E169" s="7" t="s">
        <v>34</v>
      </c>
      <c r="F169" s="6" t="s">
        <v>54</v>
      </c>
      <c r="G169" s="8">
        <v>642466</v>
      </c>
      <c r="H169" s="8">
        <v>212564</v>
      </c>
      <c r="I169" s="8">
        <v>158758</v>
      </c>
      <c r="J169" s="8">
        <v>13794</v>
      </c>
      <c r="K169" s="8">
        <v>2317</v>
      </c>
      <c r="L169" s="8">
        <v>1380</v>
      </c>
      <c r="M169" s="8">
        <v>1910</v>
      </c>
      <c r="N169" s="8">
        <v>2448</v>
      </c>
      <c r="O169" s="9">
        <f t="shared" si="2"/>
        <v>0.12220486526663223</v>
      </c>
      <c r="P169" s="6" t="s">
        <v>66</v>
      </c>
    </row>
    <row r="170" spans="1:16" x14ac:dyDescent="0.25">
      <c r="A170" s="2" t="s">
        <v>409</v>
      </c>
      <c r="B170" s="2" t="s">
        <v>410</v>
      </c>
      <c r="C170" s="2" t="s">
        <v>32</v>
      </c>
      <c r="D170" s="3" t="s">
        <v>38</v>
      </c>
      <c r="E170" s="3" t="s">
        <v>39</v>
      </c>
      <c r="F170" s="2" t="s">
        <v>40</v>
      </c>
      <c r="G170" s="4">
        <v>832004</v>
      </c>
      <c r="H170" s="4">
        <v>197910</v>
      </c>
      <c r="I170" s="4">
        <v>149342</v>
      </c>
      <c r="J170" s="4">
        <v>11094</v>
      </c>
      <c r="K170" s="4">
        <v>1532</v>
      </c>
      <c r="L170" s="4">
        <v>632</v>
      </c>
      <c r="M170" s="4">
        <v>44</v>
      </c>
      <c r="N170" s="4">
        <v>1148</v>
      </c>
      <c r="O170" s="5">
        <f t="shared" si="2"/>
        <v>8.9070723574078289E-2</v>
      </c>
      <c r="P170" s="2" t="s">
        <v>29</v>
      </c>
    </row>
    <row r="171" spans="1:16" x14ac:dyDescent="0.25">
      <c r="A171" s="6" t="s">
        <v>411</v>
      </c>
      <c r="B171" s="6" t="s">
        <v>412</v>
      </c>
      <c r="C171" s="6" t="s">
        <v>43</v>
      </c>
      <c r="D171" s="7" t="s">
        <v>172</v>
      </c>
      <c r="E171" s="7" t="s">
        <v>20</v>
      </c>
      <c r="F171" s="6" t="s">
        <v>107</v>
      </c>
      <c r="G171" s="8">
        <v>413280</v>
      </c>
      <c r="H171" s="8">
        <v>45917</v>
      </c>
      <c r="I171" s="8">
        <v>41785</v>
      </c>
      <c r="J171" s="8">
        <v>2281</v>
      </c>
      <c r="K171" s="8">
        <v>107</v>
      </c>
      <c r="L171" s="8">
        <v>193</v>
      </c>
      <c r="M171" s="8">
        <v>38</v>
      </c>
      <c r="N171" s="8">
        <v>327</v>
      </c>
      <c r="O171" s="9">
        <f t="shared" si="2"/>
        <v>6.2677994495632411E-2</v>
      </c>
      <c r="P171" s="6" t="s">
        <v>66</v>
      </c>
    </row>
    <row r="172" spans="1:16" x14ac:dyDescent="0.25">
      <c r="A172" s="2" t="s">
        <v>413</v>
      </c>
      <c r="B172" s="2" t="s">
        <v>414</v>
      </c>
      <c r="C172" s="2" t="s">
        <v>25</v>
      </c>
      <c r="D172" s="3" t="s">
        <v>26</v>
      </c>
      <c r="E172" s="3" t="s">
        <v>27</v>
      </c>
      <c r="F172" s="2" t="s">
        <v>65</v>
      </c>
      <c r="G172" s="4">
        <v>385662</v>
      </c>
      <c r="H172" s="4">
        <v>68832</v>
      </c>
      <c r="I172" s="4">
        <v>62635</v>
      </c>
      <c r="J172" s="4">
        <v>4558</v>
      </c>
      <c r="K172" s="4">
        <v>148</v>
      </c>
      <c r="L172" s="4">
        <v>131</v>
      </c>
      <c r="M172" s="4">
        <v>466</v>
      </c>
      <c r="N172" s="4">
        <v>426</v>
      </c>
      <c r="O172" s="5">
        <f t="shared" si="2"/>
        <v>8.4665123333599421E-2</v>
      </c>
      <c r="P172" s="2" t="s">
        <v>22</v>
      </c>
    </row>
    <row r="173" spans="1:16" x14ac:dyDescent="0.25">
      <c r="A173" s="6" t="s">
        <v>415</v>
      </c>
      <c r="B173" s="6" t="s">
        <v>416</v>
      </c>
      <c r="C173" s="6" t="s">
        <v>43</v>
      </c>
      <c r="D173" s="7" t="s">
        <v>69</v>
      </c>
      <c r="E173" s="7" t="s">
        <v>39</v>
      </c>
      <c r="F173" s="6" t="s">
        <v>107</v>
      </c>
      <c r="G173" s="8">
        <v>424318</v>
      </c>
      <c r="H173" s="8">
        <v>163719</v>
      </c>
      <c r="I173" s="8">
        <v>120102</v>
      </c>
      <c r="J173" s="8">
        <v>4095</v>
      </c>
      <c r="K173" s="8">
        <v>171</v>
      </c>
      <c r="L173" s="8">
        <v>572</v>
      </c>
      <c r="M173" s="8">
        <v>9</v>
      </c>
      <c r="N173" s="8">
        <v>3453</v>
      </c>
      <c r="O173" s="9">
        <f t="shared" si="2"/>
        <v>4.0357362908194701E-2</v>
      </c>
      <c r="P173" s="6" t="s">
        <v>22</v>
      </c>
    </row>
    <row r="174" spans="1:16" x14ac:dyDescent="0.25">
      <c r="A174" s="2" t="s">
        <v>417</v>
      </c>
      <c r="B174" s="2" t="s">
        <v>418</v>
      </c>
      <c r="C174" s="2" t="s">
        <v>76</v>
      </c>
      <c r="D174" s="3" t="s">
        <v>103</v>
      </c>
      <c r="E174" s="3" t="s">
        <v>45</v>
      </c>
      <c r="F174" s="2" t="s">
        <v>104</v>
      </c>
      <c r="G174" s="4">
        <v>767916</v>
      </c>
      <c r="H174" s="4">
        <v>165887</v>
      </c>
      <c r="I174" s="4">
        <v>119267</v>
      </c>
      <c r="J174" s="4">
        <v>7642</v>
      </c>
      <c r="K174" s="4">
        <v>748</v>
      </c>
      <c r="L174" s="4">
        <v>757</v>
      </c>
      <c r="M174" s="4">
        <v>854</v>
      </c>
      <c r="N174" s="4">
        <v>4520</v>
      </c>
      <c r="O174" s="5">
        <f t="shared" si="2"/>
        <v>8.3853874080843827E-2</v>
      </c>
      <c r="P174" s="2" t="s">
        <v>29</v>
      </c>
    </row>
    <row r="175" spans="1:16" x14ac:dyDescent="0.25">
      <c r="A175" s="6" t="s">
        <v>419</v>
      </c>
      <c r="B175" s="6" t="s">
        <v>420</v>
      </c>
      <c r="C175" s="6" t="s">
        <v>76</v>
      </c>
      <c r="D175" s="7" t="s">
        <v>86</v>
      </c>
      <c r="E175" s="7" t="s">
        <v>39</v>
      </c>
      <c r="F175" s="6" t="s">
        <v>78</v>
      </c>
      <c r="G175" s="8">
        <v>550910</v>
      </c>
      <c r="H175" s="8">
        <v>302355</v>
      </c>
      <c r="I175" s="8">
        <v>222754</v>
      </c>
      <c r="J175" s="8">
        <v>8349</v>
      </c>
      <c r="K175" s="8">
        <v>1228</v>
      </c>
      <c r="L175" s="8">
        <v>458</v>
      </c>
      <c r="M175" s="8">
        <v>1897</v>
      </c>
      <c r="N175" s="8">
        <v>8509</v>
      </c>
      <c r="O175" s="9">
        <f t="shared" si="2"/>
        <v>5.3565816999919191E-2</v>
      </c>
      <c r="P175" s="6" t="s">
        <v>22</v>
      </c>
    </row>
    <row r="176" spans="1:16" x14ac:dyDescent="0.25">
      <c r="A176" s="2" t="s">
        <v>421</v>
      </c>
      <c r="B176" s="2" t="s">
        <v>422</v>
      </c>
      <c r="C176" s="2" t="s">
        <v>76</v>
      </c>
      <c r="D176" s="3" t="s">
        <v>103</v>
      </c>
      <c r="E176" s="3" t="s">
        <v>45</v>
      </c>
      <c r="F176" s="2" t="s">
        <v>87</v>
      </c>
      <c r="G176" s="4">
        <v>522748</v>
      </c>
      <c r="H176" s="4">
        <v>149124</v>
      </c>
      <c r="I176" s="4">
        <v>132580</v>
      </c>
      <c r="J176" s="4">
        <v>4475</v>
      </c>
      <c r="K176" s="4">
        <v>239</v>
      </c>
      <c r="L176" s="4">
        <v>539</v>
      </c>
      <c r="M176" s="4">
        <v>1024</v>
      </c>
      <c r="N176" s="4">
        <v>3761</v>
      </c>
      <c r="O176" s="5">
        <f t="shared" si="2"/>
        <v>4.7344999245738421E-2</v>
      </c>
      <c r="P176" s="2" t="s">
        <v>22</v>
      </c>
    </row>
    <row r="177" spans="1:16" x14ac:dyDescent="0.25">
      <c r="A177" s="6" t="s">
        <v>423</v>
      </c>
      <c r="B177" s="6" t="s">
        <v>424</v>
      </c>
      <c r="C177" s="6" t="s">
        <v>76</v>
      </c>
      <c r="D177" s="7" t="s">
        <v>86</v>
      </c>
      <c r="E177" s="7" t="s">
        <v>34</v>
      </c>
      <c r="F177" s="6" t="s">
        <v>104</v>
      </c>
      <c r="G177" s="8">
        <v>384157</v>
      </c>
      <c r="H177" s="8">
        <v>63596</v>
      </c>
      <c r="I177" s="8">
        <v>52252</v>
      </c>
      <c r="J177" s="8">
        <v>4759</v>
      </c>
      <c r="K177" s="8">
        <v>671</v>
      </c>
      <c r="L177" s="8">
        <v>354</v>
      </c>
      <c r="M177" s="8">
        <v>544</v>
      </c>
      <c r="N177" s="8">
        <v>1112</v>
      </c>
      <c r="O177" s="9">
        <f t="shared" si="2"/>
        <v>0.12110541223302457</v>
      </c>
      <c r="P177" s="6" t="s">
        <v>29</v>
      </c>
    </row>
    <row r="178" spans="1:16" x14ac:dyDescent="0.25">
      <c r="A178" s="2" t="s">
        <v>425</v>
      </c>
      <c r="B178" s="2" t="s">
        <v>426</v>
      </c>
      <c r="C178" s="2" t="s">
        <v>76</v>
      </c>
      <c r="D178" s="3" t="s">
        <v>189</v>
      </c>
      <c r="E178" s="3" t="s">
        <v>45</v>
      </c>
      <c r="F178" s="2" t="s">
        <v>87</v>
      </c>
      <c r="G178" s="4">
        <v>190556</v>
      </c>
      <c r="H178" s="4">
        <v>71266</v>
      </c>
      <c r="I178" s="4">
        <v>64844</v>
      </c>
      <c r="J178" s="4">
        <v>1720</v>
      </c>
      <c r="K178" s="4">
        <v>171</v>
      </c>
      <c r="L178" s="4">
        <v>97</v>
      </c>
      <c r="M178" s="4">
        <v>376</v>
      </c>
      <c r="N178" s="4">
        <v>1056</v>
      </c>
      <c r="O178" s="5">
        <f t="shared" si="2"/>
        <v>3.6456726913823949E-2</v>
      </c>
      <c r="P178" s="2" t="s">
        <v>22</v>
      </c>
    </row>
    <row r="179" spans="1:16" x14ac:dyDescent="0.25">
      <c r="A179" s="6" t="s">
        <v>427</v>
      </c>
      <c r="B179" s="6" t="s">
        <v>428</v>
      </c>
      <c r="C179" s="6" t="s">
        <v>43</v>
      </c>
      <c r="D179" s="7" t="s">
        <v>110</v>
      </c>
      <c r="E179" s="7" t="s">
        <v>45</v>
      </c>
      <c r="F179" s="6" t="s">
        <v>107</v>
      </c>
      <c r="G179" s="8">
        <v>256867</v>
      </c>
      <c r="H179" s="8">
        <v>107181</v>
      </c>
      <c r="I179" s="8">
        <v>98554</v>
      </c>
      <c r="J179" s="8">
        <v>7133</v>
      </c>
      <c r="K179" s="8">
        <v>997</v>
      </c>
      <c r="L179" s="8">
        <v>649</v>
      </c>
      <c r="M179" s="8">
        <v>50</v>
      </c>
      <c r="N179" s="8">
        <v>1324</v>
      </c>
      <c r="O179" s="9">
        <f t="shared" si="2"/>
        <v>8.9585404955658823E-2</v>
      </c>
      <c r="P179" s="6" t="s">
        <v>22</v>
      </c>
    </row>
    <row r="180" spans="1:16" x14ac:dyDescent="0.25">
      <c r="A180" s="2" t="s">
        <v>429</v>
      </c>
      <c r="B180" s="2" t="s">
        <v>430</v>
      </c>
      <c r="C180" s="2" t="s">
        <v>18</v>
      </c>
      <c r="D180" s="3" t="s">
        <v>226</v>
      </c>
      <c r="E180" s="3" t="s">
        <v>50</v>
      </c>
      <c r="F180" s="2" t="s">
        <v>21</v>
      </c>
      <c r="G180" s="4">
        <v>798294</v>
      </c>
      <c r="H180" s="4">
        <v>450184</v>
      </c>
      <c r="I180" s="4">
        <v>345584</v>
      </c>
      <c r="J180" s="4">
        <v>14546</v>
      </c>
      <c r="K180" s="4">
        <v>2581</v>
      </c>
      <c r="L180" s="4">
        <v>1084</v>
      </c>
      <c r="M180" s="4">
        <v>3523</v>
      </c>
      <c r="N180" s="4">
        <v>15385</v>
      </c>
      <c r="O180" s="5">
        <f t="shared" si="2"/>
        <v>6.2890643085328019E-2</v>
      </c>
      <c r="P180" s="2" t="s">
        <v>22</v>
      </c>
    </row>
    <row r="181" spans="1:16" x14ac:dyDescent="0.25">
      <c r="A181" s="6" t="s">
        <v>431</v>
      </c>
      <c r="B181" s="6" t="s">
        <v>432</v>
      </c>
      <c r="C181" s="6" t="s">
        <v>25</v>
      </c>
      <c r="D181" s="7" t="s">
        <v>61</v>
      </c>
      <c r="E181" s="7" t="s">
        <v>39</v>
      </c>
      <c r="F181" s="6" t="s">
        <v>28</v>
      </c>
      <c r="G181" s="8">
        <v>483228</v>
      </c>
      <c r="H181" s="8">
        <v>62043</v>
      </c>
      <c r="I181" s="8">
        <v>50328</v>
      </c>
      <c r="J181" s="8">
        <v>3612</v>
      </c>
      <c r="K181" s="8">
        <v>322</v>
      </c>
      <c r="L181" s="8">
        <v>350</v>
      </c>
      <c r="M181" s="8">
        <v>225</v>
      </c>
      <c r="N181" s="8">
        <v>1543</v>
      </c>
      <c r="O181" s="9">
        <f t="shared" si="2"/>
        <v>8.9592274678111594E-2</v>
      </c>
      <c r="P181" s="6" t="s">
        <v>22</v>
      </c>
    </row>
    <row r="182" spans="1:16" x14ac:dyDescent="0.25">
      <c r="A182" s="2" t="s">
        <v>433</v>
      </c>
      <c r="B182" s="2" t="s">
        <v>434</v>
      </c>
      <c r="C182" s="2" t="s">
        <v>32</v>
      </c>
      <c r="D182" s="3" t="s">
        <v>38</v>
      </c>
      <c r="E182" s="3" t="s">
        <v>50</v>
      </c>
      <c r="F182" s="2" t="s">
        <v>35</v>
      </c>
      <c r="G182" s="4">
        <v>287666</v>
      </c>
      <c r="H182" s="4">
        <v>177727</v>
      </c>
      <c r="I182" s="4">
        <v>154904</v>
      </c>
      <c r="J182" s="4">
        <v>9789</v>
      </c>
      <c r="K182" s="4">
        <v>521</v>
      </c>
      <c r="L182" s="4">
        <v>404</v>
      </c>
      <c r="M182" s="4">
        <v>29</v>
      </c>
      <c r="N182" s="4">
        <v>2563</v>
      </c>
      <c r="O182" s="5">
        <f t="shared" si="2"/>
        <v>6.9352631307132165E-2</v>
      </c>
      <c r="P182" s="2" t="s">
        <v>22</v>
      </c>
    </row>
    <row r="183" spans="1:16" x14ac:dyDescent="0.25">
      <c r="A183" s="6" t="s">
        <v>435</v>
      </c>
      <c r="B183" s="6" t="s">
        <v>436</v>
      </c>
      <c r="C183" s="6" t="s">
        <v>32</v>
      </c>
      <c r="D183" s="7" t="s">
        <v>38</v>
      </c>
      <c r="E183" s="7" t="s">
        <v>34</v>
      </c>
      <c r="F183" s="6" t="s">
        <v>128</v>
      </c>
      <c r="G183" s="8">
        <v>167771</v>
      </c>
      <c r="H183" s="8">
        <v>42513</v>
      </c>
      <c r="I183" s="8">
        <v>36276</v>
      </c>
      <c r="J183" s="8">
        <v>953</v>
      </c>
      <c r="K183" s="8">
        <v>148</v>
      </c>
      <c r="L183" s="8">
        <v>59</v>
      </c>
      <c r="M183" s="8">
        <v>5</v>
      </c>
      <c r="N183" s="8">
        <v>1119</v>
      </c>
      <c r="O183" s="9">
        <f t="shared" si="2"/>
        <v>3.2114896901532693E-2</v>
      </c>
      <c r="P183" s="6" t="s">
        <v>66</v>
      </c>
    </row>
    <row r="184" spans="1:16" x14ac:dyDescent="0.25">
      <c r="A184" s="2" t="s">
        <v>437</v>
      </c>
      <c r="B184" s="2" t="s">
        <v>438</v>
      </c>
      <c r="C184" s="2" t="s">
        <v>18</v>
      </c>
      <c r="D184" s="3" t="s">
        <v>231</v>
      </c>
      <c r="E184" s="3" t="s">
        <v>20</v>
      </c>
      <c r="F184" s="2" t="s">
        <v>21</v>
      </c>
      <c r="G184" s="4">
        <v>426535</v>
      </c>
      <c r="H184" s="4">
        <v>169289</v>
      </c>
      <c r="I184" s="4">
        <v>127807</v>
      </c>
      <c r="J184" s="4">
        <v>8078</v>
      </c>
      <c r="K184" s="4">
        <v>1216</v>
      </c>
      <c r="L184" s="4">
        <v>308</v>
      </c>
      <c r="M184" s="4">
        <v>423</v>
      </c>
      <c r="N184" s="4">
        <v>5063</v>
      </c>
      <c r="O184" s="5">
        <f t="shared" si="2"/>
        <v>7.8438583176195356E-2</v>
      </c>
      <c r="P184" s="2" t="s">
        <v>66</v>
      </c>
    </row>
    <row r="185" spans="1:16" x14ac:dyDescent="0.25">
      <c r="A185" s="6" t="s">
        <v>439</v>
      </c>
      <c r="B185" s="6" t="s">
        <v>440</v>
      </c>
      <c r="C185" s="6" t="s">
        <v>18</v>
      </c>
      <c r="D185" s="7" t="s">
        <v>226</v>
      </c>
      <c r="E185" s="7" t="s">
        <v>27</v>
      </c>
      <c r="F185" s="6" t="s">
        <v>73</v>
      </c>
      <c r="G185" s="8">
        <v>273893</v>
      </c>
      <c r="H185" s="8">
        <v>33618</v>
      </c>
      <c r="I185" s="8">
        <v>24995</v>
      </c>
      <c r="J185" s="8">
        <v>1975</v>
      </c>
      <c r="K185" s="8">
        <v>299</v>
      </c>
      <c r="L185" s="8">
        <v>63</v>
      </c>
      <c r="M185" s="8">
        <v>433</v>
      </c>
      <c r="N185" s="8">
        <v>983</v>
      </c>
      <c r="O185" s="9">
        <f t="shared" si="2"/>
        <v>0.11082216443288657</v>
      </c>
      <c r="P185" s="6" t="s">
        <v>22</v>
      </c>
    </row>
    <row r="186" spans="1:16" x14ac:dyDescent="0.25">
      <c r="A186" s="2" t="s">
        <v>441</v>
      </c>
      <c r="B186" s="2" t="s">
        <v>442</v>
      </c>
      <c r="C186" s="2" t="s">
        <v>43</v>
      </c>
      <c r="D186" s="3" t="s">
        <v>69</v>
      </c>
      <c r="E186" s="3" t="s">
        <v>45</v>
      </c>
      <c r="F186" s="2" t="s">
        <v>46</v>
      </c>
      <c r="G186" s="4">
        <v>522726</v>
      </c>
      <c r="H186" s="4">
        <v>2391188</v>
      </c>
      <c r="I186" s="4">
        <v>1860027</v>
      </c>
      <c r="J186" s="4">
        <v>178139</v>
      </c>
      <c r="K186" s="4">
        <v>12691</v>
      </c>
      <c r="L186" s="4">
        <v>13891</v>
      </c>
      <c r="M186" s="4">
        <v>9</v>
      </c>
      <c r="N186" s="4">
        <v>14441</v>
      </c>
      <c r="O186" s="5">
        <f t="shared" si="2"/>
        <v>0.11006829470754995</v>
      </c>
      <c r="P186" s="2" t="s">
        <v>29</v>
      </c>
    </row>
    <row r="187" spans="1:16" x14ac:dyDescent="0.25">
      <c r="A187" s="6" t="s">
        <v>443</v>
      </c>
      <c r="B187" s="6" t="s">
        <v>444</v>
      </c>
      <c r="C187" s="6" t="s">
        <v>32</v>
      </c>
      <c r="D187" s="7" t="s">
        <v>33</v>
      </c>
      <c r="E187" s="7" t="s">
        <v>39</v>
      </c>
      <c r="F187" s="6" t="s">
        <v>128</v>
      </c>
      <c r="G187" s="8">
        <v>94482</v>
      </c>
      <c r="H187" s="8">
        <v>14949</v>
      </c>
      <c r="I187" s="8">
        <v>12577</v>
      </c>
      <c r="J187" s="8">
        <v>1014</v>
      </c>
      <c r="K187" s="8">
        <v>68</v>
      </c>
      <c r="L187" s="8">
        <v>151</v>
      </c>
      <c r="M187" s="8">
        <v>34</v>
      </c>
      <c r="N187" s="8">
        <v>431</v>
      </c>
      <c r="O187" s="9">
        <f t="shared" si="2"/>
        <v>0.1007394450186849</v>
      </c>
      <c r="P187" s="6" t="s">
        <v>66</v>
      </c>
    </row>
    <row r="188" spans="1:16" x14ac:dyDescent="0.25">
      <c r="A188" s="2" t="s">
        <v>445</v>
      </c>
      <c r="B188" s="2" t="s">
        <v>446</v>
      </c>
      <c r="C188" s="2" t="s">
        <v>43</v>
      </c>
      <c r="D188" s="3" t="s">
        <v>69</v>
      </c>
      <c r="E188" s="3" t="s">
        <v>50</v>
      </c>
      <c r="F188" s="2" t="s">
        <v>107</v>
      </c>
      <c r="G188" s="4">
        <v>529297</v>
      </c>
      <c r="H188" s="4">
        <v>123934</v>
      </c>
      <c r="I188" s="4">
        <v>95448</v>
      </c>
      <c r="J188" s="4">
        <v>4107</v>
      </c>
      <c r="K188" s="4">
        <v>675</v>
      </c>
      <c r="L188" s="4">
        <v>497</v>
      </c>
      <c r="M188" s="4">
        <v>3</v>
      </c>
      <c r="N188" s="4">
        <v>3626</v>
      </c>
      <c r="O188" s="5">
        <f t="shared" si="2"/>
        <v>5.5339032771771018E-2</v>
      </c>
      <c r="P188" s="2" t="s">
        <v>22</v>
      </c>
    </row>
    <row r="189" spans="1:16" x14ac:dyDescent="0.25">
      <c r="A189" s="6" t="s">
        <v>447</v>
      </c>
      <c r="B189" s="6" t="s">
        <v>448</v>
      </c>
      <c r="C189" s="6" t="s">
        <v>76</v>
      </c>
      <c r="D189" s="7" t="s">
        <v>86</v>
      </c>
      <c r="E189" s="7" t="s">
        <v>45</v>
      </c>
      <c r="F189" s="6" t="s">
        <v>155</v>
      </c>
      <c r="G189" s="8">
        <v>281973</v>
      </c>
      <c r="H189" s="8">
        <v>149729</v>
      </c>
      <c r="I189" s="8">
        <v>106651</v>
      </c>
      <c r="J189" s="8">
        <v>11945</v>
      </c>
      <c r="K189" s="8">
        <v>751</v>
      </c>
      <c r="L189" s="8">
        <v>1553</v>
      </c>
      <c r="M189" s="8">
        <v>2502</v>
      </c>
      <c r="N189" s="8">
        <v>2342</v>
      </c>
      <c r="O189" s="9">
        <f t="shared" si="2"/>
        <v>0.15706369373001661</v>
      </c>
      <c r="P189" s="6" t="s">
        <v>29</v>
      </c>
    </row>
    <row r="190" spans="1:16" x14ac:dyDescent="0.25">
      <c r="A190" s="2" t="s">
        <v>449</v>
      </c>
      <c r="B190" s="2" t="s">
        <v>450</v>
      </c>
      <c r="C190" s="2" t="s">
        <v>43</v>
      </c>
      <c r="D190" s="3" t="s">
        <v>110</v>
      </c>
      <c r="E190" s="3" t="s">
        <v>45</v>
      </c>
      <c r="F190" s="2" t="s">
        <v>107</v>
      </c>
      <c r="G190" s="4">
        <v>378711</v>
      </c>
      <c r="H190" s="4">
        <v>36385</v>
      </c>
      <c r="I190" s="4">
        <v>28284</v>
      </c>
      <c r="J190" s="4">
        <v>1966</v>
      </c>
      <c r="K190" s="4">
        <v>100</v>
      </c>
      <c r="L190" s="4">
        <v>281</v>
      </c>
      <c r="M190" s="4">
        <v>31</v>
      </c>
      <c r="N190" s="4">
        <v>773</v>
      </c>
      <c r="O190" s="5">
        <f t="shared" si="2"/>
        <v>8.4075802573893368E-2</v>
      </c>
      <c r="P190" s="2" t="s">
        <v>22</v>
      </c>
    </row>
    <row r="191" spans="1:16" x14ac:dyDescent="0.25">
      <c r="A191" s="6" t="s">
        <v>451</v>
      </c>
      <c r="B191" s="6" t="s">
        <v>452</v>
      </c>
      <c r="C191" s="6" t="s">
        <v>43</v>
      </c>
      <c r="D191" s="7" t="s">
        <v>44</v>
      </c>
      <c r="E191" s="7" t="s">
        <v>34</v>
      </c>
      <c r="F191" s="6" t="s">
        <v>107</v>
      </c>
      <c r="G191" s="8">
        <v>503707</v>
      </c>
      <c r="H191" s="8">
        <v>2836138</v>
      </c>
      <c r="I191" s="8">
        <v>2488478</v>
      </c>
      <c r="J191" s="8">
        <v>114709</v>
      </c>
      <c r="K191" s="8">
        <v>6494</v>
      </c>
      <c r="L191" s="8">
        <v>14260</v>
      </c>
      <c r="M191" s="8">
        <v>20</v>
      </c>
      <c r="N191" s="8">
        <v>19247</v>
      </c>
      <c r="O191" s="9">
        <f t="shared" si="2"/>
        <v>5.4444122069795271E-2</v>
      </c>
      <c r="P191" s="6" t="s">
        <v>22</v>
      </c>
    </row>
    <row r="192" spans="1:16" x14ac:dyDescent="0.25">
      <c r="A192" s="2" t="s">
        <v>453</v>
      </c>
      <c r="B192" s="2" t="s">
        <v>454</v>
      </c>
      <c r="C192" s="2" t="s">
        <v>43</v>
      </c>
      <c r="D192" s="3" t="s">
        <v>110</v>
      </c>
      <c r="E192" s="3" t="s">
        <v>34</v>
      </c>
      <c r="F192" s="2" t="s">
        <v>46</v>
      </c>
      <c r="G192" s="4">
        <v>741261</v>
      </c>
      <c r="H192" s="4">
        <v>226447</v>
      </c>
      <c r="I192" s="4">
        <v>175279</v>
      </c>
      <c r="J192" s="4">
        <v>8912</v>
      </c>
      <c r="K192" s="4">
        <v>1571</v>
      </c>
      <c r="L192" s="4">
        <v>1026</v>
      </c>
      <c r="M192" s="4">
        <v>27</v>
      </c>
      <c r="N192" s="4">
        <v>6511</v>
      </c>
      <c r="O192" s="5">
        <f t="shared" si="2"/>
        <v>6.5815071970972E-2</v>
      </c>
      <c r="P192" s="2" t="s">
        <v>66</v>
      </c>
    </row>
    <row r="193" spans="1:16" x14ac:dyDescent="0.25">
      <c r="A193" s="6" t="s">
        <v>455</v>
      </c>
      <c r="B193" s="6" t="s">
        <v>456</v>
      </c>
      <c r="C193" s="6" t="s">
        <v>43</v>
      </c>
      <c r="D193" s="7" t="s">
        <v>172</v>
      </c>
      <c r="E193" s="7" t="s">
        <v>50</v>
      </c>
      <c r="F193" s="6" t="s">
        <v>70</v>
      </c>
      <c r="G193" s="8">
        <v>700360</v>
      </c>
      <c r="H193" s="8">
        <v>126030</v>
      </c>
      <c r="I193" s="8">
        <v>108572</v>
      </c>
      <c r="J193" s="8">
        <v>4747</v>
      </c>
      <c r="K193" s="8">
        <v>268</v>
      </c>
      <c r="L193" s="8">
        <v>96</v>
      </c>
      <c r="M193" s="8">
        <v>44</v>
      </c>
      <c r="N193" s="8">
        <v>4217</v>
      </c>
      <c r="O193" s="9">
        <f t="shared" si="2"/>
        <v>4.7480013263088088E-2</v>
      </c>
      <c r="P193" s="6" t="s">
        <v>22</v>
      </c>
    </row>
    <row r="194" spans="1:16" x14ac:dyDescent="0.25">
      <c r="A194" s="2" t="s">
        <v>457</v>
      </c>
      <c r="B194" s="2" t="s">
        <v>458</v>
      </c>
      <c r="C194" s="2" t="s">
        <v>43</v>
      </c>
      <c r="D194" s="3" t="s">
        <v>110</v>
      </c>
      <c r="E194" s="3" t="s">
        <v>27</v>
      </c>
      <c r="F194" s="2" t="s">
        <v>70</v>
      </c>
      <c r="G194" s="4">
        <v>673218</v>
      </c>
      <c r="H194" s="4">
        <v>413296</v>
      </c>
      <c r="I194" s="4">
        <v>319418</v>
      </c>
      <c r="J194" s="4">
        <v>10195</v>
      </c>
      <c r="K194" s="4">
        <v>836</v>
      </c>
      <c r="L194" s="4">
        <v>627</v>
      </c>
      <c r="M194" s="4">
        <v>40</v>
      </c>
      <c r="N194" s="4">
        <v>13043</v>
      </c>
      <c r="O194" s="5">
        <f t="shared" ref="O194:O257" si="3">IF(I194&gt;0, (J194+K194+L194+M194)/I194, 0)</f>
        <v>3.6622857822664973E-2</v>
      </c>
      <c r="P194" s="2" t="s">
        <v>22</v>
      </c>
    </row>
    <row r="195" spans="1:16" x14ac:dyDescent="0.25">
      <c r="A195" s="6" t="s">
        <v>459</v>
      </c>
      <c r="B195" s="6" t="s">
        <v>460</v>
      </c>
      <c r="C195" s="6" t="s">
        <v>18</v>
      </c>
      <c r="D195" s="7" t="s">
        <v>57</v>
      </c>
      <c r="E195" s="7" t="s">
        <v>34</v>
      </c>
      <c r="F195" s="6" t="s">
        <v>58</v>
      </c>
      <c r="G195" s="8">
        <v>222369</v>
      </c>
      <c r="H195" s="8">
        <v>26382</v>
      </c>
      <c r="I195" s="8">
        <v>23035</v>
      </c>
      <c r="J195" s="8">
        <v>1667</v>
      </c>
      <c r="K195" s="8">
        <v>62</v>
      </c>
      <c r="L195" s="8">
        <v>128</v>
      </c>
      <c r="M195" s="8">
        <v>223</v>
      </c>
      <c r="N195" s="8">
        <v>263</v>
      </c>
      <c r="O195" s="9">
        <f t="shared" si="3"/>
        <v>9.0297373561970914E-2</v>
      </c>
      <c r="P195" s="6" t="s">
        <v>22</v>
      </c>
    </row>
    <row r="196" spans="1:16" x14ac:dyDescent="0.25">
      <c r="A196" s="2" t="s">
        <v>461</v>
      </c>
      <c r="B196" s="2" t="s">
        <v>462</v>
      </c>
      <c r="C196" s="2" t="s">
        <v>32</v>
      </c>
      <c r="D196" s="3" t="s">
        <v>175</v>
      </c>
      <c r="E196" s="3" t="s">
        <v>39</v>
      </c>
      <c r="F196" s="2" t="s">
        <v>51</v>
      </c>
      <c r="G196" s="4">
        <v>173057</v>
      </c>
      <c r="H196" s="4">
        <v>92679</v>
      </c>
      <c r="I196" s="4">
        <v>70888</v>
      </c>
      <c r="J196" s="4">
        <v>3625</v>
      </c>
      <c r="K196" s="4">
        <v>626</v>
      </c>
      <c r="L196" s="4">
        <v>107</v>
      </c>
      <c r="M196" s="4">
        <v>10</v>
      </c>
      <c r="N196" s="4">
        <v>2932</v>
      </c>
      <c r="O196" s="5">
        <f t="shared" si="3"/>
        <v>6.1618327502539219E-2</v>
      </c>
      <c r="P196" s="2" t="s">
        <v>22</v>
      </c>
    </row>
    <row r="197" spans="1:16" x14ac:dyDescent="0.25">
      <c r="A197" s="6" t="s">
        <v>463</v>
      </c>
      <c r="B197" s="6" t="s">
        <v>464</v>
      </c>
      <c r="C197" s="6" t="s">
        <v>18</v>
      </c>
      <c r="D197" s="7" t="s">
        <v>92</v>
      </c>
      <c r="E197" s="7" t="s">
        <v>27</v>
      </c>
      <c r="F197" s="6" t="s">
        <v>58</v>
      </c>
      <c r="G197" s="8">
        <v>741226</v>
      </c>
      <c r="H197" s="8">
        <v>4255371</v>
      </c>
      <c r="I197" s="8">
        <v>3547319</v>
      </c>
      <c r="J197" s="8">
        <v>195968</v>
      </c>
      <c r="K197" s="8">
        <v>7453</v>
      </c>
      <c r="L197" s="8">
        <v>12354</v>
      </c>
      <c r="M197" s="8">
        <v>47988</v>
      </c>
      <c r="N197" s="8">
        <v>73525</v>
      </c>
      <c r="O197" s="9">
        <f t="shared" si="3"/>
        <v>7.4355590799699722E-2</v>
      </c>
      <c r="P197" s="6" t="s">
        <v>22</v>
      </c>
    </row>
    <row r="198" spans="1:16" x14ac:dyDescent="0.25">
      <c r="A198" s="2" t="s">
        <v>465</v>
      </c>
      <c r="B198" s="2" t="s">
        <v>466</v>
      </c>
      <c r="C198" s="2" t="s">
        <v>18</v>
      </c>
      <c r="D198" s="3" t="s">
        <v>231</v>
      </c>
      <c r="E198" s="3" t="s">
        <v>20</v>
      </c>
      <c r="F198" s="2" t="s">
        <v>21</v>
      </c>
      <c r="G198" s="4">
        <v>54546</v>
      </c>
      <c r="H198" s="4">
        <v>21453</v>
      </c>
      <c r="I198" s="4">
        <v>15741</v>
      </c>
      <c r="J198" s="4">
        <v>893</v>
      </c>
      <c r="K198" s="4">
        <v>84</v>
      </c>
      <c r="L198" s="4">
        <v>52</v>
      </c>
      <c r="M198" s="4">
        <v>162</v>
      </c>
      <c r="N198" s="4">
        <v>493</v>
      </c>
      <c r="O198" s="5">
        <f t="shared" si="3"/>
        <v>7.5662283209453021E-2</v>
      </c>
      <c r="P198" s="2" t="s">
        <v>22</v>
      </c>
    </row>
    <row r="199" spans="1:16" x14ac:dyDescent="0.25">
      <c r="A199" s="6" t="s">
        <v>467</v>
      </c>
      <c r="B199" s="6" t="s">
        <v>468</v>
      </c>
      <c r="C199" s="6" t="s">
        <v>18</v>
      </c>
      <c r="D199" s="7" t="s">
        <v>226</v>
      </c>
      <c r="E199" s="7" t="s">
        <v>39</v>
      </c>
      <c r="F199" s="6" t="s">
        <v>21</v>
      </c>
      <c r="G199" s="8">
        <v>325831</v>
      </c>
      <c r="H199" s="8">
        <v>113532</v>
      </c>
      <c r="I199" s="8">
        <v>86091</v>
      </c>
      <c r="J199" s="8">
        <v>6642</v>
      </c>
      <c r="K199" s="8">
        <v>585</v>
      </c>
      <c r="L199" s="8">
        <v>453</v>
      </c>
      <c r="M199" s="8">
        <v>838</v>
      </c>
      <c r="N199" s="8">
        <v>1203</v>
      </c>
      <c r="O199" s="9">
        <f t="shared" si="3"/>
        <v>9.8941817379284716E-2</v>
      </c>
      <c r="P199" s="6" t="s">
        <v>22</v>
      </c>
    </row>
    <row r="200" spans="1:16" x14ac:dyDescent="0.25">
      <c r="A200" s="2" t="s">
        <v>469</v>
      </c>
      <c r="B200" s="2" t="s">
        <v>470</v>
      </c>
      <c r="C200" s="2" t="s">
        <v>18</v>
      </c>
      <c r="D200" s="3" t="s">
        <v>92</v>
      </c>
      <c r="E200" s="3" t="s">
        <v>34</v>
      </c>
      <c r="F200" s="2" t="s">
        <v>21</v>
      </c>
      <c r="G200" s="4">
        <v>791275</v>
      </c>
      <c r="H200" s="4">
        <v>106917</v>
      </c>
      <c r="I200" s="4">
        <v>82928</v>
      </c>
      <c r="J200" s="4">
        <v>5611</v>
      </c>
      <c r="K200" s="4">
        <v>985</v>
      </c>
      <c r="L200" s="4">
        <v>542</v>
      </c>
      <c r="M200" s="4">
        <v>901</v>
      </c>
      <c r="N200" s="4">
        <v>3231</v>
      </c>
      <c r="O200" s="5">
        <f t="shared" si="3"/>
        <v>9.6939513795099366E-2</v>
      </c>
      <c r="P200" s="2" t="s">
        <v>29</v>
      </c>
    </row>
    <row r="201" spans="1:16" x14ac:dyDescent="0.25">
      <c r="A201" s="6" t="s">
        <v>471</v>
      </c>
      <c r="B201" s="6" t="s">
        <v>472</v>
      </c>
      <c r="C201" s="6" t="s">
        <v>32</v>
      </c>
      <c r="D201" s="7" t="s">
        <v>33</v>
      </c>
      <c r="E201" s="7" t="s">
        <v>20</v>
      </c>
      <c r="F201" s="6" t="s">
        <v>35</v>
      </c>
      <c r="G201" s="8">
        <v>315869</v>
      </c>
      <c r="H201" s="8">
        <v>187810</v>
      </c>
      <c r="I201" s="8">
        <v>132901</v>
      </c>
      <c r="J201" s="8">
        <v>10193</v>
      </c>
      <c r="K201" s="8">
        <v>1095</v>
      </c>
      <c r="L201" s="8">
        <v>961</v>
      </c>
      <c r="M201" s="8">
        <v>39</v>
      </c>
      <c r="N201" s="8">
        <v>1769</v>
      </c>
      <c r="O201" s="9">
        <f t="shared" si="3"/>
        <v>9.2459800904432621E-2</v>
      </c>
      <c r="P201" s="6" t="s">
        <v>66</v>
      </c>
    </row>
    <row r="202" spans="1:16" x14ac:dyDescent="0.25">
      <c r="A202" s="2" t="s">
        <v>473</v>
      </c>
      <c r="B202" s="2" t="s">
        <v>474</v>
      </c>
      <c r="C202" s="2" t="s">
        <v>25</v>
      </c>
      <c r="D202" s="3" t="s">
        <v>64</v>
      </c>
      <c r="E202" s="3" t="s">
        <v>34</v>
      </c>
      <c r="F202" s="2" t="s">
        <v>65</v>
      </c>
      <c r="G202" s="4">
        <v>84675</v>
      </c>
      <c r="H202" s="4">
        <v>27788</v>
      </c>
      <c r="I202" s="4">
        <v>23286</v>
      </c>
      <c r="J202" s="4">
        <v>1946</v>
      </c>
      <c r="K202" s="4">
        <v>133</v>
      </c>
      <c r="L202" s="4">
        <v>269</v>
      </c>
      <c r="M202" s="4">
        <v>453</v>
      </c>
      <c r="N202" s="4">
        <v>194</v>
      </c>
      <c r="O202" s="5">
        <f t="shared" si="3"/>
        <v>0.12028686764579576</v>
      </c>
      <c r="P202" s="2" t="s">
        <v>22</v>
      </c>
    </row>
    <row r="203" spans="1:16" x14ac:dyDescent="0.25">
      <c r="A203" s="6" t="s">
        <v>475</v>
      </c>
      <c r="B203" s="6" t="s">
        <v>476</v>
      </c>
      <c r="C203" s="6" t="s">
        <v>18</v>
      </c>
      <c r="D203" s="7" t="s">
        <v>92</v>
      </c>
      <c r="E203" s="7" t="s">
        <v>39</v>
      </c>
      <c r="F203" s="6" t="s">
        <v>21</v>
      </c>
      <c r="G203" s="8">
        <v>827258</v>
      </c>
      <c r="H203" s="8">
        <v>343244</v>
      </c>
      <c r="I203" s="8">
        <v>271955</v>
      </c>
      <c r="J203" s="8">
        <v>15400</v>
      </c>
      <c r="K203" s="8">
        <v>804</v>
      </c>
      <c r="L203" s="8">
        <v>1485</v>
      </c>
      <c r="M203" s="8">
        <v>3105</v>
      </c>
      <c r="N203" s="8">
        <v>11392</v>
      </c>
      <c r="O203" s="9">
        <f t="shared" si="3"/>
        <v>7.6461179239212376E-2</v>
      </c>
      <c r="P203" s="6" t="s">
        <v>66</v>
      </c>
    </row>
    <row r="204" spans="1:16" x14ac:dyDescent="0.25">
      <c r="A204" s="2" t="s">
        <v>477</v>
      </c>
      <c r="B204" s="2" t="s">
        <v>478</v>
      </c>
      <c r="C204" s="2" t="s">
        <v>43</v>
      </c>
      <c r="D204" s="3" t="s">
        <v>110</v>
      </c>
      <c r="E204" s="3" t="s">
        <v>39</v>
      </c>
      <c r="F204" s="2" t="s">
        <v>46</v>
      </c>
      <c r="G204" s="4">
        <v>404150</v>
      </c>
      <c r="H204" s="4">
        <v>164106</v>
      </c>
      <c r="I204" s="4">
        <v>116226</v>
      </c>
      <c r="J204" s="4">
        <v>5993</v>
      </c>
      <c r="K204" s="4">
        <v>309</v>
      </c>
      <c r="L204" s="4">
        <v>594</v>
      </c>
      <c r="M204" s="4">
        <v>44</v>
      </c>
      <c r="N204" s="4">
        <v>2798</v>
      </c>
      <c r="O204" s="5">
        <f t="shared" si="3"/>
        <v>5.9711252215511157E-2</v>
      </c>
      <c r="P204" s="2" t="s">
        <v>22</v>
      </c>
    </row>
    <row r="205" spans="1:16" x14ac:dyDescent="0.25">
      <c r="A205" s="6" t="s">
        <v>479</v>
      </c>
      <c r="B205" s="6" t="s">
        <v>480</v>
      </c>
      <c r="C205" s="6" t="s">
        <v>76</v>
      </c>
      <c r="D205" s="7" t="s">
        <v>182</v>
      </c>
      <c r="E205" s="7" t="s">
        <v>50</v>
      </c>
      <c r="F205" s="6" t="s">
        <v>78</v>
      </c>
      <c r="G205" s="8">
        <v>23715</v>
      </c>
      <c r="H205" s="8">
        <v>12625</v>
      </c>
      <c r="I205" s="8">
        <v>9616</v>
      </c>
      <c r="J205" s="8">
        <v>624</v>
      </c>
      <c r="K205" s="8">
        <v>83</v>
      </c>
      <c r="L205" s="8">
        <v>20</v>
      </c>
      <c r="M205" s="8">
        <v>139</v>
      </c>
      <c r="N205" s="8">
        <v>114</v>
      </c>
      <c r="O205" s="9">
        <f t="shared" si="3"/>
        <v>9.0058236272878539E-2</v>
      </c>
      <c r="P205" s="6" t="s">
        <v>66</v>
      </c>
    </row>
    <row r="206" spans="1:16" x14ac:dyDescent="0.25">
      <c r="A206" s="2" t="s">
        <v>481</v>
      </c>
      <c r="B206" s="2" t="s">
        <v>482</v>
      </c>
      <c r="C206" s="2" t="s">
        <v>32</v>
      </c>
      <c r="D206" s="3" t="s">
        <v>33</v>
      </c>
      <c r="E206" s="3" t="s">
        <v>45</v>
      </c>
      <c r="F206" s="2" t="s">
        <v>128</v>
      </c>
      <c r="G206" s="4">
        <v>199564</v>
      </c>
      <c r="H206" s="4">
        <v>119869</v>
      </c>
      <c r="I206" s="4">
        <v>103447</v>
      </c>
      <c r="J206" s="4">
        <v>7859</v>
      </c>
      <c r="K206" s="4">
        <v>1258</v>
      </c>
      <c r="L206" s="4">
        <v>995</v>
      </c>
      <c r="M206" s="4">
        <v>32</v>
      </c>
      <c r="N206" s="4">
        <v>3445</v>
      </c>
      <c r="O206" s="5">
        <f t="shared" si="3"/>
        <v>9.8059876071804886E-2</v>
      </c>
      <c r="P206" s="2" t="s">
        <v>22</v>
      </c>
    </row>
    <row r="207" spans="1:16" x14ac:dyDescent="0.25">
      <c r="A207" s="6" t="s">
        <v>483</v>
      </c>
      <c r="B207" s="6" t="s">
        <v>484</v>
      </c>
      <c r="C207" s="6" t="s">
        <v>43</v>
      </c>
      <c r="D207" s="7" t="s">
        <v>172</v>
      </c>
      <c r="E207" s="7" t="s">
        <v>34</v>
      </c>
      <c r="F207" s="6" t="s">
        <v>70</v>
      </c>
      <c r="G207" s="8">
        <v>204627</v>
      </c>
      <c r="H207" s="8">
        <v>39782</v>
      </c>
      <c r="I207" s="8">
        <v>30030</v>
      </c>
      <c r="J207" s="8">
        <v>1885</v>
      </c>
      <c r="K207" s="8">
        <v>316</v>
      </c>
      <c r="L207" s="8">
        <v>210</v>
      </c>
      <c r="M207" s="8">
        <v>17</v>
      </c>
      <c r="N207" s="8">
        <v>638</v>
      </c>
      <c r="O207" s="9">
        <f t="shared" si="3"/>
        <v>8.0852480852480854E-2</v>
      </c>
      <c r="P207" s="6" t="s">
        <v>22</v>
      </c>
    </row>
    <row r="208" spans="1:16" x14ac:dyDescent="0.25">
      <c r="A208" s="2" t="s">
        <v>485</v>
      </c>
      <c r="B208" s="2" t="s">
        <v>486</v>
      </c>
      <c r="C208" s="2" t="s">
        <v>76</v>
      </c>
      <c r="D208" s="3" t="s">
        <v>86</v>
      </c>
      <c r="E208" s="3" t="s">
        <v>50</v>
      </c>
      <c r="F208" s="2" t="s">
        <v>104</v>
      </c>
      <c r="G208" s="4">
        <v>625399</v>
      </c>
      <c r="H208" s="4">
        <v>392435</v>
      </c>
      <c r="I208" s="4">
        <v>325373</v>
      </c>
      <c r="J208" s="4">
        <v>16084</v>
      </c>
      <c r="K208" s="4">
        <v>877</v>
      </c>
      <c r="L208" s="4">
        <v>2191</v>
      </c>
      <c r="M208" s="4">
        <v>3213</v>
      </c>
      <c r="N208" s="4">
        <v>10072</v>
      </c>
      <c r="O208" s="5">
        <f t="shared" si="3"/>
        <v>6.873649626736085E-2</v>
      </c>
      <c r="P208" s="2" t="s">
        <v>22</v>
      </c>
    </row>
    <row r="209" spans="1:16" x14ac:dyDescent="0.25">
      <c r="A209" s="6" t="s">
        <v>487</v>
      </c>
      <c r="B209" s="6" t="s">
        <v>488</v>
      </c>
      <c r="C209" s="6" t="s">
        <v>43</v>
      </c>
      <c r="D209" s="7" t="s">
        <v>44</v>
      </c>
      <c r="E209" s="7" t="s">
        <v>20</v>
      </c>
      <c r="F209" s="6" t="s">
        <v>107</v>
      </c>
      <c r="G209" s="8">
        <v>238547</v>
      </c>
      <c r="H209" s="8">
        <v>55671</v>
      </c>
      <c r="I209" s="8">
        <v>45256</v>
      </c>
      <c r="J209" s="8">
        <v>4001</v>
      </c>
      <c r="K209" s="8">
        <v>700</v>
      </c>
      <c r="L209" s="8">
        <v>434</v>
      </c>
      <c r="M209" s="8">
        <v>30</v>
      </c>
      <c r="N209" s="8">
        <v>1800</v>
      </c>
      <c r="O209" s="9">
        <f t="shared" si="3"/>
        <v>0.11412851334629662</v>
      </c>
      <c r="P209" s="6" t="s">
        <v>29</v>
      </c>
    </row>
    <row r="210" spans="1:16" x14ac:dyDescent="0.25">
      <c r="A210" s="2" t="s">
        <v>489</v>
      </c>
      <c r="B210" s="2" t="s">
        <v>490</v>
      </c>
      <c r="C210" s="2" t="s">
        <v>43</v>
      </c>
      <c r="D210" s="3" t="s">
        <v>110</v>
      </c>
      <c r="E210" s="3" t="s">
        <v>45</v>
      </c>
      <c r="F210" s="2" t="s">
        <v>107</v>
      </c>
      <c r="G210" s="4">
        <v>676462</v>
      </c>
      <c r="H210" s="4">
        <v>399400</v>
      </c>
      <c r="I210" s="4">
        <v>319911</v>
      </c>
      <c r="J210" s="4">
        <v>13217</v>
      </c>
      <c r="K210" s="4">
        <v>995</v>
      </c>
      <c r="L210" s="4">
        <v>1158</v>
      </c>
      <c r="M210" s="4">
        <v>39</v>
      </c>
      <c r="N210" s="4">
        <v>6755</v>
      </c>
      <c r="O210" s="5">
        <f t="shared" si="3"/>
        <v>4.8166521313740385E-2</v>
      </c>
      <c r="P210" s="2" t="s">
        <v>22</v>
      </c>
    </row>
    <row r="211" spans="1:16" x14ac:dyDescent="0.25">
      <c r="A211" s="6" t="s">
        <v>491</v>
      </c>
      <c r="B211" s="6" t="s">
        <v>492</v>
      </c>
      <c r="C211" s="6" t="s">
        <v>18</v>
      </c>
      <c r="D211" s="7" t="s">
        <v>92</v>
      </c>
      <c r="E211" s="7" t="s">
        <v>45</v>
      </c>
      <c r="F211" s="6" t="s">
        <v>73</v>
      </c>
      <c r="G211" s="8">
        <v>641135</v>
      </c>
      <c r="H211" s="8">
        <v>301407</v>
      </c>
      <c r="I211" s="8">
        <v>215217</v>
      </c>
      <c r="J211" s="8">
        <v>23902</v>
      </c>
      <c r="K211" s="8">
        <v>3013</v>
      </c>
      <c r="L211" s="8">
        <v>3154</v>
      </c>
      <c r="M211" s="8">
        <v>2443</v>
      </c>
      <c r="N211" s="8">
        <v>7936</v>
      </c>
      <c r="O211" s="9">
        <f t="shared" si="3"/>
        <v>0.15106613325155541</v>
      </c>
      <c r="P211" s="6" t="s">
        <v>66</v>
      </c>
    </row>
    <row r="212" spans="1:16" x14ac:dyDescent="0.25">
      <c r="A212" s="2" t="s">
        <v>493</v>
      </c>
      <c r="B212" s="2" t="s">
        <v>494</v>
      </c>
      <c r="C212" s="2" t="s">
        <v>25</v>
      </c>
      <c r="D212" s="3" t="s">
        <v>145</v>
      </c>
      <c r="E212" s="3" t="s">
        <v>27</v>
      </c>
      <c r="F212" s="2" t="s">
        <v>65</v>
      </c>
      <c r="G212" s="4">
        <v>695116</v>
      </c>
      <c r="H212" s="4">
        <v>111051</v>
      </c>
      <c r="I212" s="4">
        <v>93747</v>
      </c>
      <c r="J212" s="4">
        <v>8867</v>
      </c>
      <c r="K212" s="4">
        <v>611</v>
      </c>
      <c r="L212" s="4">
        <v>659</v>
      </c>
      <c r="M212" s="4">
        <v>1131</v>
      </c>
      <c r="N212" s="4">
        <v>672</v>
      </c>
      <c r="O212" s="5">
        <f t="shared" si="3"/>
        <v>0.12019584626708055</v>
      </c>
      <c r="P212" s="2" t="s">
        <v>29</v>
      </c>
    </row>
    <row r="213" spans="1:16" x14ac:dyDescent="0.25">
      <c r="A213" s="6" t="s">
        <v>495</v>
      </c>
      <c r="B213" s="6" t="s">
        <v>496</v>
      </c>
      <c r="C213" s="6" t="s">
        <v>25</v>
      </c>
      <c r="D213" s="7" t="s">
        <v>61</v>
      </c>
      <c r="E213" s="7" t="s">
        <v>45</v>
      </c>
      <c r="F213" s="6" t="s">
        <v>65</v>
      </c>
      <c r="G213" s="8">
        <v>707005</v>
      </c>
      <c r="H213" s="8">
        <v>177536</v>
      </c>
      <c r="I213" s="8">
        <v>157108</v>
      </c>
      <c r="J213" s="8">
        <v>12887</v>
      </c>
      <c r="K213" s="8">
        <v>736</v>
      </c>
      <c r="L213" s="8">
        <v>421</v>
      </c>
      <c r="M213" s="8">
        <v>974</v>
      </c>
      <c r="N213" s="8">
        <v>2265</v>
      </c>
      <c r="O213" s="9">
        <f t="shared" si="3"/>
        <v>9.5590294574432869E-2</v>
      </c>
      <c r="P213" s="6" t="s">
        <v>29</v>
      </c>
    </row>
    <row r="214" spans="1:16" x14ac:dyDescent="0.25">
      <c r="A214" s="2" t="s">
        <v>497</v>
      </c>
      <c r="B214" s="2" t="s">
        <v>498</v>
      </c>
      <c r="C214" s="2" t="s">
        <v>18</v>
      </c>
      <c r="D214" s="3" t="s">
        <v>226</v>
      </c>
      <c r="E214" s="3" t="s">
        <v>20</v>
      </c>
      <c r="F214" s="2" t="s">
        <v>58</v>
      </c>
      <c r="G214" s="4">
        <v>236676</v>
      </c>
      <c r="H214" s="4">
        <v>60361</v>
      </c>
      <c r="I214" s="4">
        <v>54029</v>
      </c>
      <c r="J214" s="4">
        <v>2553</v>
      </c>
      <c r="K214" s="4">
        <v>300</v>
      </c>
      <c r="L214" s="4">
        <v>204</v>
      </c>
      <c r="M214" s="4">
        <v>187</v>
      </c>
      <c r="N214" s="4">
        <v>399</v>
      </c>
      <c r="O214" s="5">
        <f t="shared" si="3"/>
        <v>6.0041829387921304E-2</v>
      </c>
      <c r="P214" s="2" t="s">
        <v>29</v>
      </c>
    </row>
    <row r="215" spans="1:16" x14ac:dyDescent="0.25">
      <c r="A215" s="6" t="s">
        <v>499</v>
      </c>
      <c r="B215" s="6" t="s">
        <v>500</v>
      </c>
      <c r="C215" s="6" t="s">
        <v>25</v>
      </c>
      <c r="D215" s="7" t="s">
        <v>61</v>
      </c>
      <c r="E215" s="7" t="s">
        <v>34</v>
      </c>
      <c r="F215" s="6" t="s">
        <v>65</v>
      </c>
      <c r="G215" s="8">
        <v>558075</v>
      </c>
      <c r="H215" s="8">
        <v>61843</v>
      </c>
      <c r="I215" s="8">
        <v>45159</v>
      </c>
      <c r="J215" s="8">
        <v>1980</v>
      </c>
      <c r="K215" s="8">
        <v>180</v>
      </c>
      <c r="L215" s="8">
        <v>186</v>
      </c>
      <c r="M215" s="8">
        <v>458</v>
      </c>
      <c r="N215" s="8">
        <v>1158</v>
      </c>
      <c r="O215" s="9">
        <f t="shared" si="3"/>
        <v>6.2091720365818552E-2</v>
      </c>
      <c r="P215" s="6" t="s">
        <v>22</v>
      </c>
    </row>
    <row r="216" spans="1:16" x14ac:dyDescent="0.25">
      <c r="A216" s="2" t="s">
        <v>501</v>
      </c>
      <c r="B216" s="2" t="s">
        <v>502</v>
      </c>
      <c r="C216" s="2" t="s">
        <v>32</v>
      </c>
      <c r="D216" s="3" t="s">
        <v>38</v>
      </c>
      <c r="E216" s="3" t="s">
        <v>45</v>
      </c>
      <c r="F216" s="2" t="s">
        <v>51</v>
      </c>
      <c r="G216" s="4">
        <v>331138</v>
      </c>
      <c r="H216" s="4">
        <v>27380</v>
      </c>
      <c r="I216" s="4">
        <v>20427</v>
      </c>
      <c r="J216" s="4">
        <v>1818</v>
      </c>
      <c r="K216" s="4">
        <v>211</v>
      </c>
      <c r="L216" s="4">
        <v>73</v>
      </c>
      <c r="M216" s="4">
        <v>50</v>
      </c>
      <c r="N216" s="4">
        <v>764</v>
      </c>
      <c r="O216" s="5">
        <f t="shared" si="3"/>
        <v>0.10535076124736868</v>
      </c>
      <c r="P216" s="2" t="s">
        <v>22</v>
      </c>
    </row>
    <row r="217" spans="1:16" x14ac:dyDescent="0.25">
      <c r="A217" s="6" t="s">
        <v>503</v>
      </c>
      <c r="B217" s="6" t="s">
        <v>504</v>
      </c>
      <c r="C217" s="6" t="s">
        <v>32</v>
      </c>
      <c r="D217" s="7" t="s">
        <v>121</v>
      </c>
      <c r="E217" s="7" t="s">
        <v>39</v>
      </c>
      <c r="F217" s="6" t="s">
        <v>35</v>
      </c>
      <c r="G217" s="8">
        <v>7395</v>
      </c>
      <c r="H217" s="8">
        <v>17728</v>
      </c>
      <c r="I217" s="8">
        <v>16115</v>
      </c>
      <c r="J217" s="8">
        <v>1303</v>
      </c>
      <c r="K217" s="8">
        <v>187</v>
      </c>
      <c r="L217" s="8">
        <v>116</v>
      </c>
      <c r="M217" s="8">
        <v>1</v>
      </c>
      <c r="N217" s="8">
        <v>448</v>
      </c>
      <c r="O217" s="9">
        <f t="shared" si="3"/>
        <v>9.9720757058641016E-2</v>
      </c>
      <c r="P217" s="6" t="s">
        <v>29</v>
      </c>
    </row>
    <row r="218" spans="1:16" x14ac:dyDescent="0.25">
      <c r="A218" s="2" t="s">
        <v>505</v>
      </c>
      <c r="B218" s="2" t="s">
        <v>506</v>
      </c>
      <c r="C218" s="2" t="s">
        <v>18</v>
      </c>
      <c r="D218" s="3" t="s">
        <v>231</v>
      </c>
      <c r="E218" s="3" t="s">
        <v>20</v>
      </c>
      <c r="F218" s="2" t="s">
        <v>21</v>
      </c>
      <c r="G218" s="4">
        <v>404681</v>
      </c>
      <c r="H218" s="4">
        <v>102985</v>
      </c>
      <c r="I218" s="4">
        <v>90755</v>
      </c>
      <c r="J218" s="4">
        <v>3902</v>
      </c>
      <c r="K218" s="4">
        <v>287</v>
      </c>
      <c r="L218" s="4">
        <v>447</v>
      </c>
      <c r="M218" s="4">
        <v>660</v>
      </c>
      <c r="N218" s="4">
        <v>1558</v>
      </c>
      <c r="O218" s="5">
        <f t="shared" si="3"/>
        <v>5.8354911575119829E-2</v>
      </c>
      <c r="P218" s="2" t="s">
        <v>66</v>
      </c>
    </row>
    <row r="219" spans="1:16" x14ac:dyDescent="0.25">
      <c r="A219" s="6" t="s">
        <v>507</v>
      </c>
      <c r="B219" s="6" t="s">
        <v>508</v>
      </c>
      <c r="C219" s="6" t="s">
        <v>18</v>
      </c>
      <c r="D219" s="7" t="s">
        <v>19</v>
      </c>
      <c r="E219" s="7" t="s">
        <v>20</v>
      </c>
      <c r="F219" s="6" t="s">
        <v>58</v>
      </c>
      <c r="G219" s="8">
        <v>22553</v>
      </c>
      <c r="H219" s="8">
        <v>11152</v>
      </c>
      <c r="I219" s="8">
        <v>8324</v>
      </c>
      <c r="J219" s="8">
        <v>237</v>
      </c>
      <c r="K219" s="8">
        <v>25</v>
      </c>
      <c r="L219" s="8">
        <v>8</v>
      </c>
      <c r="M219" s="8">
        <v>45</v>
      </c>
      <c r="N219" s="8">
        <v>320</v>
      </c>
      <c r="O219" s="9">
        <f t="shared" si="3"/>
        <v>3.7842383469485825E-2</v>
      </c>
      <c r="P219" s="6" t="s">
        <v>22</v>
      </c>
    </row>
    <row r="220" spans="1:16" x14ac:dyDescent="0.25">
      <c r="A220" s="2" t="s">
        <v>509</v>
      </c>
      <c r="B220" s="2" t="s">
        <v>510</v>
      </c>
      <c r="C220" s="2" t="s">
        <v>43</v>
      </c>
      <c r="D220" s="3" t="s">
        <v>81</v>
      </c>
      <c r="E220" s="3" t="s">
        <v>27</v>
      </c>
      <c r="F220" s="2" t="s">
        <v>70</v>
      </c>
      <c r="G220" s="4">
        <v>696625</v>
      </c>
      <c r="H220" s="4">
        <v>387733</v>
      </c>
      <c r="I220" s="4">
        <v>330249</v>
      </c>
      <c r="J220" s="4">
        <v>17450</v>
      </c>
      <c r="K220" s="4">
        <v>1518</v>
      </c>
      <c r="L220" s="4">
        <v>1590</v>
      </c>
      <c r="M220" s="4">
        <v>30</v>
      </c>
      <c r="N220" s="4">
        <v>10102</v>
      </c>
      <c r="O220" s="5">
        <f t="shared" si="3"/>
        <v>6.2340839790582254E-2</v>
      </c>
      <c r="P220" s="2" t="s">
        <v>22</v>
      </c>
    </row>
    <row r="221" spans="1:16" x14ac:dyDescent="0.25">
      <c r="A221" s="6" t="s">
        <v>511</v>
      </c>
      <c r="B221" s="6" t="s">
        <v>512</v>
      </c>
      <c r="C221" s="6" t="s">
        <v>32</v>
      </c>
      <c r="D221" s="7" t="s">
        <v>175</v>
      </c>
      <c r="E221" s="7" t="s">
        <v>45</v>
      </c>
      <c r="F221" s="6" t="s">
        <v>40</v>
      </c>
      <c r="G221" s="8">
        <v>655550</v>
      </c>
      <c r="H221" s="8">
        <v>103697</v>
      </c>
      <c r="I221" s="8">
        <v>93088</v>
      </c>
      <c r="J221" s="8">
        <v>5256</v>
      </c>
      <c r="K221" s="8">
        <v>644</v>
      </c>
      <c r="L221" s="8">
        <v>298</v>
      </c>
      <c r="M221" s="8">
        <v>50</v>
      </c>
      <c r="N221" s="8">
        <v>849</v>
      </c>
      <c r="O221" s="9">
        <f t="shared" si="3"/>
        <v>6.7119284977655555E-2</v>
      </c>
      <c r="P221" s="6" t="s">
        <v>22</v>
      </c>
    </row>
    <row r="222" spans="1:16" x14ac:dyDescent="0.25">
      <c r="A222" s="2" t="s">
        <v>513</v>
      </c>
      <c r="B222" s="2" t="s">
        <v>514</v>
      </c>
      <c r="C222" s="2" t="s">
        <v>25</v>
      </c>
      <c r="D222" s="3" t="s">
        <v>244</v>
      </c>
      <c r="E222" s="3" t="s">
        <v>45</v>
      </c>
      <c r="F222" s="2" t="s">
        <v>65</v>
      </c>
      <c r="G222" s="4">
        <v>312198</v>
      </c>
      <c r="H222" s="4">
        <v>122518</v>
      </c>
      <c r="I222" s="4">
        <v>104312</v>
      </c>
      <c r="J222" s="4">
        <v>5983</v>
      </c>
      <c r="K222" s="4">
        <v>389</v>
      </c>
      <c r="L222" s="4">
        <v>129</v>
      </c>
      <c r="M222" s="4">
        <v>405</v>
      </c>
      <c r="N222" s="4">
        <v>1018</v>
      </c>
      <c r="O222" s="5">
        <f t="shared" si="3"/>
        <v>6.6205230462458783E-2</v>
      </c>
      <c r="P222" s="2" t="s">
        <v>22</v>
      </c>
    </row>
    <row r="223" spans="1:16" x14ac:dyDescent="0.25">
      <c r="A223" s="6" t="s">
        <v>515</v>
      </c>
      <c r="B223" s="6" t="s">
        <v>516</v>
      </c>
      <c r="C223" s="6" t="s">
        <v>43</v>
      </c>
      <c r="D223" s="7" t="s">
        <v>81</v>
      </c>
      <c r="E223" s="7" t="s">
        <v>45</v>
      </c>
      <c r="F223" s="6" t="s">
        <v>107</v>
      </c>
      <c r="G223" s="8">
        <v>108710</v>
      </c>
      <c r="H223" s="8">
        <v>48622</v>
      </c>
      <c r="I223" s="8">
        <v>44611</v>
      </c>
      <c r="J223" s="8">
        <v>1836</v>
      </c>
      <c r="K223" s="8">
        <v>182</v>
      </c>
      <c r="L223" s="8">
        <v>60</v>
      </c>
      <c r="M223" s="8">
        <v>11</v>
      </c>
      <c r="N223" s="8">
        <v>1518</v>
      </c>
      <c r="O223" s="9">
        <f t="shared" si="3"/>
        <v>4.682701575844523E-2</v>
      </c>
      <c r="P223" s="6" t="s">
        <v>29</v>
      </c>
    </row>
    <row r="224" spans="1:16" x14ac:dyDescent="0.25">
      <c r="A224" s="2" t="s">
        <v>517</v>
      </c>
      <c r="B224" s="2" t="s">
        <v>518</v>
      </c>
      <c r="C224" s="2" t="s">
        <v>76</v>
      </c>
      <c r="D224" s="3" t="s">
        <v>77</v>
      </c>
      <c r="E224" s="3" t="s">
        <v>34</v>
      </c>
      <c r="F224" s="2" t="s">
        <v>87</v>
      </c>
      <c r="G224" s="4">
        <v>147617</v>
      </c>
      <c r="H224" s="4">
        <v>26156</v>
      </c>
      <c r="I224" s="4">
        <v>23456</v>
      </c>
      <c r="J224" s="4">
        <v>2021</v>
      </c>
      <c r="K224" s="4">
        <v>141</v>
      </c>
      <c r="L224" s="4">
        <v>233</v>
      </c>
      <c r="M224" s="4">
        <v>251</v>
      </c>
      <c r="N224" s="4">
        <v>399</v>
      </c>
      <c r="O224" s="5">
        <f t="shared" si="3"/>
        <v>0.11280695770804912</v>
      </c>
      <c r="P224" s="2" t="s">
        <v>22</v>
      </c>
    </row>
    <row r="225" spans="1:16" x14ac:dyDescent="0.25">
      <c r="A225" s="6" t="s">
        <v>519</v>
      </c>
      <c r="B225" s="6" t="s">
        <v>520</v>
      </c>
      <c r="C225" s="6" t="s">
        <v>32</v>
      </c>
      <c r="D225" s="7" t="s">
        <v>121</v>
      </c>
      <c r="E225" s="7" t="s">
        <v>39</v>
      </c>
      <c r="F225" s="6" t="s">
        <v>51</v>
      </c>
      <c r="G225" s="8">
        <v>121048</v>
      </c>
      <c r="H225" s="8">
        <v>59804</v>
      </c>
      <c r="I225" s="8">
        <v>43227</v>
      </c>
      <c r="J225" s="8">
        <v>4465</v>
      </c>
      <c r="K225" s="8">
        <v>457</v>
      </c>
      <c r="L225" s="8">
        <v>419</v>
      </c>
      <c r="M225" s="8">
        <v>28</v>
      </c>
      <c r="N225" s="8">
        <v>624</v>
      </c>
      <c r="O225" s="9">
        <f t="shared" si="3"/>
        <v>0.12420477942026974</v>
      </c>
      <c r="P225" s="6" t="s">
        <v>22</v>
      </c>
    </row>
    <row r="226" spans="1:16" x14ac:dyDescent="0.25">
      <c r="A226" s="2" t="s">
        <v>521</v>
      </c>
      <c r="B226" s="2" t="s">
        <v>522</v>
      </c>
      <c r="C226" s="2" t="s">
        <v>25</v>
      </c>
      <c r="D226" s="3" t="s">
        <v>26</v>
      </c>
      <c r="E226" s="3" t="s">
        <v>39</v>
      </c>
      <c r="F226" s="2" t="s">
        <v>54</v>
      </c>
      <c r="G226" s="4">
        <v>433762</v>
      </c>
      <c r="H226" s="4">
        <v>50360</v>
      </c>
      <c r="I226" s="4">
        <v>38733</v>
      </c>
      <c r="J226" s="4">
        <v>3136</v>
      </c>
      <c r="K226" s="4">
        <v>412</v>
      </c>
      <c r="L226" s="4">
        <v>375</v>
      </c>
      <c r="M226" s="4">
        <v>518</v>
      </c>
      <c r="N226" s="4">
        <v>1105</v>
      </c>
      <c r="O226" s="5">
        <f t="shared" si="3"/>
        <v>0.11465675263986781</v>
      </c>
      <c r="P226" s="2" t="s">
        <v>66</v>
      </c>
    </row>
    <row r="227" spans="1:16" x14ac:dyDescent="0.25">
      <c r="A227" s="6" t="s">
        <v>523</v>
      </c>
      <c r="B227" s="6" t="s">
        <v>524</v>
      </c>
      <c r="C227" s="6" t="s">
        <v>43</v>
      </c>
      <c r="D227" s="7" t="s">
        <v>81</v>
      </c>
      <c r="E227" s="7" t="s">
        <v>39</v>
      </c>
      <c r="F227" s="6" t="s">
        <v>107</v>
      </c>
      <c r="G227" s="8">
        <v>764449</v>
      </c>
      <c r="H227" s="8">
        <v>211811</v>
      </c>
      <c r="I227" s="8">
        <v>178156</v>
      </c>
      <c r="J227" s="8">
        <v>6125</v>
      </c>
      <c r="K227" s="8">
        <v>943</v>
      </c>
      <c r="L227" s="8">
        <v>832</v>
      </c>
      <c r="M227" s="8">
        <v>39</v>
      </c>
      <c r="N227" s="8">
        <v>1405</v>
      </c>
      <c r="O227" s="9">
        <f t="shared" si="3"/>
        <v>4.4562069197781717E-2</v>
      </c>
      <c r="P227" s="6" t="s">
        <v>29</v>
      </c>
    </row>
    <row r="228" spans="1:16" x14ac:dyDescent="0.25">
      <c r="A228" s="2" t="s">
        <v>525</v>
      </c>
      <c r="B228" s="2" t="s">
        <v>526</v>
      </c>
      <c r="C228" s="2" t="s">
        <v>32</v>
      </c>
      <c r="D228" s="3" t="s">
        <v>49</v>
      </c>
      <c r="E228" s="3" t="s">
        <v>34</v>
      </c>
      <c r="F228" s="2" t="s">
        <v>35</v>
      </c>
      <c r="G228" s="4">
        <v>338708</v>
      </c>
      <c r="H228" s="4">
        <v>214396</v>
      </c>
      <c r="I228" s="4">
        <v>173987</v>
      </c>
      <c r="J228" s="4">
        <v>11369</v>
      </c>
      <c r="K228" s="4">
        <v>986</v>
      </c>
      <c r="L228" s="4">
        <v>1435</v>
      </c>
      <c r="M228" s="4">
        <v>5</v>
      </c>
      <c r="N228" s="4">
        <v>4024</v>
      </c>
      <c r="O228" s="5">
        <f t="shared" si="3"/>
        <v>7.9287532976601696E-2</v>
      </c>
      <c r="P228" s="2" t="s">
        <v>29</v>
      </c>
    </row>
    <row r="229" spans="1:16" x14ac:dyDescent="0.25">
      <c r="A229" s="6" t="s">
        <v>527</v>
      </c>
      <c r="B229" s="6" t="s">
        <v>528</v>
      </c>
      <c r="C229" s="6" t="s">
        <v>32</v>
      </c>
      <c r="D229" s="7" t="s">
        <v>38</v>
      </c>
      <c r="E229" s="7" t="s">
        <v>34</v>
      </c>
      <c r="F229" s="6" t="s">
        <v>35</v>
      </c>
      <c r="G229" s="8">
        <v>783939</v>
      </c>
      <c r="H229" s="8">
        <v>108580</v>
      </c>
      <c r="I229" s="8">
        <v>76861</v>
      </c>
      <c r="J229" s="8">
        <v>5748</v>
      </c>
      <c r="K229" s="8">
        <v>884</v>
      </c>
      <c r="L229" s="8">
        <v>706</v>
      </c>
      <c r="M229" s="8">
        <v>39</v>
      </c>
      <c r="N229" s="8">
        <v>2619</v>
      </c>
      <c r="O229" s="9">
        <f t="shared" si="3"/>
        <v>9.5978454612872591E-2</v>
      </c>
      <c r="P229" s="6" t="s">
        <v>66</v>
      </c>
    </row>
    <row r="230" spans="1:16" x14ac:dyDescent="0.25">
      <c r="A230" s="2" t="s">
        <v>529</v>
      </c>
      <c r="B230" s="2" t="s">
        <v>530</v>
      </c>
      <c r="C230" s="2" t="s">
        <v>32</v>
      </c>
      <c r="D230" s="3" t="s">
        <v>38</v>
      </c>
      <c r="E230" s="3" t="s">
        <v>50</v>
      </c>
      <c r="F230" s="2" t="s">
        <v>128</v>
      </c>
      <c r="G230" s="4">
        <v>236246</v>
      </c>
      <c r="H230" s="4">
        <v>63603</v>
      </c>
      <c r="I230" s="4">
        <v>53194</v>
      </c>
      <c r="J230" s="4">
        <v>3077</v>
      </c>
      <c r="K230" s="4">
        <v>395</v>
      </c>
      <c r="L230" s="4">
        <v>347</v>
      </c>
      <c r="M230" s="4">
        <v>7</v>
      </c>
      <c r="N230" s="4">
        <v>503</v>
      </c>
      <c r="O230" s="5">
        <f t="shared" si="3"/>
        <v>7.1925405120878291E-2</v>
      </c>
      <c r="P230" s="2" t="s">
        <v>29</v>
      </c>
    </row>
    <row r="231" spans="1:16" x14ac:dyDescent="0.25">
      <c r="A231" s="6" t="s">
        <v>531</v>
      </c>
      <c r="B231" s="6" t="s">
        <v>532</v>
      </c>
      <c r="C231" s="6" t="s">
        <v>18</v>
      </c>
      <c r="D231" s="7" t="s">
        <v>92</v>
      </c>
      <c r="E231" s="7" t="s">
        <v>27</v>
      </c>
      <c r="F231" s="6" t="s">
        <v>58</v>
      </c>
      <c r="G231" s="8">
        <v>738701</v>
      </c>
      <c r="H231" s="8">
        <v>436734</v>
      </c>
      <c r="I231" s="8">
        <v>319208</v>
      </c>
      <c r="J231" s="8">
        <v>27519</v>
      </c>
      <c r="K231" s="8">
        <v>3804</v>
      </c>
      <c r="L231" s="8">
        <v>933</v>
      </c>
      <c r="M231" s="8">
        <v>4737</v>
      </c>
      <c r="N231" s="8">
        <v>4640</v>
      </c>
      <c r="O231" s="9">
        <f t="shared" si="3"/>
        <v>0.11588995263276609</v>
      </c>
      <c r="P231" s="6" t="s">
        <v>66</v>
      </c>
    </row>
    <row r="232" spans="1:16" x14ac:dyDescent="0.25">
      <c r="A232" s="2" t="s">
        <v>533</v>
      </c>
      <c r="B232" s="2" t="s">
        <v>534</v>
      </c>
      <c r="C232" s="2" t="s">
        <v>25</v>
      </c>
      <c r="D232" s="3" t="s">
        <v>244</v>
      </c>
      <c r="E232" s="3" t="s">
        <v>34</v>
      </c>
      <c r="F232" s="2" t="s">
        <v>65</v>
      </c>
      <c r="G232" s="4">
        <v>51259</v>
      </c>
      <c r="H232" s="4">
        <v>28569</v>
      </c>
      <c r="I232" s="4">
        <v>20772</v>
      </c>
      <c r="J232" s="4">
        <v>2099</v>
      </c>
      <c r="K232" s="4">
        <v>206</v>
      </c>
      <c r="L232" s="4">
        <v>202</v>
      </c>
      <c r="M232" s="4">
        <v>316</v>
      </c>
      <c r="N232" s="4">
        <v>968</v>
      </c>
      <c r="O232" s="5">
        <f t="shared" si="3"/>
        <v>0.13590410167533218</v>
      </c>
      <c r="P232" s="2" t="s">
        <v>22</v>
      </c>
    </row>
    <row r="233" spans="1:16" x14ac:dyDescent="0.25">
      <c r="A233" s="6" t="s">
        <v>535</v>
      </c>
      <c r="B233" s="6" t="s">
        <v>536</v>
      </c>
      <c r="C233" s="6" t="s">
        <v>32</v>
      </c>
      <c r="D233" s="7" t="s">
        <v>33</v>
      </c>
      <c r="E233" s="7" t="s">
        <v>39</v>
      </c>
      <c r="F233" s="6" t="s">
        <v>51</v>
      </c>
      <c r="G233" s="8">
        <v>727923</v>
      </c>
      <c r="H233" s="8">
        <v>361327</v>
      </c>
      <c r="I233" s="8">
        <v>261160</v>
      </c>
      <c r="J233" s="8">
        <v>21481</v>
      </c>
      <c r="K233" s="8">
        <v>2597</v>
      </c>
      <c r="L233" s="8">
        <v>1328</v>
      </c>
      <c r="M233" s="8">
        <v>24</v>
      </c>
      <c r="N233" s="8">
        <v>6344</v>
      </c>
      <c r="O233" s="9">
        <f t="shared" si="3"/>
        <v>9.7373257773012714E-2</v>
      </c>
      <c r="P233" s="6" t="s">
        <v>29</v>
      </c>
    </row>
    <row r="234" spans="1:16" x14ac:dyDescent="0.25">
      <c r="A234" s="2" t="s">
        <v>537</v>
      </c>
      <c r="B234" s="2" t="s">
        <v>538</v>
      </c>
      <c r="C234" s="2" t="s">
        <v>18</v>
      </c>
      <c r="D234" s="3" t="s">
        <v>231</v>
      </c>
      <c r="E234" s="3" t="s">
        <v>39</v>
      </c>
      <c r="F234" s="2" t="s">
        <v>21</v>
      </c>
      <c r="G234" s="4">
        <v>147392</v>
      </c>
      <c r="H234" s="4">
        <v>70601</v>
      </c>
      <c r="I234" s="4">
        <v>57377</v>
      </c>
      <c r="J234" s="4">
        <v>4983</v>
      </c>
      <c r="K234" s="4">
        <v>558</v>
      </c>
      <c r="L234" s="4">
        <v>303</v>
      </c>
      <c r="M234" s="4">
        <v>983</v>
      </c>
      <c r="N234" s="4">
        <v>1525</v>
      </c>
      <c r="O234" s="5">
        <f t="shared" si="3"/>
        <v>0.11898495912996497</v>
      </c>
      <c r="P234" s="2" t="s">
        <v>22</v>
      </c>
    </row>
    <row r="235" spans="1:16" x14ac:dyDescent="0.25">
      <c r="A235" s="6" t="s">
        <v>539</v>
      </c>
      <c r="B235" s="6" t="s">
        <v>540</v>
      </c>
      <c r="C235" s="6" t="s">
        <v>18</v>
      </c>
      <c r="D235" s="7" t="s">
        <v>19</v>
      </c>
      <c r="E235" s="7" t="s">
        <v>45</v>
      </c>
      <c r="F235" s="6" t="s">
        <v>73</v>
      </c>
      <c r="G235" s="8">
        <v>188950</v>
      </c>
      <c r="H235" s="8">
        <v>89894</v>
      </c>
      <c r="I235" s="8">
        <v>76974</v>
      </c>
      <c r="J235" s="8">
        <v>5901</v>
      </c>
      <c r="K235" s="8">
        <v>674</v>
      </c>
      <c r="L235" s="8">
        <v>565</v>
      </c>
      <c r="M235" s="8">
        <v>1407</v>
      </c>
      <c r="N235" s="8">
        <v>2364</v>
      </c>
      <c r="O235" s="9">
        <f t="shared" si="3"/>
        <v>0.11103749317951517</v>
      </c>
      <c r="P235" s="6" t="s">
        <v>29</v>
      </c>
    </row>
    <row r="236" spans="1:16" x14ac:dyDescent="0.25">
      <c r="A236" s="2" t="s">
        <v>541</v>
      </c>
      <c r="B236" s="2" t="s">
        <v>542</v>
      </c>
      <c r="C236" s="2" t="s">
        <v>32</v>
      </c>
      <c r="D236" s="3" t="s">
        <v>175</v>
      </c>
      <c r="E236" s="3" t="s">
        <v>27</v>
      </c>
      <c r="F236" s="2" t="s">
        <v>128</v>
      </c>
      <c r="G236" s="4">
        <v>28999</v>
      </c>
      <c r="H236" s="4">
        <v>3197</v>
      </c>
      <c r="I236" s="4">
        <v>2378</v>
      </c>
      <c r="J236" s="4">
        <v>207</v>
      </c>
      <c r="K236" s="4">
        <v>11</v>
      </c>
      <c r="L236" s="4">
        <v>11</v>
      </c>
      <c r="M236" s="4">
        <v>16</v>
      </c>
      <c r="N236" s="4">
        <v>30</v>
      </c>
      <c r="O236" s="5">
        <f t="shared" si="3"/>
        <v>0.1030277544154752</v>
      </c>
      <c r="P236" s="2" t="s">
        <v>22</v>
      </c>
    </row>
    <row r="237" spans="1:16" x14ac:dyDescent="0.25">
      <c r="A237" s="6" t="s">
        <v>543</v>
      </c>
      <c r="B237" s="6" t="s">
        <v>544</v>
      </c>
      <c r="C237" s="6" t="s">
        <v>43</v>
      </c>
      <c r="D237" s="7" t="s">
        <v>81</v>
      </c>
      <c r="E237" s="7" t="s">
        <v>50</v>
      </c>
      <c r="F237" s="6" t="s">
        <v>46</v>
      </c>
      <c r="G237" s="8">
        <v>109958</v>
      </c>
      <c r="H237" s="8">
        <v>51135</v>
      </c>
      <c r="I237" s="8">
        <v>45523</v>
      </c>
      <c r="J237" s="8">
        <v>3300</v>
      </c>
      <c r="K237" s="8">
        <v>376</v>
      </c>
      <c r="L237" s="8">
        <v>167</v>
      </c>
      <c r="M237" s="8">
        <v>50</v>
      </c>
      <c r="N237" s="8">
        <v>1478</v>
      </c>
      <c r="O237" s="9">
        <f t="shared" si="3"/>
        <v>8.5517211080113356E-2</v>
      </c>
      <c r="P237" s="6" t="s">
        <v>29</v>
      </c>
    </row>
    <row r="238" spans="1:16" x14ac:dyDescent="0.25">
      <c r="A238" s="2" t="s">
        <v>545</v>
      </c>
      <c r="B238" s="2" t="s">
        <v>546</v>
      </c>
      <c r="C238" s="2" t="s">
        <v>32</v>
      </c>
      <c r="D238" s="3" t="s">
        <v>121</v>
      </c>
      <c r="E238" s="3" t="s">
        <v>39</v>
      </c>
      <c r="F238" s="2" t="s">
        <v>40</v>
      </c>
      <c r="G238" s="4">
        <v>581444</v>
      </c>
      <c r="H238" s="4">
        <v>292984</v>
      </c>
      <c r="I238" s="4">
        <v>245088</v>
      </c>
      <c r="J238" s="4">
        <v>19587</v>
      </c>
      <c r="K238" s="4">
        <v>3144</v>
      </c>
      <c r="L238" s="4">
        <v>2505</v>
      </c>
      <c r="M238" s="4">
        <v>40</v>
      </c>
      <c r="N238" s="4">
        <v>7658</v>
      </c>
      <c r="O238" s="5">
        <f t="shared" si="3"/>
        <v>0.10313030421726074</v>
      </c>
      <c r="P238" s="2" t="s">
        <v>29</v>
      </c>
    </row>
    <row r="239" spans="1:16" x14ac:dyDescent="0.25">
      <c r="A239" s="6" t="s">
        <v>547</v>
      </c>
      <c r="B239" s="6" t="s">
        <v>548</v>
      </c>
      <c r="C239" s="6" t="s">
        <v>43</v>
      </c>
      <c r="D239" s="7" t="s">
        <v>44</v>
      </c>
      <c r="E239" s="7" t="s">
        <v>45</v>
      </c>
      <c r="F239" s="6" t="s">
        <v>70</v>
      </c>
      <c r="G239" s="8">
        <v>310967</v>
      </c>
      <c r="H239" s="8">
        <v>199195</v>
      </c>
      <c r="I239" s="8">
        <v>147630</v>
      </c>
      <c r="J239" s="8">
        <v>6061</v>
      </c>
      <c r="K239" s="8">
        <v>648</v>
      </c>
      <c r="L239" s="8">
        <v>418</v>
      </c>
      <c r="M239" s="8">
        <v>27</v>
      </c>
      <c r="N239" s="8">
        <v>2663</v>
      </c>
      <c r="O239" s="9">
        <f t="shared" si="3"/>
        <v>4.8458985301090565E-2</v>
      </c>
      <c r="P239" s="6" t="s">
        <v>22</v>
      </c>
    </row>
    <row r="240" spans="1:16" x14ac:dyDescent="0.25">
      <c r="A240" s="2" t="s">
        <v>549</v>
      </c>
      <c r="B240" s="2" t="s">
        <v>550</v>
      </c>
      <c r="C240" s="2" t="s">
        <v>76</v>
      </c>
      <c r="D240" s="3" t="s">
        <v>103</v>
      </c>
      <c r="E240" s="3" t="s">
        <v>39</v>
      </c>
      <c r="F240" s="2" t="s">
        <v>155</v>
      </c>
      <c r="G240" s="4">
        <v>44380</v>
      </c>
      <c r="H240" s="4">
        <v>11711</v>
      </c>
      <c r="I240" s="4">
        <v>10190</v>
      </c>
      <c r="J240" s="4">
        <v>673</v>
      </c>
      <c r="K240" s="4">
        <v>105</v>
      </c>
      <c r="L240" s="4">
        <v>39</v>
      </c>
      <c r="M240" s="4">
        <v>139</v>
      </c>
      <c r="N240" s="4">
        <v>251</v>
      </c>
      <c r="O240" s="5">
        <f t="shared" si="3"/>
        <v>9.3817468105986263E-2</v>
      </c>
      <c r="P240" s="2" t="s">
        <v>22</v>
      </c>
    </row>
    <row r="241" spans="1:16" x14ac:dyDescent="0.25">
      <c r="A241" s="6" t="s">
        <v>551</v>
      </c>
      <c r="B241" s="6" t="s">
        <v>552</v>
      </c>
      <c r="C241" s="6" t="s">
        <v>25</v>
      </c>
      <c r="D241" s="7" t="s">
        <v>61</v>
      </c>
      <c r="E241" s="7" t="s">
        <v>34</v>
      </c>
      <c r="F241" s="6" t="s">
        <v>146</v>
      </c>
      <c r="G241" s="8">
        <v>438635</v>
      </c>
      <c r="H241" s="8">
        <v>135953</v>
      </c>
      <c r="I241" s="8">
        <v>101783</v>
      </c>
      <c r="J241" s="8">
        <v>4459</v>
      </c>
      <c r="K241" s="8">
        <v>355</v>
      </c>
      <c r="L241" s="8">
        <v>298</v>
      </c>
      <c r="M241" s="8">
        <v>417</v>
      </c>
      <c r="N241" s="8">
        <v>3749</v>
      </c>
      <c r="O241" s="9">
        <f t="shared" si="3"/>
        <v>5.4321448571961917E-2</v>
      </c>
      <c r="P241" s="6" t="s">
        <v>22</v>
      </c>
    </row>
    <row r="242" spans="1:16" x14ac:dyDescent="0.25">
      <c r="A242" s="2" t="s">
        <v>553</v>
      </c>
      <c r="B242" s="2" t="s">
        <v>554</v>
      </c>
      <c r="C242" s="2" t="s">
        <v>18</v>
      </c>
      <c r="D242" s="3" t="s">
        <v>57</v>
      </c>
      <c r="E242" s="3" t="s">
        <v>20</v>
      </c>
      <c r="F242" s="2" t="s">
        <v>73</v>
      </c>
      <c r="G242" s="4">
        <v>646012</v>
      </c>
      <c r="H242" s="4">
        <v>141464</v>
      </c>
      <c r="I242" s="4">
        <v>120267</v>
      </c>
      <c r="J242" s="4">
        <v>5553</v>
      </c>
      <c r="K242" s="4">
        <v>929</v>
      </c>
      <c r="L242" s="4">
        <v>793</v>
      </c>
      <c r="M242" s="4">
        <v>706</v>
      </c>
      <c r="N242" s="4">
        <v>3000</v>
      </c>
      <c r="O242" s="5">
        <f t="shared" si="3"/>
        <v>6.6360680818512138E-2</v>
      </c>
      <c r="P242" s="2" t="s">
        <v>22</v>
      </c>
    </row>
    <row r="243" spans="1:16" x14ac:dyDescent="0.25">
      <c r="A243" s="6" t="s">
        <v>555</v>
      </c>
      <c r="B243" s="6" t="s">
        <v>556</v>
      </c>
      <c r="C243" s="6" t="s">
        <v>43</v>
      </c>
      <c r="D243" s="7" t="s">
        <v>69</v>
      </c>
      <c r="E243" s="7" t="s">
        <v>39</v>
      </c>
      <c r="F243" s="6" t="s">
        <v>70</v>
      </c>
      <c r="G243" s="8">
        <v>313333</v>
      </c>
      <c r="H243" s="8">
        <v>59449</v>
      </c>
      <c r="I243" s="8">
        <v>42691</v>
      </c>
      <c r="J243" s="8">
        <v>1531</v>
      </c>
      <c r="K243" s="8">
        <v>269</v>
      </c>
      <c r="L243" s="8">
        <v>184</v>
      </c>
      <c r="M243" s="8">
        <v>34</v>
      </c>
      <c r="N243" s="8">
        <v>310</v>
      </c>
      <c r="O243" s="9">
        <f t="shared" si="3"/>
        <v>4.7269916375816914E-2</v>
      </c>
      <c r="P243" s="6" t="s">
        <v>22</v>
      </c>
    </row>
    <row r="244" spans="1:16" x14ac:dyDescent="0.25">
      <c r="A244" s="2" t="s">
        <v>557</v>
      </c>
      <c r="B244" s="2" t="s">
        <v>558</v>
      </c>
      <c r="C244" s="2" t="s">
        <v>32</v>
      </c>
      <c r="D244" s="3" t="s">
        <v>175</v>
      </c>
      <c r="E244" s="3" t="s">
        <v>20</v>
      </c>
      <c r="F244" s="2" t="s">
        <v>35</v>
      </c>
      <c r="G244" s="4">
        <v>680468</v>
      </c>
      <c r="H244" s="4">
        <v>82410</v>
      </c>
      <c r="I244" s="4">
        <v>60474</v>
      </c>
      <c r="J244" s="4">
        <v>3918</v>
      </c>
      <c r="K244" s="4">
        <v>312</v>
      </c>
      <c r="L244" s="4">
        <v>122</v>
      </c>
      <c r="M244" s="4">
        <v>3</v>
      </c>
      <c r="N244" s="4">
        <v>852</v>
      </c>
      <c r="O244" s="5">
        <f t="shared" si="3"/>
        <v>7.2014419419916001E-2</v>
      </c>
      <c r="P244" s="2" t="s">
        <v>22</v>
      </c>
    </row>
    <row r="245" spans="1:16" x14ac:dyDescent="0.25">
      <c r="A245" s="6" t="s">
        <v>559</v>
      </c>
      <c r="B245" s="6" t="s">
        <v>560</v>
      </c>
      <c r="C245" s="6" t="s">
        <v>18</v>
      </c>
      <c r="D245" s="7" t="s">
        <v>57</v>
      </c>
      <c r="E245" s="7" t="s">
        <v>39</v>
      </c>
      <c r="F245" s="6" t="s">
        <v>58</v>
      </c>
      <c r="G245" s="8">
        <v>663330</v>
      </c>
      <c r="H245" s="8">
        <v>172698</v>
      </c>
      <c r="I245" s="8">
        <v>146469</v>
      </c>
      <c r="J245" s="8">
        <v>8995</v>
      </c>
      <c r="K245" s="8">
        <v>1135</v>
      </c>
      <c r="L245" s="8">
        <v>902</v>
      </c>
      <c r="M245" s="8">
        <v>1809</v>
      </c>
      <c r="N245" s="8">
        <v>3897</v>
      </c>
      <c r="O245" s="9">
        <f t="shared" si="3"/>
        <v>8.7670428554847787E-2</v>
      </c>
      <c r="P245" s="6" t="s">
        <v>29</v>
      </c>
    </row>
    <row r="246" spans="1:16" x14ac:dyDescent="0.25">
      <c r="A246" s="2" t="s">
        <v>561</v>
      </c>
      <c r="B246" s="2" t="s">
        <v>562</v>
      </c>
      <c r="C246" s="2" t="s">
        <v>76</v>
      </c>
      <c r="D246" s="3" t="s">
        <v>103</v>
      </c>
      <c r="E246" s="3" t="s">
        <v>45</v>
      </c>
      <c r="F246" s="2" t="s">
        <v>78</v>
      </c>
      <c r="G246" s="4">
        <v>638530</v>
      </c>
      <c r="H246" s="4">
        <v>329613</v>
      </c>
      <c r="I246" s="4">
        <v>258387</v>
      </c>
      <c r="J246" s="4">
        <v>22851</v>
      </c>
      <c r="K246" s="4">
        <v>791</v>
      </c>
      <c r="L246" s="4">
        <v>921</v>
      </c>
      <c r="M246" s="4">
        <v>2147</v>
      </c>
      <c r="N246" s="4">
        <v>9032</v>
      </c>
      <c r="O246" s="5">
        <f t="shared" si="3"/>
        <v>0.10337207367243709</v>
      </c>
      <c r="P246" s="2" t="s">
        <v>29</v>
      </c>
    </row>
    <row r="247" spans="1:16" x14ac:dyDescent="0.25">
      <c r="A247" s="6" t="s">
        <v>563</v>
      </c>
      <c r="B247" s="6" t="s">
        <v>564</v>
      </c>
      <c r="C247" s="6" t="s">
        <v>25</v>
      </c>
      <c r="D247" s="7" t="s">
        <v>244</v>
      </c>
      <c r="E247" s="7" t="s">
        <v>45</v>
      </c>
      <c r="F247" s="6" t="s">
        <v>28</v>
      </c>
      <c r="G247" s="8">
        <v>14191</v>
      </c>
      <c r="H247" s="8">
        <v>5625</v>
      </c>
      <c r="I247" s="8">
        <v>3989</v>
      </c>
      <c r="J247" s="8">
        <v>305</v>
      </c>
      <c r="K247" s="8">
        <v>27</v>
      </c>
      <c r="L247" s="8">
        <v>27</v>
      </c>
      <c r="M247" s="8">
        <v>20</v>
      </c>
      <c r="N247" s="8">
        <v>63</v>
      </c>
      <c r="O247" s="9">
        <f t="shared" si="3"/>
        <v>9.5011281022812741E-2</v>
      </c>
      <c r="P247" s="6" t="s">
        <v>29</v>
      </c>
    </row>
    <row r="248" spans="1:16" x14ac:dyDescent="0.25">
      <c r="A248" s="2" t="s">
        <v>565</v>
      </c>
      <c r="B248" s="2" t="s">
        <v>566</v>
      </c>
      <c r="C248" s="2" t="s">
        <v>43</v>
      </c>
      <c r="D248" s="3" t="s">
        <v>44</v>
      </c>
      <c r="E248" s="3" t="s">
        <v>20</v>
      </c>
      <c r="F248" s="2" t="s">
        <v>70</v>
      </c>
      <c r="G248" s="4">
        <v>234012</v>
      </c>
      <c r="H248" s="4">
        <v>52433</v>
      </c>
      <c r="I248" s="4">
        <v>38795</v>
      </c>
      <c r="J248" s="4">
        <v>3564</v>
      </c>
      <c r="K248" s="4">
        <v>562</v>
      </c>
      <c r="L248" s="4">
        <v>465</v>
      </c>
      <c r="M248" s="4">
        <v>35</v>
      </c>
      <c r="N248" s="4">
        <v>987</v>
      </c>
      <c r="O248" s="5">
        <f t="shared" si="3"/>
        <v>0.11924217038278129</v>
      </c>
      <c r="P248" s="2" t="s">
        <v>22</v>
      </c>
    </row>
    <row r="249" spans="1:16" x14ac:dyDescent="0.25">
      <c r="A249" s="6" t="s">
        <v>567</v>
      </c>
      <c r="B249" s="6" t="s">
        <v>568</v>
      </c>
      <c r="C249" s="6" t="s">
        <v>76</v>
      </c>
      <c r="D249" s="7" t="s">
        <v>86</v>
      </c>
      <c r="E249" s="7" t="s">
        <v>45</v>
      </c>
      <c r="F249" s="6" t="s">
        <v>104</v>
      </c>
      <c r="G249" s="8">
        <v>349422</v>
      </c>
      <c r="H249" s="8">
        <v>161656</v>
      </c>
      <c r="I249" s="8">
        <v>116717</v>
      </c>
      <c r="J249" s="8">
        <v>9242</v>
      </c>
      <c r="K249" s="8">
        <v>1525</v>
      </c>
      <c r="L249" s="8">
        <v>566</v>
      </c>
      <c r="M249" s="8">
        <v>1295</v>
      </c>
      <c r="N249" s="8">
        <v>3797</v>
      </c>
      <c r="O249" s="9">
        <f t="shared" si="3"/>
        <v>0.10819332230951789</v>
      </c>
      <c r="P249" s="6" t="s">
        <v>22</v>
      </c>
    </row>
    <row r="250" spans="1:16" x14ac:dyDescent="0.25">
      <c r="A250" s="2" t="s">
        <v>569</v>
      </c>
      <c r="B250" s="2" t="s">
        <v>570</v>
      </c>
      <c r="C250" s="2" t="s">
        <v>18</v>
      </c>
      <c r="D250" s="3" t="s">
        <v>231</v>
      </c>
      <c r="E250" s="3" t="s">
        <v>39</v>
      </c>
      <c r="F250" s="2" t="s">
        <v>21</v>
      </c>
      <c r="G250" s="4">
        <v>7566</v>
      </c>
      <c r="H250" s="4">
        <v>3993</v>
      </c>
      <c r="I250" s="4">
        <v>3444</v>
      </c>
      <c r="J250" s="4">
        <v>184</v>
      </c>
      <c r="K250" s="4">
        <v>28</v>
      </c>
      <c r="L250" s="4">
        <v>6</v>
      </c>
      <c r="M250" s="4">
        <v>36</v>
      </c>
      <c r="N250" s="4">
        <v>125</v>
      </c>
      <c r="O250" s="5">
        <f t="shared" si="3"/>
        <v>7.3751451800232293E-2</v>
      </c>
      <c r="P250" s="2" t="s">
        <v>22</v>
      </c>
    </row>
    <row r="251" spans="1:16" x14ac:dyDescent="0.25">
      <c r="A251" s="6" t="s">
        <v>571</v>
      </c>
      <c r="B251" s="6" t="s">
        <v>572</v>
      </c>
      <c r="C251" s="6" t="s">
        <v>76</v>
      </c>
      <c r="D251" s="7" t="s">
        <v>86</v>
      </c>
      <c r="E251" s="7" t="s">
        <v>45</v>
      </c>
      <c r="F251" s="6" t="s">
        <v>87</v>
      </c>
      <c r="G251" s="8">
        <v>296747</v>
      </c>
      <c r="H251" s="8">
        <v>47420</v>
      </c>
      <c r="I251" s="8">
        <v>35243</v>
      </c>
      <c r="J251" s="8">
        <v>3035</v>
      </c>
      <c r="K251" s="8">
        <v>376</v>
      </c>
      <c r="L251" s="8">
        <v>347</v>
      </c>
      <c r="M251" s="8">
        <v>693</v>
      </c>
      <c r="N251" s="8">
        <v>1445</v>
      </c>
      <c r="O251" s="9">
        <f t="shared" si="3"/>
        <v>0.12629458332151067</v>
      </c>
      <c r="P251" s="6" t="s">
        <v>29</v>
      </c>
    </row>
    <row r="252" spans="1:16" x14ac:dyDescent="0.25">
      <c r="A252" s="2" t="s">
        <v>573</v>
      </c>
      <c r="B252" s="2" t="s">
        <v>574</v>
      </c>
      <c r="C252" s="2" t="s">
        <v>43</v>
      </c>
      <c r="D252" s="3" t="s">
        <v>44</v>
      </c>
      <c r="E252" s="3" t="s">
        <v>34</v>
      </c>
      <c r="F252" s="2" t="s">
        <v>107</v>
      </c>
      <c r="G252" s="4">
        <v>275776</v>
      </c>
      <c r="H252" s="4">
        <v>179054</v>
      </c>
      <c r="I252" s="4">
        <v>151096</v>
      </c>
      <c r="J252" s="4">
        <v>5177</v>
      </c>
      <c r="K252" s="4">
        <v>460</v>
      </c>
      <c r="L252" s="4">
        <v>703</v>
      </c>
      <c r="M252" s="4">
        <v>37</v>
      </c>
      <c r="N252" s="4">
        <v>4833</v>
      </c>
      <c r="O252" s="5">
        <f t="shared" si="3"/>
        <v>4.2204955789696616E-2</v>
      </c>
      <c r="P252" s="2" t="s">
        <v>22</v>
      </c>
    </row>
    <row r="253" spans="1:16" x14ac:dyDescent="0.25">
      <c r="A253" s="6" t="s">
        <v>575</v>
      </c>
      <c r="B253" s="6" t="s">
        <v>576</v>
      </c>
      <c r="C253" s="6" t="s">
        <v>32</v>
      </c>
      <c r="D253" s="7" t="s">
        <v>38</v>
      </c>
      <c r="E253" s="7" t="s">
        <v>27</v>
      </c>
      <c r="F253" s="6" t="s">
        <v>128</v>
      </c>
      <c r="G253" s="8">
        <v>697368</v>
      </c>
      <c r="H253" s="8">
        <v>438979</v>
      </c>
      <c r="I253" s="8">
        <v>373358</v>
      </c>
      <c r="J253" s="8">
        <v>28723</v>
      </c>
      <c r="K253" s="8">
        <v>1466</v>
      </c>
      <c r="L253" s="8">
        <v>1168</v>
      </c>
      <c r="M253" s="8">
        <v>36</v>
      </c>
      <c r="N253" s="8">
        <v>14688</v>
      </c>
      <c r="O253" s="9">
        <f t="shared" si="3"/>
        <v>8.4082837383958553E-2</v>
      </c>
      <c r="P253" s="6" t="s">
        <v>29</v>
      </c>
    </row>
    <row r="254" spans="1:16" x14ac:dyDescent="0.25">
      <c r="A254" s="2" t="s">
        <v>577</v>
      </c>
      <c r="B254" s="2" t="s">
        <v>578</v>
      </c>
      <c r="C254" s="2" t="s">
        <v>18</v>
      </c>
      <c r="D254" s="3" t="s">
        <v>226</v>
      </c>
      <c r="E254" s="3" t="s">
        <v>20</v>
      </c>
      <c r="F254" s="2" t="s">
        <v>58</v>
      </c>
      <c r="G254" s="4">
        <v>245507</v>
      </c>
      <c r="H254" s="4">
        <v>71338</v>
      </c>
      <c r="I254" s="4">
        <v>60429</v>
      </c>
      <c r="J254" s="4">
        <v>3643</v>
      </c>
      <c r="K254" s="4">
        <v>541</v>
      </c>
      <c r="L254" s="4">
        <v>256</v>
      </c>
      <c r="M254" s="4">
        <v>850</v>
      </c>
      <c r="N254" s="4">
        <v>2243</v>
      </c>
      <c r="O254" s="5">
        <f t="shared" si="3"/>
        <v>8.7540750302007309E-2</v>
      </c>
      <c r="P254" s="2" t="s">
        <v>22</v>
      </c>
    </row>
    <row r="255" spans="1:16" x14ac:dyDescent="0.25">
      <c r="A255" s="6" t="s">
        <v>579</v>
      </c>
      <c r="B255" s="6" t="s">
        <v>580</v>
      </c>
      <c r="C255" s="6" t="s">
        <v>43</v>
      </c>
      <c r="D255" s="7" t="s">
        <v>110</v>
      </c>
      <c r="E255" s="7" t="s">
        <v>45</v>
      </c>
      <c r="F255" s="6" t="s">
        <v>46</v>
      </c>
      <c r="G255" s="8">
        <v>609239</v>
      </c>
      <c r="H255" s="8">
        <v>109111</v>
      </c>
      <c r="I255" s="8">
        <v>85463</v>
      </c>
      <c r="J255" s="8">
        <v>6029</v>
      </c>
      <c r="K255" s="8">
        <v>993</v>
      </c>
      <c r="L255" s="8">
        <v>181</v>
      </c>
      <c r="M255" s="8">
        <v>16</v>
      </c>
      <c r="N255" s="8">
        <v>1777</v>
      </c>
      <c r="O255" s="9">
        <f t="shared" si="3"/>
        <v>8.4469302505177674E-2</v>
      </c>
      <c r="P255" s="6" t="s">
        <v>66</v>
      </c>
    </row>
    <row r="256" spans="1:16" x14ac:dyDescent="0.25">
      <c r="A256" s="2" t="s">
        <v>581</v>
      </c>
      <c r="B256" s="2" t="s">
        <v>582</v>
      </c>
      <c r="C256" s="2" t="s">
        <v>18</v>
      </c>
      <c r="D256" s="3" t="s">
        <v>57</v>
      </c>
      <c r="E256" s="3" t="s">
        <v>39</v>
      </c>
      <c r="F256" s="2" t="s">
        <v>73</v>
      </c>
      <c r="G256" s="4">
        <v>9418</v>
      </c>
      <c r="H256" s="4">
        <v>1499</v>
      </c>
      <c r="I256" s="4">
        <v>1125</v>
      </c>
      <c r="J256" s="4">
        <v>76</v>
      </c>
      <c r="K256" s="4">
        <v>5</v>
      </c>
      <c r="L256" s="4">
        <v>3</v>
      </c>
      <c r="M256" s="4">
        <v>6</v>
      </c>
      <c r="N256" s="4">
        <v>34</v>
      </c>
      <c r="O256" s="5">
        <f t="shared" si="3"/>
        <v>0.08</v>
      </c>
      <c r="P256" s="2" t="s">
        <v>29</v>
      </c>
    </row>
    <row r="257" spans="1:16" x14ac:dyDescent="0.25">
      <c r="A257" s="6" t="s">
        <v>583</v>
      </c>
      <c r="B257" s="6" t="s">
        <v>584</v>
      </c>
      <c r="C257" s="6" t="s">
        <v>18</v>
      </c>
      <c r="D257" s="7" t="s">
        <v>226</v>
      </c>
      <c r="E257" s="7" t="s">
        <v>39</v>
      </c>
      <c r="F257" s="6" t="s">
        <v>73</v>
      </c>
      <c r="G257" s="8">
        <v>504573</v>
      </c>
      <c r="H257" s="8">
        <v>210281</v>
      </c>
      <c r="I257" s="8">
        <v>185749</v>
      </c>
      <c r="J257" s="8">
        <v>4488</v>
      </c>
      <c r="K257" s="8">
        <v>163</v>
      </c>
      <c r="L257" s="8">
        <v>424</v>
      </c>
      <c r="M257" s="8">
        <v>369</v>
      </c>
      <c r="N257" s="8">
        <v>5022</v>
      </c>
      <c r="O257" s="9">
        <f t="shared" si="3"/>
        <v>2.9308367743567935E-2</v>
      </c>
      <c r="P257" s="6" t="s">
        <v>22</v>
      </c>
    </row>
    <row r="258" spans="1:16" x14ac:dyDescent="0.25">
      <c r="A258" s="2" t="s">
        <v>585</v>
      </c>
      <c r="B258" s="2" t="s">
        <v>586</v>
      </c>
      <c r="C258" s="2" t="s">
        <v>18</v>
      </c>
      <c r="D258" s="3" t="s">
        <v>19</v>
      </c>
      <c r="E258" s="3" t="s">
        <v>27</v>
      </c>
      <c r="F258" s="2" t="s">
        <v>58</v>
      </c>
      <c r="G258" s="4">
        <v>630971</v>
      </c>
      <c r="H258" s="4">
        <v>279800</v>
      </c>
      <c r="I258" s="4">
        <v>240671</v>
      </c>
      <c r="J258" s="4">
        <v>19384</v>
      </c>
      <c r="K258" s="4">
        <v>3335</v>
      </c>
      <c r="L258" s="4">
        <v>933</v>
      </c>
      <c r="M258" s="4">
        <v>3320</v>
      </c>
      <c r="N258" s="4">
        <v>5356</v>
      </c>
      <c r="O258" s="5">
        <f t="shared" ref="O258:O321" si="4">IF(I258&gt;0, (J258+K258+L258+M258)/I258, 0)</f>
        <v>0.11207000427970133</v>
      </c>
      <c r="P258" s="2" t="s">
        <v>22</v>
      </c>
    </row>
    <row r="259" spans="1:16" x14ac:dyDescent="0.25">
      <c r="A259" s="6" t="s">
        <v>587</v>
      </c>
      <c r="B259" s="6" t="s">
        <v>588</v>
      </c>
      <c r="C259" s="6" t="s">
        <v>43</v>
      </c>
      <c r="D259" s="7" t="s">
        <v>44</v>
      </c>
      <c r="E259" s="7" t="s">
        <v>27</v>
      </c>
      <c r="F259" s="6" t="s">
        <v>107</v>
      </c>
      <c r="G259" s="8">
        <v>538117</v>
      </c>
      <c r="H259" s="8">
        <v>265176</v>
      </c>
      <c r="I259" s="8">
        <v>239432</v>
      </c>
      <c r="J259" s="8">
        <v>14794</v>
      </c>
      <c r="K259" s="8">
        <v>596</v>
      </c>
      <c r="L259" s="8">
        <v>1023</v>
      </c>
      <c r="M259" s="8">
        <v>8</v>
      </c>
      <c r="N259" s="8">
        <v>2189</v>
      </c>
      <c r="O259" s="9">
        <f t="shared" si="4"/>
        <v>6.8583146780714352E-2</v>
      </c>
      <c r="P259" s="6" t="s">
        <v>22</v>
      </c>
    </row>
    <row r="260" spans="1:16" x14ac:dyDescent="0.25">
      <c r="A260" s="2" t="s">
        <v>589</v>
      </c>
      <c r="B260" s="2" t="s">
        <v>590</v>
      </c>
      <c r="C260" s="2" t="s">
        <v>25</v>
      </c>
      <c r="D260" s="3" t="s">
        <v>61</v>
      </c>
      <c r="E260" s="3" t="s">
        <v>34</v>
      </c>
      <c r="F260" s="2" t="s">
        <v>146</v>
      </c>
      <c r="G260" s="4">
        <v>501485</v>
      </c>
      <c r="H260" s="4">
        <v>211573</v>
      </c>
      <c r="I260" s="4">
        <v>172837</v>
      </c>
      <c r="J260" s="4">
        <v>13782</v>
      </c>
      <c r="K260" s="4">
        <v>606</v>
      </c>
      <c r="L260" s="4">
        <v>1457</v>
      </c>
      <c r="M260" s="4">
        <v>3175</v>
      </c>
      <c r="N260" s="4">
        <v>4480</v>
      </c>
      <c r="O260" s="5">
        <f t="shared" si="4"/>
        <v>0.11004588137956572</v>
      </c>
      <c r="P260" s="2" t="s">
        <v>22</v>
      </c>
    </row>
    <row r="261" spans="1:16" x14ac:dyDescent="0.25">
      <c r="A261" s="6" t="s">
        <v>591</v>
      </c>
      <c r="B261" s="6" t="s">
        <v>592</v>
      </c>
      <c r="C261" s="6" t="s">
        <v>43</v>
      </c>
      <c r="D261" s="7" t="s">
        <v>69</v>
      </c>
      <c r="E261" s="7" t="s">
        <v>50</v>
      </c>
      <c r="F261" s="6" t="s">
        <v>70</v>
      </c>
      <c r="G261" s="8">
        <v>734031</v>
      </c>
      <c r="H261" s="8">
        <v>154738</v>
      </c>
      <c r="I261" s="8">
        <v>124729</v>
      </c>
      <c r="J261" s="8">
        <v>10231</v>
      </c>
      <c r="K261" s="8">
        <v>844</v>
      </c>
      <c r="L261" s="8">
        <v>1274</v>
      </c>
      <c r="M261" s="8">
        <v>48</v>
      </c>
      <c r="N261" s="8">
        <v>4660</v>
      </c>
      <c r="O261" s="9">
        <f t="shared" si="4"/>
        <v>9.9391480730223122E-2</v>
      </c>
      <c r="P261" s="6" t="s">
        <v>22</v>
      </c>
    </row>
    <row r="262" spans="1:16" x14ac:dyDescent="0.25">
      <c r="A262" s="2" t="s">
        <v>593</v>
      </c>
      <c r="B262" s="2" t="s">
        <v>594</v>
      </c>
      <c r="C262" s="2" t="s">
        <v>25</v>
      </c>
      <c r="D262" s="3" t="s">
        <v>145</v>
      </c>
      <c r="E262" s="3" t="s">
        <v>50</v>
      </c>
      <c r="F262" s="2" t="s">
        <v>65</v>
      </c>
      <c r="G262" s="4">
        <v>272828</v>
      </c>
      <c r="H262" s="4">
        <v>132107</v>
      </c>
      <c r="I262" s="4">
        <v>92681</v>
      </c>
      <c r="J262" s="4">
        <v>6784</v>
      </c>
      <c r="K262" s="4">
        <v>732</v>
      </c>
      <c r="L262" s="4">
        <v>466</v>
      </c>
      <c r="M262" s="4">
        <v>617</v>
      </c>
      <c r="N262" s="4">
        <v>3848</v>
      </c>
      <c r="O262" s="5">
        <f t="shared" si="4"/>
        <v>9.2780613070640158E-2</v>
      </c>
      <c r="P262" s="2" t="s">
        <v>22</v>
      </c>
    </row>
    <row r="263" spans="1:16" x14ac:dyDescent="0.25">
      <c r="A263" s="6" t="s">
        <v>595</v>
      </c>
      <c r="B263" s="6" t="s">
        <v>596</v>
      </c>
      <c r="C263" s="6" t="s">
        <v>43</v>
      </c>
      <c r="D263" s="7" t="s">
        <v>110</v>
      </c>
      <c r="E263" s="7" t="s">
        <v>50</v>
      </c>
      <c r="F263" s="6" t="s">
        <v>107</v>
      </c>
      <c r="G263" s="8">
        <v>446636</v>
      </c>
      <c r="H263" s="8">
        <v>191505</v>
      </c>
      <c r="I263" s="8">
        <v>150798</v>
      </c>
      <c r="J263" s="8">
        <v>6170</v>
      </c>
      <c r="K263" s="8">
        <v>696</v>
      </c>
      <c r="L263" s="8">
        <v>570</v>
      </c>
      <c r="M263" s="8">
        <v>11</v>
      </c>
      <c r="N263" s="8">
        <v>3084</v>
      </c>
      <c r="O263" s="9">
        <f t="shared" si="4"/>
        <v>4.9383944084139049E-2</v>
      </c>
      <c r="P263" s="6" t="s">
        <v>22</v>
      </c>
    </row>
    <row r="264" spans="1:16" x14ac:dyDescent="0.25">
      <c r="A264" s="2" t="s">
        <v>597</v>
      </c>
      <c r="B264" s="2" t="s">
        <v>598</v>
      </c>
      <c r="C264" s="2" t="s">
        <v>32</v>
      </c>
      <c r="D264" s="3" t="s">
        <v>49</v>
      </c>
      <c r="E264" s="3" t="s">
        <v>45</v>
      </c>
      <c r="F264" s="2" t="s">
        <v>128</v>
      </c>
      <c r="G264" s="4">
        <v>786640</v>
      </c>
      <c r="H264" s="4">
        <v>414065</v>
      </c>
      <c r="I264" s="4">
        <v>298980</v>
      </c>
      <c r="J264" s="4">
        <v>20910</v>
      </c>
      <c r="K264" s="4">
        <v>3092</v>
      </c>
      <c r="L264" s="4">
        <v>2595</v>
      </c>
      <c r="M264" s="4">
        <v>39</v>
      </c>
      <c r="N264" s="4">
        <v>10729</v>
      </c>
      <c r="O264" s="5">
        <f t="shared" si="4"/>
        <v>8.9089571208776502E-2</v>
      </c>
      <c r="P264" s="2" t="s">
        <v>29</v>
      </c>
    </row>
    <row r="265" spans="1:16" x14ac:dyDescent="0.25">
      <c r="A265" s="6" t="s">
        <v>599</v>
      </c>
      <c r="B265" s="6" t="s">
        <v>600</v>
      </c>
      <c r="C265" s="6" t="s">
        <v>76</v>
      </c>
      <c r="D265" s="7" t="s">
        <v>86</v>
      </c>
      <c r="E265" s="7" t="s">
        <v>39</v>
      </c>
      <c r="F265" s="6" t="s">
        <v>104</v>
      </c>
      <c r="G265" s="8">
        <v>94922</v>
      </c>
      <c r="H265" s="8">
        <v>19592</v>
      </c>
      <c r="I265" s="8">
        <v>16339</v>
      </c>
      <c r="J265" s="8">
        <v>1243</v>
      </c>
      <c r="K265" s="8">
        <v>210</v>
      </c>
      <c r="L265" s="8">
        <v>89</v>
      </c>
      <c r="M265" s="8">
        <v>225</v>
      </c>
      <c r="N265" s="8">
        <v>266</v>
      </c>
      <c r="O265" s="9">
        <f t="shared" si="4"/>
        <v>0.10814615337535957</v>
      </c>
      <c r="P265" s="6" t="s">
        <v>66</v>
      </c>
    </row>
    <row r="266" spans="1:16" x14ac:dyDescent="0.25">
      <c r="A266" s="2" t="s">
        <v>601</v>
      </c>
      <c r="B266" s="2" t="s">
        <v>602</v>
      </c>
      <c r="C266" s="2" t="s">
        <v>32</v>
      </c>
      <c r="D266" s="3" t="s">
        <v>175</v>
      </c>
      <c r="E266" s="3" t="s">
        <v>20</v>
      </c>
      <c r="F266" s="2" t="s">
        <v>40</v>
      </c>
      <c r="G266" s="4">
        <v>206706</v>
      </c>
      <c r="H266" s="4">
        <v>867713</v>
      </c>
      <c r="I266" s="4">
        <v>740730</v>
      </c>
      <c r="J266" s="4">
        <v>49382</v>
      </c>
      <c r="K266" s="4">
        <v>6474</v>
      </c>
      <c r="L266" s="4">
        <v>3297</v>
      </c>
      <c r="M266" s="4">
        <v>41</v>
      </c>
      <c r="N266" s="4">
        <v>4346</v>
      </c>
      <c r="O266" s="5">
        <f t="shared" si="4"/>
        <v>7.9913058739351714E-2</v>
      </c>
      <c r="P266" s="2" t="s">
        <v>22</v>
      </c>
    </row>
    <row r="267" spans="1:16" x14ac:dyDescent="0.25">
      <c r="A267" s="6" t="s">
        <v>603</v>
      </c>
      <c r="B267" s="6" t="s">
        <v>604</v>
      </c>
      <c r="C267" s="6" t="s">
        <v>32</v>
      </c>
      <c r="D267" s="7" t="s">
        <v>121</v>
      </c>
      <c r="E267" s="7" t="s">
        <v>27</v>
      </c>
      <c r="F267" s="6" t="s">
        <v>51</v>
      </c>
      <c r="G267" s="8">
        <v>545392</v>
      </c>
      <c r="H267" s="8">
        <v>2544961</v>
      </c>
      <c r="I267" s="8">
        <v>2089184</v>
      </c>
      <c r="J267" s="8">
        <v>161778</v>
      </c>
      <c r="K267" s="8">
        <v>18421</v>
      </c>
      <c r="L267" s="8">
        <v>15495</v>
      </c>
      <c r="M267" s="8">
        <v>22</v>
      </c>
      <c r="N267" s="8">
        <v>86270</v>
      </c>
      <c r="O267" s="9">
        <f t="shared" si="4"/>
        <v>9.3680594911697584E-2</v>
      </c>
      <c r="P267" s="6" t="s">
        <v>22</v>
      </c>
    </row>
    <row r="268" spans="1:16" x14ac:dyDescent="0.25">
      <c r="A268" s="2" t="s">
        <v>605</v>
      </c>
      <c r="B268" s="2" t="s">
        <v>606</v>
      </c>
      <c r="C268" s="2" t="s">
        <v>32</v>
      </c>
      <c r="D268" s="3" t="s">
        <v>33</v>
      </c>
      <c r="E268" s="3" t="s">
        <v>34</v>
      </c>
      <c r="F268" s="2" t="s">
        <v>40</v>
      </c>
      <c r="G268" s="4">
        <v>186037</v>
      </c>
      <c r="H268" s="4">
        <v>26172</v>
      </c>
      <c r="I268" s="4">
        <v>21217</v>
      </c>
      <c r="J268" s="4">
        <v>1057</v>
      </c>
      <c r="K268" s="4">
        <v>50</v>
      </c>
      <c r="L268" s="4">
        <v>91</v>
      </c>
      <c r="M268" s="4">
        <v>16</v>
      </c>
      <c r="N268" s="4">
        <v>818</v>
      </c>
      <c r="O268" s="5">
        <f t="shared" si="4"/>
        <v>5.7218268369703541E-2</v>
      </c>
      <c r="P268" s="2" t="s">
        <v>29</v>
      </c>
    </row>
    <row r="269" spans="1:16" x14ac:dyDescent="0.25">
      <c r="A269" s="6" t="s">
        <v>607</v>
      </c>
      <c r="B269" s="6" t="s">
        <v>608</v>
      </c>
      <c r="C269" s="6" t="s">
        <v>32</v>
      </c>
      <c r="D269" s="7" t="s">
        <v>33</v>
      </c>
      <c r="E269" s="7" t="s">
        <v>39</v>
      </c>
      <c r="F269" s="6" t="s">
        <v>51</v>
      </c>
      <c r="G269" s="8">
        <v>796768</v>
      </c>
      <c r="H269" s="8">
        <v>415985</v>
      </c>
      <c r="I269" s="8">
        <v>333353</v>
      </c>
      <c r="J269" s="8">
        <v>22966</v>
      </c>
      <c r="K269" s="8">
        <v>783</v>
      </c>
      <c r="L269" s="8">
        <v>806</v>
      </c>
      <c r="M269" s="8">
        <v>4</v>
      </c>
      <c r="N269" s="8">
        <v>6855</v>
      </c>
      <c r="O269" s="9">
        <f t="shared" si="4"/>
        <v>7.3672653313454503E-2</v>
      </c>
      <c r="P269" s="6" t="s">
        <v>29</v>
      </c>
    </row>
    <row r="270" spans="1:16" x14ac:dyDescent="0.25">
      <c r="A270" s="2" t="s">
        <v>609</v>
      </c>
      <c r="B270" s="2" t="s">
        <v>610</v>
      </c>
      <c r="C270" s="2" t="s">
        <v>18</v>
      </c>
      <c r="D270" s="3" t="s">
        <v>57</v>
      </c>
      <c r="E270" s="3" t="s">
        <v>50</v>
      </c>
      <c r="F270" s="2" t="s">
        <v>73</v>
      </c>
      <c r="G270" s="4">
        <v>564171</v>
      </c>
      <c r="H270" s="4">
        <v>2958962</v>
      </c>
      <c r="I270" s="4">
        <v>2258290</v>
      </c>
      <c r="J270" s="4">
        <v>130004</v>
      </c>
      <c r="K270" s="4">
        <v>18501</v>
      </c>
      <c r="L270" s="4">
        <v>8379</v>
      </c>
      <c r="M270" s="4">
        <v>20918</v>
      </c>
      <c r="N270" s="4">
        <v>30638</v>
      </c>
      <c r="O270" s="5">
        <f t="shared" si="4"/>
        <v>7.8733023659494569E-2</v>
      </c>
      <c r="P270" s="2" t="s">
        <v>22</v>
      </c>
    </row>
    <row r="271" spans="1:16" x14ac:dyDescent="0.25">
      <c r="A271" s="6" t="s">
        <v>611</v>
      </c>
      <c r="B271" s="6" t="s">
        <v>612</v>
      </c>
      <c r="C271" s="6" t="s">
        <v>25</v>
      </c>
      <c r="D271" s="7" t="s">
        <v>26</v>
      </c>
      <c r="E271" s="7" t="s">
        <v>45</v>
      </c>
      <c r="F271" s="6" t="s">
        <v>146</v>
      </c>
      <c r="G271" s="8">
        <v>248769</v>
      </c>
      <c r="H271" s="8">
        <v>143654</v>
      </c>
      <c r="I271" s="8">
        <v>107801</v>
      </c>
      <c r="J271" s="8">
        <v>10069</v>
      </c>
      <c r="K271" s="8">
        <v>1565</v>
      </c>
      <c r="L271" s="8">
        <v>667</v>
      </c>
      <c r="M271" s="8">
        <v>2072</v>
      </c>
      <c r="N271" s="8">
        <v>1234</v>
      </c>
      <c r="O271" s="9">
        <f t="shared" si="4"/>
        <v>0.1333290043691617</v>
      </c>
      <c r="P271" s="6" t="s">
        <v>22</v>
      </c>
    </row>
    <row r="272" spans="1:16" x14ac:dyDescent="0.25">
      <c r="A272" s="2" t="s">
        <v>613</v>
      </c>
      <c r="B272" s="2" t="s">
        <v>614</v>
      </c>
      <c r="C272" s="2" t="s">
        <v>43</v>
      </c>
      <c r="D272" s="3" t="s">
        <v>81</v>
      </c>
      <c r="E272" s="3" t="s">
        <v>39</v>
      </c>
      <c r="F272" s="2" t="s">
        <v>46</v>
      </c>
      <c r="G272" s="4">
        <v>653317</v>
      </c>
      <c r="H272" s="4">
        <v>386717</v>
      </c>
      <c r="I272" s="4">
        <v>344614</v>
      </c>
      <c r="J272" s="4">
        <v>19122</v>
      </c>
      <c r="K272" s="4">
        <v>3397</v>
      </c>
      <c r="L272" s="4">
        <v>2659</v>
      </c>
      <c r="M272" s="4">
        <v>17</v>
      </c>
      <c r="N272" s="4">
        <v>6549</v>
      </c>
      <c r="O272" s="5">
        <f t="shared" si="4"/>
        <v>7.3110784820117583E-2</v>
      </c>
      <c r="P272" s="2" t="s">
        <v>29</v>
      </c>
    </row>
    <row r="273" spans="1:16" x14ac:dyDescent="0.25">
      <c r="A273" s="6" t="s">
        <v>615</v>
      </c>
      <c r="B273" s="6" t="s">
        <v>616</v>
      </c>
      <c r="C273" s="6" t="s">
        <v>32</v>
      </c>
      <c r="D273" s="7" t="s">
        <v>121</v>
      </c>
      <c r="E273" s="7" t="s">
        <v>27</v>
      </c>
      <c r="F273" s="6" t="s">
        <v>128</v>
      </c>
      <c r="G273" s="8">
        <v>529383</v>
      </c>
      <c r="H273" s="8">
        <v>301974</v>
      </c>
      <c r="I273" s="8">
        <v>222994</v>
      </c>
      <c r="J273" s="8">
        <v>23732</v>
      </c>
      <c r="K273" s="8">
        <v>3197</v>
      </c>
      <c r="L273" s="8">
        <v>1894</v>
      </c>
      <c r="M273" s="8">
        <v>44</v>
      </c>
      <c r="N273" s="8">
        <v>1586</v>
      </c>
      <c r="O273" s="9">
        <f t="shared" si="4"/>
        <v>0.12945191350439922</v>
      </c>
      <c r="P273" s="6" t="s">
        <v>29</v>
      </c>
    </row>
    <row r="274" spans="1:16" x14ac:dyDescent="0.25">
      <c r="A274" s="2" t="s">
        <v>617</v>
      </c>
      <c r="B274" s="2" t="s">
        <v>618</v>
      </c>
      <c r="C274" s="2" t="s">
        <v>18</v>
      </c>
      <c r="D274" s="3" t="s">
        <v>92</v>
      </c>
      <c r="E274" s="3" t="s">
        <v>50</v>
      </c>
      <c r="F274" s="2" t="s">
        <v>21</v>
      </c>
      <c r="G274" s="4">
        <v>577710</v>
      </c>
      <c r="H274" s="4">
        <v>134931</v>
      </c>
      <c r="I274" s="4">
        <v>104636</v>
      </c>
      <c r="J274" s="4">
        <v>4187</v>
      </c>
      <c r="K274" s="4">
        <v>391</v>
      </c>
      <c r="L274" s="4">
        <v>311</v>
      </c>
      <c r="M274" s="4">
        <v>839</v>
      </c>
      <c r="N274" s="4">
        <v>2152</v>
      </c>
      <c r="O274" s="5">
        <f t="shared" si="4"/>
        <v>5.474215375205474E-2</v>
      </c>
      <c r="P274" s="2" t="s">
        <v>22</v>
      </c>
    </row>
    <row r="275" spans="1:16" x14ac:dyDescent="0.25">
      <c r="A275" s="6" t="s">
        <v>619</v>
      </c>
      <c r="B275" s="6" t="s">
        <v>620</v>
      </c>
      <c r="C275" s="6" t="s">
        <v>43</v>
      </c>
      <c r="D275" s="7" t="s">
        <v>44</v>
      </c>
      <c r="E275" s="7" t="s">
        <v>34</v>
      </c>
      <c r="F275" s="6" t="s">
        <v>107</v>
      </c>
      <c r="G275" s="8">
        <v>285562</v>
      </c>
      <c r="H275" s="8">
        <v>113237</v>
      </c>
      <c r="I275" s="8">
        <v>84150</v>
      </c>
      <c r="J275" s="8">
        <v>7700</v>
      </c>
      <c r="K275" s="8">
        <v>1084</v>
      </c>
      <c r="L275" s="8">
        <v>627</v>
      </c>
      <c r="M275" s="8">
        <v>0</v>
      </c>
      <c r="N275" s="8">
        <v>1166</v>
      </c>
      <c r="O275" s="9">
        <f t="shared" si="4"/>
        <v>0.11183600713012477</v>
      </c>
      <c r="P275" s="6" t="s">
        <v>22</v>
      </c>
    </row>
    <row r="276" spans="1:16" x14ac:dyDescent="0.25">
      <c r="A276" s="2" t="s">
        <v>621</v>
      </c>
      <c r="B276" s="2" t="s">
        <v>622</v>
      </c>
      <c r="C276" s="2" t="s">
        <v>18</v>
      </c>
      <c r="D276" s="3" t="s">
        <v>57</v>
      </c>
      <c r="E276" s="3" t="s">
        <v>50</v>
      </c>
      <c r="F276" s="2" t="s">
        <v>58</v>
      </c>
      <c r="G276" s="4">
        <v>591944</v>
      </c>
      <c r="H276" s="4">
        <v>63453</v>
      </c>
      <c r="I276" s="4">
        <v>54056</v>
      </c>
      <c r="J276" s="4">
        <v>1497</v>
      </c>
      <c r="K276" s="4">
        <v>227</v>
      </c>
      <c r="L276" s="4">
        <v>122</v>
      </c>
      <c r="M276" s="4">
        <v>263</v>
      </c>
      <c r="N276" s="4">
        <v>1173</v>
      </c>
      <c r="O276" s="5">
        <f t="shared" si="4"/>
        <v>3.9015095456563564E-2</v>
      </c>
      <c r="P276" s="2" t="s">
        <v>22</v>
      </c>
    </row>
    <row r="277" spans="1:16" x14ac:dyDescent="0.25">
      <c r="A277" s="6" t="s">
        <v>623</v>
      </c>
      <c r="B277" s="6" t="s">
        <v>624</v>
      </c>
      <c r="C277" s="6" t="s">
        <v>18</v>
      </c>
      <c r="D277" s="7" t="s">
        <v>231</v>
      </c>
      <c r="E277" s="7" t="s">
        <v>34</v>
      </c>
      <c r="F277" s="6" t="s">
        <v>58</v>
      </c>
      <c r="G277" s="8">
        <v>129626</v>
      </c>
      <c r="H277" s="8">
        <v>60582</v>
      </c>
      <c r="I277" s="8">
        <v>45059</v>
      </c>
      <c r="J277" s="8">
        <v>3304</v>
      </c>
      <c r="K277" s="8">
        <v>420</v>
      </c>
      <c r="L277" s="8">
        <v>141</v>
      </c>
      <c r="M277" s="8">
        <v>680</v>
      </c>
      <c r="N277" s="8">
        <v>948</v>
      </c>
      <c r="O277" s="9">
        <f t="shared" si="4"/>
        <v>0.10086775117068732</v>
      </c>
      <c r="P277" s="6" t="s">
        <v>29</v>
      </c>
    </row>
    <row r="278" spans="1:16" x14ac:dyDescent="0.25">
      <c r="A278" s="2" t="s">
        <v>625</v>
      </c>
      <c r="B278" s="2" t="s">
        <v>626</v>
      </c>
      <c r="C278" s="2" t="s">
        <v>76</v>
      </c>
      <c r="D278" s="3" t="s">
        <v>182</v>
      </c>
      <c r="E278" s="3" t="s">
        <v>27</v>
      </c>
      <c r="F278" s="2" t="s">
        <v>78</v>
      </c>
      <c r="G278" s="4">
        <v>488779</v>
      </c>
      <c r="H278" s="4">
        <v>79457</v>
      </c>
      <c r="I278" s="4">
        <v>66817</v>
      </c>
      <c r="J278" s="4">
        <v>6016</v>
      </c>
      <c r="K278" s="4">
        <v>561</v>
      </c>
      <c r="L278" s="4">
        <v>599</v>
      </c>
      <c r="M278" s="4">
        <v>787</v>
      </c>
      <c r="N278" s="4">
        <v>2559</v>
      </c>
      <c r="O278" s="5">
        <f t="shared" si="4"/>
        <v>0.119176257539249</v>
      </c>
      <c r="P278" s="2" t="s">
        <v>22</v>
      </c>
    </row>
    <row r="279" spans="1:16" x14ac:dyDescent="0.25">
      <c r="A279" s="6" t="s">
        <v>627</v>
      </c>
      <c r="B279" s="6" t="s">
        <v>628</v>
      </c>
      <c r="C279" s="6" t="s">
        <v>18</v>
      </c>
      <c r="D279" s="7" t="s">
        <v>231</v>
      </c>
      <c r="E279" s="7" t="s">
        <v>27</v>
      </c>
      <c r="F279" s="6" t="s">
        <v>73</v>
      </c>
      <c r="G279" s="8">
        <v>417164</v>
      </c>
      <c r="H279" s="8">
        <v>139162</v>
      </c>
      <c r="I279" s="8">
        <v>120310</v>
      </c>
      <c r="J279" s="8">
        <v>7132</v>
      </c>
      <c r="K279" s="8">
        <v>695</v>
      </c>
      <c r="L279" s="8">
        <v>297</v>
      </c>
      <c r="M279" s="8">
        <v>1575</v>
      </c>
      <c r="N279" s="8">
        <v>1217</v>
      </c>
      <c r="O279" s="9">
        <f t="shared" si="4"/>
        <v>8.0616740088105723E-2</v>
      </c>
      <c r="P279" s="6" t="s">
        <v>22</v>
      </c>
    </row>
    <row r="280" spans="1:16" x14ac:dyDescent="0.25">
      <c r="A280" s="2" t="s">
        <v>629</v>
      </c>
      <c r="B280" s="2" t="s">
        <v>630</v>
      </c>
      <c r="C280" s="2" t="s">
        <v>76</v>
      </c>
      <c r="D280" s="3" t="s">
        <v>86</v>
      </c>
      <c r="E280" s="3" t="s">
        <v>20</v>
      </c>
      <c r="F280" s="2" t="s">
        <v>104</v>
      </c>
      <c r="G280" s="4">
        <v>110513</v>
      </c>
      <c r="H280" s="4">
        <v>67851</v>
      </c>
      <c r="I280" s="4">
        <v>55682</v>
      </c>
      <c r="J280" s="4">
        <v>1464</v>
      </c>
      <c r="K280" s="4">
        <v>131</v>
      </c>
      <c r="L280" s="4">
        <v>174</v>
      </c>
      <c r="M280" s="4">
        <v>97</v>
      </c>
      <c r="N280" s="4">
        <v>873</v>
      </c>
      <c r="O280" s="5">
        <f t="shared" si="4"/>
        <v>3.3511727308645524E-2</v>
      </c>
      <c r="P280" s="2" t="s">
        <v>22</v>
      </c>
    </row>
    <row r="281" spans="1:16" x14ac:dyDescent="0.25">
      <c r="A281" s="6" t="s">
        <v>631</v>
      </c>
      <c r="B281" s="6" t="s">
        <v>632</v>
      </c>
      <c r="C281" s="6" t="s">
        <v>25</v>
      </c>
      <c r="D281" s="7" t="s">
        <v>244</v>
      </c>
      <c r="E281" s="7" t="s">
        <v>39</v>
      </c>
      <c r="F281" s="6" t="s">
        <v>146</v>
      </c>
      <c r="G281" s="8">
        <v>140154</v>
      </c>
      <c r="H281" s="8">
        <v>24841</v>
      </c>
      <c r="I281" s="8">
        <v>21015</v>
      </c>
      <c r="J281" s="8">
        <v>1779</v>
      </c>
      <c r="K281" s="8">
        <v>140</v>
      </c>
      <c r="L281" s="8">
        <v>145</v>
      </c>
      <c r="M281" s="8">
        <v>435</v>
      </c>
      <c r="N281" s="8">
        <v>527</v>
      </c>
      <c r="O281" s="9">
        <f t="shared" si="4"/>
        <v>0.11891506067094933</v>
      </c>
      <c r="P281" s="6" t="s">
        <v>22</v>
      </c>
    </row>
    <row r="282" spans="1:16" x14ac:dyDescent="0.25">
      <c r="A282" s="2" t="s">
        <v>633</v>
      </c>
      <c r="B282" s="2" t="s">
        <v>634</v>
      </c>
      <c r="C282" s="2" t="s">
        <v>25</v>
      </c>
      <c r="D282" s="3" t="s">
        <v>61</v>
      </c>
      <c r="E282" s="3" t="s">
        <v>27</v>
      </c>
      <c r="F282" s="2" t="s">
        <v>65</v>
      </c>
      <c r="G282" s="4">
        <v>664201</v>
      </c>
      <c r="H282" s="4">
        <v>385274</v>
      </c>
      <c r="I282" s="4">
        <v>314060</v>
      </c>
      <c r="J282" s="4">
        <v>22489</v>
      </c>
      <c r="K282" s="4">
        <v>1719</v>
      </c>
      <c r="L282" s="4">
        <v>1464</v>
      </c>
      <c r="M282" s="4">
        <v>3551</v>
      </c>
      <c r="N282" s="4">
        <v>11227</v>
      </c>
      <c r="O282" s="5">
        <f t="shared" si="4"/>
        <v>9.3049098898299681E-2</v>
      </c>
      <c r="P282" s="2" t="s">
        <v>22</v>
      </c>
    </row>
    <row r="283" spans="1:16" x14ac:dyDescent="0.25">
      <c r="A283" s="6" t="s">
        <v>635</v>
      </c>
      <c r="B283" s="6" t="s">
        <v>636</v>
      </c>
      <c r="C283" s="6" t="s">
        <v>18</v>
      </c>
      <c r="D283" s="7" t="s">
        <v>226</v>
      </c>
      <c r="E283" s="7" t="s">
        <v>34</v>
      </c>
      <c r="F283" s="6" t="s">
        <v>73</v>
      </c>
      <c r="G283" s="8">
        <v>797628</v>
      </c>
      <c r="H283" s="8">
        <v>220156</v>
      </c>
      <c r="I283" s="8">
        <v>180026</v>
      </c>
      <c r="J283" s="8">
        <v>13488</v>
      </c>
      <c r="K283" s="8">
        <v>1399</v>
      </c>
      <c r="L283" s="8">
        <v>1594</v>
      </c>
      <c r="M283" s="8">
        <v>1482</v>
      </c>
      <c r="N283" s="8">
        <v>6159</v>
      </c>
      <c r="O283" s="9">
        <f t="shared" si="4"/>
        <v>9.9780031773188324E-2</v>
      </c>
      <c r="P283" s="6" t="s">
        <v>29</v>
      </c>
    </row>
    <row r="284" spans="1:16" x14ac:dyDescent="0.25">
      <c r="A284" s="2" t="s">
        <v>637</v>
      </c>
      <c r="B284" s="2" t="s">
        <v>638</v>
      </c>
      <c r="C284" s="2" t="s">
        <v>43</v>
      </c>
      <c r="D284" s="3" t="s">
        <v>110</v>
      </c>
      <c r="E284" s="3" t="s">
        <v>20</v>
      </c>
      <c r="F284" s="2" t="s">
        <v>46</v>
      </c>
      <c r="G284" s="4">
        <v>590283</v>
      </c>
      <c r="H284" s="4">
        <v>131303</v>
      </c>
      <c r="I284" s="4">
        <v>113204</v>
      </c>
      <c r="J284" s="4">
        <v>5696</v>
      </c>
      <c r="K284" s="4">
        <v>494</v>
      </c>
      <c r="L284" s="4">
        <v>308</v>
      </c>
      <c r="M284" s="4">
        <v>27</v>
      </c>
      <c r="N284" s="4">
        <v>3119</v>
      </c>
      <c r="O284" s="5">
        <f t="shared" si="4"/>
        <v>5.763930603158899E-2</v>
      </c>
      <c r="P284" s="2" t="s">
        <v>22</v>
      </c>
    </row>
    <row r="285" spans="1:16" x14ac:dyDescent="0.25">
      <c r="A285" s="6" t="s">
        <v>639</v>
      </c>
      <c r="B285" s="6" t="s">
        <v>640</v>
      </c>
      <c r="C285" s="6" t="s">
        <v>18</v>
      </c>
      <c r="D285" s="7" t="s">
        <v>231</v>
      </c>
      <c r="E285" s="7" t="s">
        <v>45</v>
      </c>
      <c r="F285" s="6" t="s">
        <v>73</v>
      </c>
      <c r="G285" s="8">
        <v>560283</v>
      </c>
      <c r="H285" s="8">
        <v>176688</v>
      </c>
      <c r="I285" s="8">
        <v>130772</v>
      </c>
      <c r="J285" s="8">
        <v>6603</v>
      </c>
      <c r="K285" s="8">
        <v>828</v>
      </c>
      <c r="L285" s="8">
        <v>662</v>
      </c>
      <c r="M285" s="8">
        <v>689</v>
      </c>
      <c r="N285" s="8">
        <v>4184</v>
      </c>
      <c r="O285" s="9">
        <f t="shared" si="4"/>
        <v>6.7155048481326279E-2</v>
      </c>
      <c r="P285" s="6" t="s">
        <v>22</v>
      </c>
    </row>
    <row r="286" spans="1:16" x14ac:dyDescent="0.25">
      <c r="A286" s="2" t="s">
        <v>641</v>
      </c>
      <c r="B286" s="2" t="s">
        <v>642</v>
      </c>
      <c r="C286" s="2" t="s">
        <v>76</v>
      </c>
      <c r="D286" s="3" t="s">
        <v>86</v>
      </c>
      <c r="E286" s="3" t="s">
        <v>34</v>
      </c>
      <c r="F286" s="2" t="s">
        <v>78</v>
      </c>
      <c r="G286" s="4">
        <v>284771</v>
      </c>
      <c r="H286" s="4">
        <v>93945</v>
      </c>
      <c r="I286" s="4">
        <v>70573</v>
      </c>
      <c r="J286" s="4">
        <v>2728</v>
      </c>
      <c r="K286" s="4">
        <v>283</v>
      </c>
      <c r="L286" s="4">
        <v>175</v>
      </c>
      <c r="M286" s="4">
        <v>306</v>
      </c>
      <c r="N286" s="4">
        <v>2722</v>
      </c>
      <c r="O286" s="5">
        <f t="shared" si="4"/>
        <v>4.9480679580009353E-2</v>
      </c>
      <c r="P286" s="2" t="s">
        <v>66</v>
      </c>
    </row>
    <row r="287" spans="1:16" x14ac:dyDescent="0.25">
      <c r="A287" s="6" t="s">
        <v>643</v>
      </c>
      <c r="B287" s="6" t="s">
        <v>644</v>
      </c>
      <c r="C287" s="6" t="s">
        <v>18</v>
      </c>
      <c r="D287" s="7" t="s">
        <v>226</v>
      </c>
      <c r="E287" s="7" t="s">
        <v>20</v>
      </c>
      <c r="F287" s="6" t="s">
        <v>21</v>
      </c>
      <c r="G287" s="8">
        <v>281949</v>
      </c>
      <c r="H287" s="8">
        <v>34028</v>
      </c>
      <c r="I287" s="8">
        <v>25179</v>
      </c>
      <c r="J287" s="8">
        <v>2509</v>
      </c>
      <c r="K287" s="8">
        <v>169</v>
      </c>
      <c r="L287" s="8">
        <v>174</v>
      </c>
      <c r="M287" s="8">
        <v>131</v>
      </c>
      <c r="N287" s="8">
        <v>1165</v>
      </c>
      <c r="O287" s="9">
        <f t="shared" si="4"/>
        <v>0.11847174232495333</v>
      </c>
      <c r="P287" s="6" t="s">
        <v>29</v>
      </c>
    </row>
    <row r="288" spans="1:16" x14ac:dyDescent="0.25">
      <c r="A288" s="2" t="s">
        <v>645</v>
      </c>
      <c r="B288" s="2" t="s">
        <v>646</v>
      </c>
      <c r="C288" s="2" t="s">
        <v>76</v>
      </c>
      <c r="D288" s="3" t="s">
        <v>86</v>
      </c>
      <c r="E288" s="3" t="s">
        <v>39</v>
      </c>
      <c r="F288" s="2" t="s">
        <v>87</v>
      </c>
      <c r="G288" s="4">
        <v>548953</v>
      </c>
      <c r="H288" s="4">
        <v>109140</v>
      </c>
      <c r="I288" s="4">
        <v>92759</v>
      </c>
      <c r="J288" s="4">
        <v>4226</v>
      </c>
      <c r="K288" s="4">
        <v>331</v>
      </c>
      <c r="L288" s="4">
        <v>430</v>
      </c>
      <c r="M288" s="4">
        <v>246</v>
      </c>
      <c r="N288" s="4">
        <v>3615</v>
      </c>
      <c r="O288" s="5">
        <f t="shared" si="4"/>
        <v>5.6415010942334434E-2</v>
      </c>
      <c r="P288" s="2" t="s">
        <v>22</v>
      </c>
    </row>
    <row r="289" spans="1:16" x14ac:dyDescent="0.25">
      <c r="A289" s="6" t="s">
        <v>647</v>
      </c>
      <c r="B289" s="6" t="s">
        <v>648</v>
      </c>
      <c r="C289" s="6" t="s">
        <v>25</v>
      </c>
      <c r="D289" s="7" t="s">
        <v>244</v>
      </c>
      <c r="E289" s="7" t="s">
        <v>34</v>
      </c>
      <c r="F289" s="6" t="s">
        <v>146</v>
      </c>
      <c r="G289" s="8">
        <v>120914</v>
      </c>
      <c r="H289" s="8">
        <v>39595</v>
      </c>
      <c r="I289" s="8">
        <v>29174</v>
      </c>
      <c r="J289" s="8">
        <v>1447</v>
      </c>
      <c r="K289" s="8">
        <v>69</v>
      </c>
      <c r="L289" s="8">
        <v>177</v>
      </c>
      <c r="M289" s="8">
        <v>74</v>
      </c>
      <c r="N289" s="8">
        <v>247</v>
      </c>
      <c r="O289" s="9">
        <f t="shared" si="4"/>
        <v>6.0567628710495647E-2</v>
      </c>
      <c r="P289" s="6" t="s">
        <v>29</v>
      </c>
    </row>
    <row r="290" spans="1:16" x14ac:dyDescent="0.25">
      <c r="A290" s="2" t="s">
        <v>649</v>
      </c>
      <c r="B290" s="2" t="s">
        <v>650</v>
      </c>
      <c r="C290" s="2" t="s">
        <v>18</v>
      </c>
      <c r="D290" s="3" t="s">
        <v>226</v>
      </c>
      <c r="E290" s="3" t="s">
        <v>20</v>
      </c>
      <c r="F290" s="2" t="s">
        <v>21</v>
      </c>
      <c r="G290" s="4">
        <v>526703</v>
      </c>
      <c r="H290" s="4">
        <v>227866</v>
      </c>
      <c r="I290" s="4">
        <v>190844</v>
      </c>
      <c r="J290" s="4">
        <v>5374</v>
      </c>
      <c r="K290" s="4">
        <v>680</v>
      </c>
      <c r="L290" s="4">
        <v>597</v>
      </c>
      <c r="M290" s="4">
        <v>1119</v>
      </c>
      <c r="N290" s="4">
        <v>1999</v>
      </c>
      <c r="O290" s="5">
        <f t="shared" si="4"/>
        <v>4.0713881494833473E-2</v>
      </c>
      <c r="P290" s="2" t="s">
        <v>22</v>
      </c>
    </row>
    <row r="291" spans="1:16" x14ac:dyDescent="0.25">
      <c r="A291" s="6" t="s">
        <v>651</v>
      </c>
      <c r="B291" s="6" t="s">
        <v>652</v>
      </c>
      <c r="C291" s="6" t="s">
        <v>32</v>
      </c>
      <c r="D291" s="7" t="s">
        <v>49</v>
      </c>
      <c r="E291" s="7" t="s">
        <v>34</v>
      </c>
      <c r="F291" s="6" t="s">
        <v>35</v>
      </c>
      <c r="G291" s="8">
        <v>378065</v>
      </c>
      <c r="H291" s="8">
        <v>84269</v>
      </c>
      <c r="I291" s="8">
        <v>67985</v>
      </c>
      <c r="J291" s="8">
        <v>3897</v>
      </c>
      <c r="K291" s="8">
        <v>289</v>
      </c>
      <c r="L291" s="8">
        <v>431</v>
      </c>
      <c r="M291" s="8">
        <v>12</v>
      </c>
      <c r="N291" s="8">
        <v>1854</v>
      </c>
      <c r="O291" s="9">
        <f t="shared" si="4"/>
        <v>6.8088548944620131E-2</v>
      </c>
      <c r="P291" s="6" t="s">
        <v>22</v>
      </c>
    </row>
    <row r="292" spans="1:16" x14ac:dyDescent="0.25">
      <c r="A292" s="2" t="s">
        <v>653</v>
      </c>
      <c r="B292" s="2" t="s">
        <v>654</v>
      </c>
      <c r="C292" s="2" t="s">
        <v>43</v>
      </c>
      <c r="D292" s="3" t="s">
        <v>172</v>
      </c>
      <c r="E292" s="3" t="s">
        <v>20</v>
      </c>
      <c r="F292" s="2" t="s">
        <v>70</v>
      </c>
      <c r="G292" s="4">
        <v>559437</v>
      </c>
      <c r="H292" s="4">
        <v>139038</v>
      </c>
      <c r="I292" s="4">
        <v>113893</v>
      </c>
      <c r="J292" s="4">
        <v>6568</v>
      </c>
      <c r="K292" s="4">
        <v>961</v>
      </c>
      <c r="L292" s="4">
        <v>563</v>
      </c>
      <c r="M292" s="4">
        <v>46</v>
      </c>
      <c r="N292" s="4">
        <v>1469</v>
      </c>
      <c r="O292" s="5">
        <f t="shared" si="4"/>
        <v>7.1453030475973067E-2</v>
      </c>
      <c r="P292" s="2" t="s">
        <v>22</v>
      </c>
    </row>
    <row r="293" spans="1:16" x14ac:dyDescent="0.25">
      <c r="A293" s="6" t="s">
        <v>655</v>
      </c>
      <c r="B293" s="6" t="s">
        <v>656</v>
      </c>
      <c r="C293" s="6" t="s">
        <v>25</v>
      </c>
      <c r="D293" s="7" t="s">
        <v>244</v>
      </c>
      <c r="E293" s="7" t="s">
        <v>45</v>
      </c>
      <c r="F293" s="6" t="s">
        <v>54</v>
      </c>
      <c r="G293" s="8">
        <v>692766</v>
      </c>
      <c r="H293" s="8">
        <v>378844</v>
      </c>
      <c r="I293" s="8">
        <v>308869</v>
      </c>
      <c r="J293" s="8">
        <v>18886</v>
      </c>
      <c r="K293" s="8">
        <v>2128</v>
      </c>
      <c r="L293" s="8">
        <v>1882</v>
      </c>
      <c r="M293" s="8">
        <v>2162</v>
      </c>
      <c r="N293" s="8">
        <v>9178</v>
      </c>
      <c r="O293" s="9">
        <f t="shared" si="4"/>
        <v>8.1128245307881333E-2</v>
      </c>
      <c r="P293" s="6" t="s">
        <v>22</v>
      </c>
    </row>
    <row r="294" spans="1:16" x14ac:dyDescent="0.25">
      <c r="A294" s="2" t="s">
        <v>657</v>
      </c>
      <c r="B294" s="2" t="s">
        <v>658</v>
      </c>
      <c r="C294" s="2" t="s">
        <v>25</v>
      </c>
      <c r="D294" s="3" t="s">
        <v>64</v>
      </c>
      <c r="E294" s="3" t="s">
        <v>34</v>
      </c>
      <c r="F294" s="2" t="s">
        <v>146</v>
      </c>
      <c r="G294" s="4">
        <v>114755</v>
      </c>
      <c r="H294" s="4">
        <v>15639</v>
      </c>
      <c r="I294" s="4">
        <v>13155</v>
      </c>
      <c r="J294" s="4">
        <v>677</v>
      </c>
      <c r="K294" s="4">
        <v>70</v>
      </c>
      <c r="L294" s="4">
        <v>68</v>
      </c>
      <c r="M294" s="4">
        <v>113</v>
      </c>
      <c r="N294" s="4">
        <v>101</v>
      </c>
      <c r="O294" s="5">
        <f t="shared" si="4"/>
        <v>7.0543519574306351E-2</v>
      </c>
      <c r="P294" s="2" t="s">
        <v>22</v>
      </c>
    </row>
    <row r="295" spans="1:16" x14ac:dyDescent="0.25">
      <c r="A295" s="6" t="s">
        <v>659</v>
      </c>
      <c r="B295" s="6" t="s">
        <v>660</v>
      </c>
      <c r="C295" s="6" t="s">
        <v>25</v>
      </c>
      <c r="D295" s="7" t="s">
        <v>26</v>
      </c>
      <c r="E295" s="7" t="s">
        <v>34</v>
      </c>
      <c r="F295" s="6" t="s">
        <v>65</v>
      </c>
      <c r="G295" s="8">
        <v>842430</v>
      </c>
      <c r="H295" s="8">
        <v>240705</v>
      </c>
      <c r="I295" s="8">
        <v>218178</v>
      </c>
      <c r="J295" s="8">
        <v>10821</v>
      </c>
      <c r="K295" s="8">
        <v>923</v>
      </c>
      <c r="L295" s="8">
        <v>1212</v>
      </c>
      <c r="M295" s="8">
        <v>2323</v>
      </c>
      <c r="N295" s="8">
        <v>3123</v>
      </c>
      <c r="O295" s="9">
        <f t="shared" si="4"/>
        <v>7.0029975524571686E-2</v>
      </c>
      <c r="P295" s="6" t="s">
        <v>22</v>
      </c>
    </row>
    <row r="296" spans="1:16" x14ac:dyDescent="0.25">
      <c r="A296" s="2" t="s">
        <v>661</v>
      </c>
      <c r="B296" s="2" t="s">
        <v>662</v>
      </c>
      <c r="C296" s="2" t="s">
        <v>43</v>
      </c>
      <c r="D296" s="3" t="s">
        <v>81</v>
      </c>
      <c r="E296" s="3" t="s">
        <v>34</v>
      </c>
      <c r="F296" s="2" t="s">
        <v>107</v>
      </c>
      <c r="G296" s="4">
        <v>244739</v>
      </c>
      <c r="H296" s="4">
        <v>46009</v>
      </c>
      <c r="I296" s="4">
        <v>38855</v>
      </c>
      <c r="J296" s="4">
        <v>2493</v>
      </c>
      <c r="K296" s="4">
        <v>429</v>
      </c>
      <c r="L296" s="4">
        <v>230</v>
      </c>
      <c r="M296" s="4">
        <v>35</v>
      </c>
      <c r="N296" s="4">
        <v>803</v>
      </c>
      <c r="O296" s="5">
        <f t="shared" si="4"/>
        <v>8.2022905674945315E-2</v>
      </c>
      <c r="P296" s="2" t="s">
        <v>22</v>
      </c>
    </row>
    <row r="297" spans="1:16" x14ac:dyDescent="0.25">
      <c r="A297" s="6" t="s">
        <v>663</v>
      </c>
      <c r="B297" s="6" t="s">
        <v>664</v>
      </c>
      <c r="C297" s="6" t="s">
        <v>32</v>
      </c>
      <c r="D297" s="7" t="s">
        <v>121</v>
      </c>
      <c r="E297" s="7" t="s">
        <v>34</v>
      </c>
      <c r="F297" s="6" t="s">
        <v>51</v>
      </c>
      <c r="G297" s="8">
        <v>833456</v>
      </c>
      <c r="H297" s="8">
        <v>257444</v>
      </c>
      <c r="I297" s="8">
        <v>217451</v>
      </c>
      <c r="J297" s="8">
        <v>13395</v>
      </c>
      <c r="K297" s="8">
        <v>1607</v>
      </c>
      <c r="L297" s="8">
        <v>1893</v>
      </c>
      <c r="M297" s="8">
        <v>20</v>
      </c>
      <c r="N297" s="8">
        <v>5535</v>
      </c>
      <c r="O297" s="9">
        <f t="shared" si="4"/>
        <v>7.7787639514189405E-2</v>
      </c>
      <c r="P297" s="6" t="s">
        <v>66</v>
      </c>
    </row>
    <row r="298" spans="1:16" x14ac:dyDescent="0.25">
      <c r="A298" s="2" t="s">
        <v>665</v>
      </c>
      <c r="B298" s="2" t="s">
        <v>666</v>
      </c>
      <c r="C298" s="2" t="s">
        <v>32</v>
      </c>
      <c r="D298" s="3" t="s">
        <v>38</v>
      </c>
      <c r="E298" s="3" t="s">
        <v>27</v>
      </c>
      <c r="F298" s="2" t="s">
        <v>51</v>
      </c>
      <c r="G298" s="4">
        <v>593000</v>
      </c>
      <c r="H298" s="4">
        <v>174215</v>
      </c>
      <c r="I298" s="4">
        <v>157447</v>
      </c>
      <c r="J298" s="4">
        <v>6140</v>
      </c>
      <c r="K298" s="4">
        <v>1069</v>
      </c>
      <c r="L298" s="4">
        <v>479</v>
      </c>
      <c r="M298" s="4">
        <v>25</v>
      </c>
      <c r="N298" s="4">
        <v>872</v>
      </c>
      <c r="O298" s="5">
        <f t="shared" si="4"/>
        <v>4.8987913393078307E-2</v>
      </c>
      <c r="P298" s="2" t="s">
        <v>22</v>
      </c>
    </row>
    <row r="299" spans="1:16" x14ac:dyDescent="0.25">
      <c r="A299" s="6" t="s">
        <v>667</v>
      </c>
      <c r="B299" s="6" t="s">
        <v>668</v>
      </c>
      <c r="C299" s="6" t="s">
        <v>25</v>
      </c>
      <c r="D299" s="7" t="s">
        <v>244</v>
      </c>
      <c r="E299" s="7" t="s">
        <v>34</v>
      </c>
      <c r="F299" s="6" t="s">
        <v>28</v>
      </c>
      <c r="G299" s="8">
        <v>235165</v>
      </c>
      <c r="H299" s="8">
        <v>61024</v>
      </c>
      <c r="I299" s="8">
        <v>53751</v>
      </c>
      <c r="J299" s="8">
        <v>3745</v>
      </c>
      <c r="K299" s="8">
        <v>267</v>
      </c>
      <c r="L299" s="8">
        <v>344</v>
      </c>
      <c r="M299" s="8">
        <v>603</v>
      </c>
      <c r="N299" s="8">
        <v>2000</v>
      </c>
      <c r="O299" s="9">
        <f t="shared" si="4"/>
        <v>9.2258748674443267E-2</v>
      </c>
      <c r="P299" s="6" t="s">
        <v>22</v>
      </c>
    </row>
    <row r="300" spans="1:16" x14ac:dyDescent="0.25">
      <c r="A300" s="2" t="s">
        <v>669</v>
      </c>
      <c r="B300" s="2" t="s">
        <v>670</v>
      </c>
      <c r="C300" s="2" t="s">
        <v>25</v>
      </c>
      <c r="D300" s="3" t="s">
        <v>244</v>
      </c>
      <c r="E300" s="3" t="s">
        <v>50</v>
      </c>
      <c r="F300" s="2" t="s">
        <v>146</v>
      </c>
      <c r="G300" s="4">
        <v>246812</v>
      </c>
      <c r="H300" s="4">
        <v>61992</v>
      </c>
      <c r="I300" s="4">
        <v>48846</v>
      </c>
      <c r="J300" s="4">
        <v>4653</v>
      </c>
      <c r="K300" s="4">
        <v>652</v>
      </c>
      <c r="L300" s="4">
        <v>530</v>
      </c>
      <c r="M300" s="4">
        <v>970</v>
      </c>
      <c r="N300" s="4">
        <v>631</v>
      </c>
      <c r="O300" s="5">
        <f t="shared" si="4"/>
        <v>0.13931539941858084</v>
      </c>
      <c r="P300" s="2" t="s">
        <v>29</v>
      </c>
    </row>
    <row r="301" spans="1:16" x14ac:dyDescent="0.25">
      <c r="A301" s="6" t="s">
        <v>671</v>
      </c>
      <c r="B301" s="6" t="s">
        <v>672</v>
      </c>
      <c r="C301" s="6" t="s">
        <v>76</v>
      </c>
      <c r="D301" s="7" t="s">
        <v>189</v>
      </c>
      <c r="E301" s="7" t="s">
        <v>45</v>
      </c>
      <c r="F301" s="6" t="s">
        <v>78</v>
      </c>
      <c r="G301" s="8">
        <v>41686</v>
      </c>
      <c r="H301" s="8">
        <v>17027</v>
      </c>
      <c r="I301" s="8">
        <v>14841</v>
      </c>
      <c r="J301" s="8">
        <v>1282</v>
      </c>
      <c r="K301" s="8">
        <v>102</v>
      </c>
      <c r="L301" s="8">
        <v>172</v>
      </c>
      <c r="M301" s="8">
        <v>175</v>
      </c>
      <c r="N301" s="8">
        <v>560</v>
      </c>
      <c r="O301" s="9">
        <f t="shared" si="4"/>
        <v>0.11663634525975339</v>
      </c>
      <c r="P301" s="6" t="s">
        <v>22</v>
      </c>
    </row>
    <row r="302" spans="1:16" x14ac:dyDescent="0.25">
      <c r="A302" s="2" t="s">
        <v>673</v>
      </c>
      <c r="B302" s="2" t="s">
        <v>674</v>
      </c>
      <c r="C302" s="2" t="s">
        <v>43</v>
      </c>
      <c r="D302" s="3" t="s">
        <v>81</v>
      </c>
      <c r="E302" s="3" t="s">
        <v>45</v>
      </c>
      <c r="F302" s="2" t="s">
        <v>107</v>
      </c>
      <c r="G302" s="4">
        <v>403566</v>
      </c>
      <c r="H302" s="4">
        <v>152910</v>
      </c>
      <c r="I302" s="4">
        <v>125200</v>
      </c>
      <c r="J302" s="4">
        <v>4430</v>
      </c>
      <c r="K302" s="4">
        <v>466</v>
      </c>
      <c r="L302" s="4">
        <v>215</v>
      </c>
      <c r="M302" s="4">
        <v>3</v>
      </c>
      <c r="N302" s="4">
        <v>3854</v>
      </c>
      <c r="O302" s="5">
        <f t="shared" si="4"/>
        <v>4.0846645367412143E-2</v>
      </c>
      <c r="P302" s="2" t="s">
        <v>66</v>
      </c>
    </row>
    <row r="303" spans="1:16" x14ac:dyDescent="0.25">
      <c r="A303" s="6" t="s">
        <v>675</v>
      </c>
      <c r="B303" s="6" t="s">
        <v>676</v>
      </c>
      <c r="C303" s="6" t="s">
        <v>76</v>
      </c>
      <c r="D303" s="7" t="s">
        <v>86</v>
      </c>
      <c r="E303" s="7" t="s">
        <v>39</v>
      </c>
      <c r="F303" s="6" t="s">
        <v>78</v>
      </c>
      <c r="G303" s="8">
        <v>827066</v>
      </c>
      <c r="H303" s="8">
        <v>128482</v>
      </c>
      <c r="I303" s="8">
        <v>103387</v>
      </c>
      <c r="J303" s="8">
        <v>8315</v>
      </c>
      <c r="K303" s="8">
        <v>933</v>
      </c>
      <c r="L303" s="8">
        <v>450</v>
      </c>
      <c r="M303" s="8">
        <v>1078</v>
      </c>
      <c r="N303" s="8">
        <v>2317</v>
      </c>
      <c r="O303" s="9">
        <f t="shared" si="4"/>
        <v>0.10422973874858542</v>
      </c>
      <c r="P303" s="6" t="s">
        <v>29</v>
      </c>
    </row>
    <row r="304" spans="1:16" x14ac:dyDescent="0.25">
      <c r="A304" s="2" t="s">
        <v>677</v>
      </c>
      <c r="B304" s="2" t="s">
        <v>678</v>
      </c>
      <c r="C304" s="2" t="s">
        <v>25</v>
      </c>
      <c r="D304" s="3" t="s">
        <v>26</v>
      </c>
      <c r="E304" s="3" t="s">
        <v>39</v>
      </c>
      <c r="F304" s="2" t="s">
        <v>146</v>
      </c>
      <c r="G304" s="4">
        <v>590926</v>
      </c>
      <c r="H304" s="4">
        <v>295067</v>
      </c>
      <c r="I304" s="4">
        <v>222276</v>
      </c>
      <c r="J304" s="4">
        <v>10615</v>
      </c>
      <c r="K304" s="4">
        <v>1003</v>
      </c>
      <c r="L304" s="4">
        <v>1157</v>
      </c>
      <c r="M304" s="4">
        <v>1753</v>
      </c>
      <c r="N304" s="4">
        <v>2471</v>
      </c>
      <c r="O304" s="5">
        <f t="shared" si="4"/>
        <v>6.5360182835753747E-2</v>
      </c>
      <c r="P304" s="2" t="s">
        <v>22</v>
      </c>
    </row>
    <row r="305" spans="1:16" x14ac:dyDescent="0.25">
      <c r="A305" s="6" t="s">
        <v>679</v>
      </c>
      <c r="B305" s="6" t="s">
        <v>680</v>
      </c>
      <c r="C305" s="6" t="s">
        <v>18</v>
      </c>
      <c r="D305" s="7" t="s">
        <v>92</v>
      </c>
      <c r="E305" s="7" t="s">
        <v>45</v>
      </c>
      <c r="F305" s="6" t="s">
        <v>21</v>
      </c>
      <c r="G305" s="8">
        <v>809569</v>
      </c>
      <c r="H305" s="8">
        <v>520521</v>
      </c>
      <c r="I305" s="8">
        <v>458448</v>
      </c>
      <c r="J305" s="8">
        <v>35482</v>
      </c>
      <c r="K305" s="8">
        <v>4381</v>
      </c>
      <c r="L305" s="8">
        <v>2741</v>
      </c>
      <c r="M305" s="8">
        <v>8332</v>
      </c>
      <c r="N305" s="8">
        <v>6248</v>
      </c>
      <c r="O305" s="9">
        <f t="shared" si="4"/>
        <v>0.11110529438453216</v>
      </c>
      <c r="P305" s="6" t="s">
        <v>29</v>
      </c>
    </row>
    <row r="306" spans="1:16" x14ac:dyDescent="0.25">
      <c r="A306" s="2" t="s">
        <v>681</v>
      </c>
      <c r="B306" s="2" t="s">
        <v>682</v>
      </c>
      <c r="C306" s="2" t="s">
        <v>76</v>
      </c>
      <c r="D306" s="3" t="s">
        <v>77</v>
      </c>
      <c r="E306" s="3" t="s">
        <v>20</v>
      </c>
      <c r="F306" s="2" t="s">
        <v>155</v>
      </c>
      <c r="G306" s="4">
        <v>304159</v>
      </c>
      <c r="H306" s="4">
        <v>1405846</v>
      </c>
      <c r="I306" s="4">
        <v>1078460</v>
      </c>
      <c r="J306" s="4">
        <v>67862</v>
      </c>
      <c r="K306" s="4">
        <v>5414</v>
      </c>
      <c r="L306" s="4">
        <v>7885</v>
      </c>
      <c r="M306" s="4">
        <v>6268</v>
      </c>
      <c r="N306" s="4">
        <v>30074</v>
      </c>
      <c r="O306" s="5">
        <f t="shared" si="4"/>
        <v>8.1068375275856308E-2</v>
      </c>
      <c r="P306" s="2" t="s">
        <v>29</v>
      </c>
    </row>
    <row r="307" spans="1:16" x14ac:dyDescent="0.25">
      <c r="A307" s="6" t="s">
        <v>683</v>
      </c>
      <c r="B307" s="6" t="s">
        <v>684</v>
      </c>
      <c r="C307" s="6" t="s">
        <v>25</v>
      </c>
      <c r="D307" s="7" t="s">
        <v>145</v>
      </c>
      <c r="E307" s="7" t="s">
        <v>39</v>
      </c>
      <c r="F307" s="6" t="s">
        <v>54</v>
      </c>
      <c r="G307" s="8">
        <v>270365</v>
      </c>
      <c r="H307" s="8">
        <v>65397</v>
      </c>
      <c r="I307" s="8">
        <v>55799</v>
      </c>
      <c r="J307" s="8">
        <v>2372</v>
      </c>
      <c r="K307" s="8">
        <v>236</v>
      </c>
      <c r="L307" s="8">
        <v>338</v>
      </c>
      <c r="M307" s="8">
        <v>150</v>
      </c>
      <c r="N307" s="8">
        <v>1622</v>
      </c>
      <c r="O307" s="9">
        <f t="shared" si="4"/>
        <v>5.5484865320167026E-2</v>
      </c>
      <c r="P307" s="6" t="s">
        <v>29</v>
      </c>
    </row>
    <row r="308" spans="1:16" x14ac:dyDescent="0.25">
      <c r="A308" s="2" t="s">
        <v>685</v>
      </c>
      <c r="B308" s="2" t="s">
        <v>686</v>
      </c>
      <c r="C308" s="2" t="s">
        <v>76</v>
      </c>
      <c r="D308" s="3" t="s">
        <v>103</v>
      </c>
      <c r="E308" s="3" t="s">
        <v>45</v>
      </c>
      <c r="F308" s="2" t="s">
        <v>104</v>
      </c>
      <c r="G308" s="4">
        <v>244897</v>
      </c>
      <c r="H308" s="4">
        <v>90579</v>
      </c>
      <c r="I308" s="4">
        <v>65390</v>
      </c>
      <c r="J308" s="4">
        <v>3526</v>
      </c>
      <c r="K308" s="4">
        <v>564</v>
      </c>
      <c r="L308" s="4">
        <v>314</v>
      </c>
      <c r="M308" s="4">
        <v>307</v>
      </c>
      <c r="N308" s="4">
        <v>1813</v>
      </c>
      <c r="O308" s="5">
        <f t="shared" si="4"/>
        <v>7.2044655146046799E-2</v>
      </c>
      <c r="P308" s="2" t="s">
        <v>22</v>
      </c>
    </row>
    <row r="309" spans="1:16" x14ac:dyDescent="0.25">
      <c r="A309" s="6" t="s">
        <v>687</v>
      </c>
      <c r="B309" s="6" t="s">
        <v>688</v>
      </c>
      <c r="C309" s="6" t="s">
        <v>43</v>
      </c>
      <c r="D309" s="7" t="s">
        <v>110</v>
      </c>
      <c r="E309" s="7" t="s">
        <v>50</v>
      </c>
      <c r="F309" s="6" t="s">
        <v>46</v>
      </c>
      <c r="G309" s="8">
        <v>415009</v>
      </c>
      <c r="H309" s="8">
        <v>37546</v>
      </c>
      <c r="I309" s="8">
        <v>29189</v>
      </c>
      <c r="J309" s="8">
        <v>2159</v>
      </c>
      <c r="K309" s="8">
        <v>141</v>
      </c>
      <c r="L309" s="8">
        <v>317</v>
      </c>
      <c r="M309" s="8">
        <v>32</v>
      </c>
      <c r="N309" s="8">
        <v>498</v>
      </c>
      <c r="O309" s="9">
        <f t="shared" si="4"/>
        <v>9.0753365994038854E-2</v>
      </c>
      <c r="P309" s="6" t="s">
        <v>22</v>
      </c>
    </row>
    <row r="310" spans="1:16" x14ac:dyDescent="0.25">
      <c r="A310" s="2" t="s">
        <v>689</v>
      </c>
      <c r="B310" s="2" t="s">
        <v>690</v>
      </c>
      <c r="C310" s="2" t="s">
        <v>76</v>
      </c>
      <c r="D310" s="3" t="s">
        <v>189</v>
      </c>
      <c r="E310" s="3" t="s">
        <v>50</v>
      </c>
      <c r="F310" s="2" t="s">
        <v>155</v>
      </c>
      <c r="G310" s="4">
        <v>161577</v>
      </c>
      <c r="H310" s="4">
        <v>49106</v>
      </c>
      <c r="I310" s="4">
        <v>35322</v>
      </c>
      <c r="J310" s="4">
        <v>2108</v>
      </c>
      <c r="K310" s="4">
        <v>366</v>
      </c>
      <c r="L310" s="4">
        <v>209</v>
      </c>
      <c r="M310" s="4">
        <v>369</v>
      </c>
      <c r="N310" s="4">
        <v>580</v>
      </c>
      <c r="O310" s="5">
        <f t="shared" si="4"/>
        <v>8.6405073325406256E-2</v>
      </c>
      <c r="P310" s="2" t="s">
        <v>22</v>
      </c>
    </row>
    <row r="311" spans="1:16" x14ac:dyDescent="0.25">
      <c r="A311" s="6" t="s">
        <v>691</v>
      </c>
      <c r="B311" s="6" t="s">
        <v>692</v>
      </c>
      <c r="C311" s="6" t="s">
        <v>43</v>
      </c>
      <c r="D311" s="7" t="s">
        <v>110</v>
      </c>
      <c r="E311" s="7" t="s">
        <v>39</v>
      </c>
      <c r="F311" s="6" t="s">
        <v>107</v>
      </c>
      <c r="G311" s="8">
        <v>140673</v>
      </c>
      <c r="H311" s="8">
        <v>22365</v>
      </c>
      <c r="I311" s="8">
        <v>19021</v>
      </c>
      <c r="J311" s="8">
        <v>718</v>
      </c>
      <c r="K311" s="8">
        <v>36</v>
      </c>
      <c r="L311" s="8">
        <v>78</v>
      </c>
      <c r="M311" s="8">
        <v>33</v>
      </c>
      <c r="N311" s="8">
        <v>722</v>
      </c>
      <c r="O311" s="9">
        <f t="shared" si="4"/>
        <v>4.5476052783765313E-2</v>
      </c>
      <c r="P311" s="6" t="s">
        <v>22</v>
      </c>
    </row>
    <row r="312" spans="1:16" x14ac:dyDescent="0.25">
      <c r="A312" s="2" t="s">
        <v>693</v>
      </c>
      <c r="B312" s="2" t="s">
        <v>694</v>
      </c>
      <c r="C312" s="2" t="s">
        <v>43</v>
      </c>
      <c r="D312" s="3" t="s">
        <v>44</v>
      </c>
      <c r="E312" s="3" t="s">
        <v>50</v>
      </c>
      <c r="F312" s="2" t="s">
        <v>70</v>
      </c>
      <c r="G312" s="4">
        <v>586913</v>
      </c>
      <c r="H312" s="4">
        <v>287634</v>
      </c>
      <c r="I312" s="4">
        <v>221441</v>
      </c>
      <c r="J312" s="4">
        <v>20933</v>
      </c>
      <c r="K312" s="4">
        <v>2910</v>
      </c>
      <c r="L312" s="4">
        <v>2501</v>
      </c>
      <c r="M312" s="4">
        <v>26</v>
      </c>
      <c r="N312" s="4">
        <v>9732</v>
      </c>
      <c r="O312" s="5">
        <f t="shared" si="4"/>
        <v>0.11908363853125663</v>
      </c>
      <c r="P312" s="2" t="s">
        <v>22</v>
      </c>
    </row>
    <row r="313" spans="1:16" x14ac:dyDescent="0.25">
      <c r="A313" s="6" t="s">
        <v>695</v>
      </c>
      <c r="B313" s="6" t="s">
        <v>696</v>
      </c>
      <c r="C313" s="6" t="s">
        <v>18</v>
      </c>
      <c r="D313" s="7" t="s">
        <v>19</v>
      </c>
      <c r="E313" s="7" t="s">
        <v>20</v>
      </c>
      <c r="F313" s="6" t="s">
        <v>21</v>
      </c>
      <c r="G313" s="8">
        <v>140435</v>
      </c>
      <c r="H313" s="8">
        <v>72267</v>
      </c>
      <c r="I313" s="8">
        <v>60395</v>
      </c>
      <c r="J313" s="8">
        <v>4071</v>
      </c>
      <c r="K313" s="8">
        <v>496</v>
      </c>
      <c r="L313" s="8">
        <v>397</v>
      </c>
      <c r="M313" s="8">
        <v>391</v>
      </c>
      <c r="N313" s="8">
        <v>417</v>
      </c>
      <c r="O313" s="9">
        <f t="shared" si="4"/>
        <v>8.8666280321218649E-2</v>
      </c>
      <c r="P313" s="6" t="s">
        <v>22</v>
      </c>
    </row>
    <row r="314" spans="1:16" x14ac:dyDescent="0.25">
      <c r="A314" s="2" t="s">
        <v>697</v>
      </c>
      <c r="B314" s="2" t="s">
        <v>698</v>
      </c>
      <c r="C314" s="2" t="s">
        <v>43</v>
      </c>
      <c r="D314" s="3" t="s">
        <v>69</v>
      </c>
      <c r="E314" s="3" t="s">
        <v>45</v>
      </c>
      <c r="F314" s="2" t="s">
        <v>107</v>
      </c>
      <c r="G314" s="4">
        <v>394624</v>
      </c>
      <c r="H314" s="4">
        <v>118723</v>
      </c>
      <c r="I314" s="4">
        <v>86697</v>
      </c>
      <c r="J314" s="4">
        <v>3751</v>
      </c>
      <c r="K314" s="4">
        <v>130</v>
      </c>
      <c r="L314" s="4">
        <v>447</v>
      </c>
      <c r="M314" s="4">
        <v>0</v>
      </c>
      <c r="N314" s="4">
        <v>3889</v>
      </c>
      <c r="O314" s="5">
        <f t="shared" si="4"/>
        <v>4.9920989192244254E-2</v>
      </c>
      <c r="P314" s="2" t="s">
        <v>66</v>
      </c>
    </row>
    <row r="315" spans="1:16" x14ac:dyDescent="0.25">
      <c r="A315" s="6" t="s">
        <v>699</v>
      </c>
      <c r="B315" s="6" t="s">
        <v>700</v>
      </c>
      <c r="C315" s="6" t="s">
        <v>25</v>
      </c>
      <c r="D315" s="7" t="s">
        <v>145</v>
      </c>
      <c r="E315" s="7" t="s">
        <v>20</v>
      </c>
      <c r="F315" s="6" t="s">
        <v>65</v>
      </c>
      <c r="G315" s="8">
        <v>649533</v>
      </c>
      <c r="H315" s="8">
        <v>172249</v>
      </c>
      <c r="I315" s="8">
        <v>154209</v>
      </c>
      <c r="J315" s="8">
        <v>7863</v>
      </c>
      <c r="K315" s="8">
        <v>1151</v>
      </c>
      <c r="L315" s="8">
        <v>778</v>
      </c>
      <c r="M315" s="8">
        <v>1689</v>
      </c>
      <c r="N315" s="8">
        <v>4582</v>
      </c>
      <c r="O315" s="9">
        <f t="shared" si="4"/>
        <v>7.4450907534579697E-2</v>
      </c>
      <c r="P315" s="6" t="s">
        <v>22</v>
      </c>
    </row>
    <row r="316" spans="1:16" x14ac:dyDescent="0.25">
      <c r="A316" s="2" t="s">
        <v>701</v>
      </c>
      <c r="B316" s="2" t="s">
        <v>702</v>
      </c>
      <c r="C316" s="2" t="s">
        <v>43</v>
      </c>
      <c r="D316" s="3" t="s">
        <v>81</v>
      </c>
      <c r="E316" s="3" t="s">
        <v>27</v>
      </c>
      <c r="F316" s="2" t="s">
        <v>70</v>
      </c>
      <c r="G316" s="4">
        <v>476046</v>
      </c>
      <c r="H316" s="4">
        <v>276262</v>
      </c>
      <c r="I316" s="4">
        <v>224908</v>
      </c>
      <c r="J316" s="4">
        <v>12082</v>
      </c>
      <c r="K316" s="4">
        <v>1694</v>
      </c>
      <c r="L316" s="4">
        <v>1117</v>
      </c>
      <c r="M316" s="4">
        <v>33</v>
      </c>
      <c r="N316" s="4">
        <v>7722</v>
      </c>
      <c r="O316" s="5">
        <f t="shared" si="4"/>
        <v>6.6364913653582797E-2</v>
      </c>
      <c r="P316" s="2" t="s">
        <v>66</v>
      </c>
    </row>
    <row r="317" spans="1:16" x14ac:dyDescent="0.25">
      <c r="A317" s="6" t="s">
        <v>703</v>
      </c>
      <c r="B317" s="6" t="s">
        <v>704</v>
      </c>
      <c r="C317" s="6" t="s">
        <v>18</v>
      </c>
      <c r="D317" s="7" t="s">
        <v>231</v>
      </c>
      <c r="E317" s="7" t="s">
        <v>39</v>
      </c>
      <c r="F317" s="6" t="s">
        <v>21</v>
      </c>
      <c r="G317" s="8">
        <v>445483</v>
      </c>
      <c r="H317" s="8">
        <v>269004</v>
      </c>
      <c r="I317" s="8">
        <v>218897</v>
      </c>
      <c r="J317" s="8">
        <v>7675</v>
      </c>
      <c r="K317" s="8">
        <v>1185</v>
      </c>
      <c r="L317" s="8">
        <v>604</v>
      </c>
      <c r="M317" s="8">
        <v>1493</v>
      </c>
      <c r="N317" s="8">
        <v>2258</v>
      </c>
      <c r="O317" s="9">
        <f t="shared" si="4"/>
        <v>5.0055505557408279E-2</v>
      </c>
      <c r="P317" s="6" t="s">
        <v>29</v>
      </c>
    </row>
    <row r="318" spans="1:16" x14ac:dyDescent="0.25">
      <c r="A318" s="2" t="s">
        <v>705</v>
      </c>
      <c r="B318" s="2" t="s">
        <v>706</v>
      </c>
      <c r="C318" s="2" t="s">
        <v>32</v>
      </c>
      <c r="D318" s="3" t="s">
        <v>121</v>
      </c>
      <c r="E318" s="3" t="s">
        <v>50</v>
      </c>
      <c r="F318" s="2" t="s">
        <v>35</v>
      </c>
      <c r="G318" s="4">
        <v>28622</v>
      </c>
      <c r="H318" s="4">
        <v>11920</v>
      </c>
      <c r="I318" s="4">
        <v>10693</v>
      </c>
      <c r="J318" s="4">
        <v>869</v>
      </c>
      <c r="K318" s="4">
        <v>37</v>
      </c>
      <c r="L318" s="4">
        <v>53</v>
      </c>
      <c r="M318" s="4">
        <v>41</v>
      </c>
      <c r="N318" s="4">
        <v>384</v>
      </c>
      <c r="O318" s="5">
        <f t="shared" si="4"/>
        <v>9.3519124660993172E-2</v>
      </c>
      <c r="P318" s="2" t="s">
        <v>29</v>
      </c>
    </row>
    <row r="319" spans="1:16" x14ac:dyDescent="0.25">
      <c r="A319" s="6" t="s">
        <v>707</v>
      </c>
      <c r="B319" s="6" t="s">
        <v>708</v>
      </c>
      <c r="C319" s="6" t="s">
        <v>76</v>
      </c>
      <c r="D319" s="7" t="s">
        <v>182</v>
      </c>
      <c r="E319" s="7" t="s">
        <v>45</v>
      </c>
      <c r="F319" s="6" t="s">
        <v>78</v>
      </c>
      <c r="G319" s="8">
        <v>91950</v>
      </c>
      <c r="H319" s="8">
        <v>27486</v>
      </c>
      <c r="I319" s="8">
        <v>25137</v>
      </c>
      <c r="J319" s="8">
        <v>1559</v>
      </c>
      <c r="K319" s="8">
        <v>84</v>
      </c>
      <c r="L319" s="8">
        <v>142</v>
      </c>
      <c r="M319" s="8">
        <v>91</v>
      </c>
      <c r="N319" s="8">
        <v>278</v>
      </c>
      <c r="O319" s="9">
        <f t="shared" si="4"/>
        <v>7.4631021999443048E-2</v>
      </c>
      <c r="P319" s="6" t="s">
        <v>22</v>
      </c>
    </row>
    <row r="320" spans="1:16" x14ac:dyDescent="0.25">
      <c r="A320" s="2" t="s">
        <v>709</v>
      </c>
      <c r="B320" s="2" t="s">
        <v>710</v>
      </c>
      <c r="C320" s="2" t="s">
        <v>25</v>
      </c>
      <c r="D320" s="3" t="s">
        <v>64</v>
      </c>
      <c r="E320" s="3" t="s">
        <v>20</v>
      </c>
      <c r="F320" s="2" t="s">
        <v>54</v>
      </c>
      <c r="G320" s="4">
        <v>442463</v>
      </c>
      <c r="H320" s="4">
        <v>219546</v>
      </c>
      <c r="I320" s="4">
        <v>167630</v>
      </c>
      <c r="J320" s="4">
        <v>6771</v>
      </c>
      <c r="K320" s="4">
        <v>1115</v>
      </c>
      <c r="L320" s="4">
        <v>980</v>
      </c>
      <c r="M320" s="4">
        <v>343</v>
      </c>
      <c r="N320" s="4">
        <v>6138</v>
      </c>
      <c r="O320" s="5">
        <f t="shared" si="4"/>
        <v>5.4936467219471458E-2</v>
      </c>
      <c r="P320" s="2" t="s">
        <v>22</v>
      </c>
    </row>
    <row r="321" spans="1:16" x14ac:dyDescent="0.25">
      <c r="A321" s="6" t="s">
        <v>711</v>
      </c>
      <c r="B321" s="6" t="s">
        <v>712</v>
      </c>
      <c r="C321" s="6" t="s">
        <v>76</v>
      </c>
      <c r="D321" s="7" t="s">
        <v>189</v>
      </c>
      <c r="E321" s="7" t="s">
        <v>39</v>
      </c>
      <c r="F321" s="6" t="s">
        <v>155</v>
      </c>
      <c r="G321" s="8">
        <v>229908</v>
      </c>
      <c r="H321" s="8">
        <v>80733</v>
      </c>
      <c r="I321" s="8">
        <v>64361</v>
      </c>
      <c r="J321" s="8">
        <v>4526</v>
      </c>
      <c r="K321" s="8">
        <v>140</v>
      </c>
      <c r="L321" s="8">
        <v>609</v>
      </c>
      <c r="M321" s="8">
        <v>478</v>
      </c>
      <c r="N321" s="8">
        <v>1926</v>
      </c>
      <c r="O321" s="9">
        <f t="shared" si="4"/>
        <v>8.9386429670141862E-2</v>
      </c>
      <c r="P321" s="6" t="s">
        <v>29</v>
      </c>
    </row>
    <row r="322" spans="1:16" x14ac:dyDescent="0.25">
      <c r="A322" s="2" t="s">
        <v>713</v>
      </c>
      <c r="B322" s="2" t="s">
        <v>714</v>
      </c>
      <c r="C322" s="2" t="s">
        <v>76</v>
      </c>
      <c r="D322" s="3" t="s">
        <v>103</v>
      </c>
      <c r="E322" s="3" t="s">
        <v>34</v>
      </c>
      <c r="F322" s="2" t="s">
        <v>155</v>
      </c>
      <c r="G322" s="4">
        <v>36507</v>
      </c>
      <c r="H322" s="4">
        <v>20358</v>
      </c>
      <c r="I322" s="4">
        <v>15733</v>
      </c>
      <c r="J322" s="4">
        <v>514</v>
      </c>
      <c r="K322" s="4">
        <v>23</v>
      </c>
      <c r="L322" s="4">
        <v>76</v>
      </c>
      <c r="M322" s="4">
        <v>42</v>
      </c>
      <c r="N322" s="4">
        <v>275</v>
      </c>
      <c r="O322" s="5">
        <f t="shared" ref="O322:O385" si="5">IF(I322&gt;0, (J322+K322+L322+M322)/I322, 0)</f>
        <v>4.163223797114346E-2</v>
      </c>
      <c r="P322" s="2" t="s">
        <v>29</v>
      </c>
    </row>
    <row r="323" spans="1:16" x14ac:dyDescent="0.25">
      <c r="A323" s="6" t="s">
        <v>715</v>
      </c>
      <c r="B323" s="6" t="s">
        <v>716</v>
      </c>
      <c r="C323" s="6" t="s">
        <v>43</v>
      </c>
      <c r="D323" s="7" t="s">
        <v>44</v>
      </c>
      <c r="E323" s="7" t="s">
        <v>39</v>
      </c>
      <c r="F323" s="6" t="s">
        <v>107</v>
      </c>
      <c r="G323" s="8">
        <v>609590</v>
      </c>
      <c r="H323" s="8">
        <v>61220</v>
      </c>
      <c r="I323" s="8">
        <v>46885</v>
      </c>
      <c r="J323" s="8">
        <v>2578</v>
      </c>
      <c r="K323" s="8">
        <v>223</v>
      </c>
      <c r="L323" s="8">
        <v>74</v>
      </c>
      <c r="M323" s="8">
        <v>27</v>
      </c>
      <c r="N323" s="8">
        <v>1854</v>
      </c>
      <c r="O323" s="9">
        <f t="shared" si="5"/>
        <v>6.1896128825850487E-2</v>
      </c>
      <c r="P323" s="6" t="s">
        <v>22</v>
      </c>
    </row>
    <row r="324" spans="1:16" x14ac:dyDescent="0.25">
      <c r="A324" s="2" t="s">
        <v>717</v>
      </c>
      <c r="B324" s="2" t="s">
        <v>718</v>
      </c>
      <c r="C324" s="2" t="s">
        <v>18</v>
      </c>
      <c r="D324" s="3" t="s">
        <v>231</v>
      </c>
      <c r="E324" s="3" t="s">
        <v>27</v>
      </c>
      <c r="F324" s="2" t="s">
        <v>58</v>
      </c>
      <c r="G324" s="4">
        <v>552631</v>
      </c>
      <c r="H324" s="4">
        <v>110061</v>
      </c>
      <c r="I324" s="4">
        <v>79689</v>
      </c>
      <c r="J324" s="4">
        <v>7020</v>
      </c>
      <c r="K324" s="4">
        <v>872</v>
      </c>
      <c r="L324" s="4">
        <v>1041</v>
      </c>
      <c r="M324" s="4">
        <v>1030</v>
      </c>
      <c r="N324" s="4">
        <v>2824</v>
      </c>
      <c r="O324" s="5">
        <f t="shared" si="5"/>
        <v>0.12502352896886648</v>
      </c>
      <c r="P324" s="2" t="s">
        <v>66</v>
      </c>
    </row>
    <row r="325" spans="1:16" x14ac:dyDescent="0.25">
      <c r="A325" s="6" t="s">
        <v>719</v>
      </c>
      <c r="B325" s="6" t="s">
        <v>720</v>
      </c>
      <c r="C325" s="6" t="s">
        <v>18</v>
      </c>
      <c r="D325" s="7" t="s">
        <v>231</v>
      </c>
      <c r="E325" s="7" t="s">
        <v>27</v>
      </c>
      <c r="F325" s="6" t="s">
        <v>73</v>
      </c>
      <c r="G325" s="8">
        <v>656018</v>
      </c>
      <c r="H325" s="8">
        <v>100985</v>
      </c>
      <c r="I325" s="8">
        <v>81717</v>
      </c>
      <c r="J325" s="8">
        <v>6437</v>
      </c>
      <c r="K325" s="8">
        <v>673</v>
      </c>
      <c r="L325" s="8">
        <v>804</v>
      </c>
      <c r="M325" s="8">
        <v>1459</v>
      </c>
      <c r="N325" s="8">
        <v>1209</v>
      </c>
      <c r="O325" s="9">
        <f t="shared" si="5"/>
        <v>0.11470073546508071</v>
      </c>
      <c r="P325" s="6" t="s">
        <v>22</v>
      </c>
    </row>
    <row r="326" spans="1:16" x14ac:dyDescent="0.25">
      <c r="A326" s="2" t="s">
        <v>721</v>
      </c>
      <c r="B326" s="2" t="s">
        <v>722</v>
      </c>
      <c r="C326" s="2" t="s">
        <v>32</v>
      </c>
      <c r="D326" s="3" t="s">
        <v>175</v>
      </c>
      <c r="E326" s="3" t="s">
        <v>45</v>
      </c>
      <c r="F326" s="2" t="s">
        <v>51</v>
      </c>
      <c r="G326" s="4">
        <v>840903</v>
      </c>
      <c r="H326" s="4">
        <v>266011</v>
      </c>
      <c r="I326" s="4">
        <v>205742</v>
      </c>
      <c r="J326" s="4">
        <v>14264</v>
      </c>
      <c r="K326" s="4">
        <v>1791</v>
      </c>
      <c r="L326" s="4">
        <v>306</v>
      </c>
      <c r="M326" s="4">
        <v>12</v>
      </c>
      <c r="N326" s="4">
        <v>6836</v>
      </c>
      <c r="O326" s="5">
        <f t="shared" si="5"/>
        <v>7.958025099396332E-2</v>
      </c>
      <c r="P326" s="2" t="s">
        <v>22</v>
      </c>
    </row>
    <row r="327" spans="1:16" x14ac:dyDescent="0.25">
      <c r="A327" s="6" t="s">
        <v>723</v>
      </c>
      <c r="B327" s="6" t="s">
        <v>724</v>
      </c>
      <c r="C327" s="6" t="s">
        <v>43</v>
      </c>
      <c r="D327" s="7" t="s">
        <v>110</v>
      </c>
      <c r="E327" s="7" t="s">
        <v>34</v>
      </c>
      <c r="F327" s="6" t="s">
        <v>70</v>
      </c>
      <c r="G327" s="8">
        <v>721650</v>
      </c>
      <c r="H327" s="8">
        <v>220643</v>
      </c>
      <c r="I327" s="8">
        <v>184351</v>
      </c>
      <c r="J327" s="8">
        <v>4798</v>
      </c>
      <c r="K327" s="8">
        <v>270</v>
      </c>
      <c r="L327" s="8">
        <v>302</v>
      </c>
      <c r="M327" s="8">
        <v>21</v>
      </c>
      <c r="N327" s="8">
        <v>7208</v>
      </c>
      <c r="O327" s="9">
        <f t="shared" si="5"/>
        <v>2.9243128597078401E-2</v>
      </c>
      <c r="P327" s="6" t="s">
        <v>22</v>
      </c>
    </row>
    <row r="328" spans="1:16" x14ac:dyDescent="0.25">
      <c r="A328" s="2" t="s">
        <v>725</v>
      </c>
      <c r="B328" s="2" t="s">
        <v>726</v>
      </c>
      <c r="C328" s="2" t="s">
        <v>32</v>
      </c>
      <c r="D328" s="3" t="s">
        <v>49</v>
      </c>
      <c r="E328" s="3" t="s">
        <v>45</v>
      </c>
      <c r="F328" s="2" t="s">
        <v>35</v>
      </c>
      <c r="G328" s="4">
        <v>565551</v>
      </c>
      <c r="H328" s="4">
        <v>194327</v>
      </c>
      <c r="I328" s="4">
        <v>153726</v>
      </c>
      <c r="J328" s="4">
        <v>12544</v>
      </c>
      <c r="K328" s="4">
        <v>1947</v>
      </c>
      <c r="L328" s="4">
        <v>739</v>
      </c>
      <c r="M328" s="4">
        <v>46</v>
      </c>
      <c r="N328" s="4">
        <v>4925</v>
      </c>
      <c r="O328" s="5">
        <f t="shared" si="5"/>
        <v>9.9371609226806129E-2</v>
      </c>
      <c r="P328" s="2" t="s">
        <v>22</v>
      </c>
    </row>
    <row r="329" spans="1:16" x14ac:dyDescent="0.25">
      <c r="A329" s="6" t="s">
        <v>727</v>
      </c>
      <c r="B329" s="6" t="s">
        <v>728</v>
      </c>
      <c r="C329" s="6" t="s">
        <v>18</v>
      </c>
      <c r="D329" s="7" t="s">
        <v>231</v>
      </c>
      <c r="E329" s="7" t="s">
        <v>34</v>
      </c>
      <c r="F329" s="6" t="s">
        <v>21</v>
      </c>
      <c r="G329" s="8">
        <v>296583</v>
      </c>
      <c r="H329" s="8">
        <v>81061</v>
      </c>
      <c r="I329" s="8">
        <v>67915</v>
      </c>
      <c r="J329" s="8">
        <v>5718</v>
      </c>
      <c r="K329" s="8">
        <v>661</v>
      </c>
      <c r="L329" s="8">
        <v>403</v>
      </c>
      <c r="M329" s="8">
        <v>966</v>
      </c>
      <c r="N329" s="8">
        <v>2507</v>
      </c>
      <c r="O329" s="9">
        <f t="shared" si="5"/>
        <v>0.11408378119708459</v>
      </c>
      <c r="P329" s="6" t="s">
        <v>29</v>
      </c>
    </row>
    <row r="330" spans="1:16" x14ac:dyDescent="0.25">
      <c r="A330" s="2" t="s">
        <v>729</v>
      </c>
      <c r="B330" s="2" t="s">
        <v>730</v>
      </c>
      <c r="C330" s="2" t="s">
        <v>18</v>
      </c>
      <c r="D330" s="3" t="s">
        <v>57</v>
      </c>
      <c r="E330" s="3" t="s">
        <v>34</v>
      </c>
      <c r="F330" s="2" t="s">
        <v>58</v>
      </c>
      <c r="G330" s="4">
        <v>251685</v>
      </c>
      <c r="H330" s="4">
        <v>139129</v>
      </c>
      <c r="I330" s="4">
        <v>104005</v>
      </c>
      <c r="J330" s="4">
        <v>5306</v>
      </c>
      <c r="K330" s="4">
        <v>248</v>
      </c>
      <c r="L330" s="4">
        <v>647</v>
      </c>
      <c r="M330" s="4">
        <v>1090</v>
      </c>
      <c r="N330" s="4">
        <v>4507</v>
      </c>
      <c r="O330" s="5">
        <f t="shared" si="5"/>
        <v>7.0102398923128695E-2</v>
      </c>
      <c r="P330" s="2" t="s">
        <v>22</v>
      </c>
    </row>
    <row r="331" spans="1:16" x14ac:dyDescent="0.25">
      <c r="A331" s="6" t="s">
        <v>731</v>
      </c>
      <c r="B331" s="6" t="s">
        <v>732</v>
      </c>
      <c r="C331" s="6" t="s">
        <v>25</v>
      </c>
      <c r="D331" s="7" t="s">
        <v>64</v>
      </c>
      <c r="E331" s="7" t="s">
        <v>50</v>
      </c>
      <c r="F331" s="6" t="s">
        <v>65</v>
      </c>
      <c r="G331" s="8">
        <v>770520</v>
      </c>
      <c r="H331" s="8">
        <v>197950</v>
      </c>
      <c r="I331" s="8">
        <v>144805</v>
      </c>
      <c r="J331" s="8">
        <v>14313</v>
      </c>
      <c r="K331" s="8">
        <v>2194</v>
      </c>
      <c r="L331" s="8">
        <v>2031</v>
      </c>
      <c r="M331" s="8">
        <v>2652</v>
      </c>
      <c r="N331" s="8">
        <v>1777</v>
      </c>
      <c r="O331" s="9">
        <f t="shared" si="5"/>
        <v>0.14633472601084216</v>
      </c>
      <c r="P331" s="6" t="s">
        <v>29</v>
      </c>
    </row>
    <row r="332" spans="1:16" x14ac:dyDescent="0.25">
      <c r="A332" s="2" t="s">
        <v>733</v>
      </c>
      <c r="B332" s="2" t="s">
        <v>734</v>
      </c>
      <c r="C332" s="2" t="s">
        <v>43</v>
      </c>
      <c r="D332" s="3" t="s">
        <v>81</v>
      </c>
      <c r="E332" s="3" t="s">
        <v>34</v>
      </c>
      <c r="F332" s="2" t="s">
        <v>46</v>
      </c>
      <c r="G332" s="4">
        <v>48668</v>
      </c>
      <c r="H332" s="4">
        <v>20379</v>
      </c>
      <c r="I332" s="4">
        <v>15759</v>
      </c>
      <c r="J332" s="4">
        <v>1494</v>
      </c>
      <c r="K332" s="4">
        <v>67</v>
      </c>
      <c r="L332" s="4">
        <v>178</v>
      </c>
      <c r="M332" s="4">
        <v>47</v>
      </c>
      <c r="N332" s="4">
        <v>292</v>
      </c>
      <c r="O332" s="5">
        <f t="shared" si="5"/>
        <v>0.11333206421727267</v>
      </c>
      <c r="P332" s="2" t="s">
        <v>22</v>
      </c>
    </row>
    <row r="333" spans="1:16" x14ac:dyDescent="0.25">
      <c r="A333" s="6" t="s">
        <v>735</v>
      </c>
      <c r="B333" s="6" t="s">
        <v>736</v>
      </c>
      <c r="C333" s="6" t="s">
        <v>18</v>
      </c>
      <c r="D333" s="7" t="s">
        <v>19</v>
      </c>
      <c r="E333" s="7" t="s">
        <v>20</v>
      </c>
      <c r="F333" s="6" t="s">
        <v>58</v>
      </c>
      <c r="G333" s="8">
        <v>292588</v>
      </c>
      <c r="H333" s="8">
        <v>152288</v>
      </c>
      <c r="I333" s="8">
        <v>110543</v>
      </c>
      <c r="J333" s="8">
        <v>4410</v>
      </c>
      <c r="K333" s="8">
        <v>313</v>
      </c>
      <c r="L333" s="8">
        <v>96</v>
      </c>
      <c r="M333" s="8">
        <v>769</v>
      </c>
      <c r="N333" s="8">
        <v>3109</v>
      </c>
      <c r="O333" s="9">
        <f t="shared" si="5"/>
        <v>5.0550464525116925E-2</v>
      </c>
      <c r="P333" s="6" t="s">
        <v>22</v>
      </c>
    </row>
    <row r="334" spans="1:16" x14ac:dyDescent="0.25">
      <c r="A334" s="2" t="s">
        <v>737</v>
      </c>
      <c r="B334" s="2" t="s">
        <v>738</v>
      </c>
      <c r="C334" s="2" t="s">
        <v>25</v>
      </c>
      <c r="D334" s="3" t="s">
        <v>244</v>
      </c>
      <c r="E334" s="3" t="s">
        <v>27</v>
      </c>
      <c r="F334" s="2" t="s">
        <v>146</v>
      </c>
      <c r="G334" s="4">
        <v>182094</v>
      </c>
      <c r="H334" s="4">
        <v>78220</v>
      </c>
      <c r="I334" s="4">
        <v>64056</v>
      </c>
      <c r="J334" s="4">
        <v>1802</v>
      </c>
      <c r="K334" s="4">
        <v>61</v>
      </c>
      <c r="L334" s="4">
        <v>247</v>
      </c>
      <c r="M334" s="4">
        <v>108</v>
      </c>
      <c r="N334" s="4">
        <v>1291</v>
      </c>
      <c r="O334" s="5">
        <f t="shared" si="5"/>
        <v>3.462595229174472E-2</v>
      </c>
      <c r="P334" s="2" t="s">
        <v>22</v>
      </c>
    </row>
    <row r="335" spans="1:16" x14ac:dyDescent="0.25">
      <c r="A335" s="6" t="s">
        <v>739</v>
      </c>
      <c r="B335" s="6" t="s">
        <v>740</v>
      </c>
      <c r="C335" s="6" t="s">
        <v>43</v>
      </c>
      <c r="D335" s="7" t="s">
        <v>69</v>
      </c>
      <c r="E335" s="7" t="s">
        <v>27</v>
      </c>
      <c r="F335" s="6" t="s">
        <v>46</v>
      </c>
      <c r="G335" s="8">
        <v>330117</v>
      </c>
      <c r="H335" s="8">
        <v>63694</v>
      </c>
      <c r="I335" s="8">
        <v>53986</v>
      </c>
      <c r="J335" s="8">
        <v>3312</v>
      </c>
      <c r="K335" s="8">
        <v>583</v>
      </c>
      <c r="L335" s="8">
        <v>391</v>
      </c>
      <c r="M335" s="8">
        <v>29</v>
      </c>
      <c r="N335" s="8">
        <v>1403</v>
      </c>
      <c r="O335" s="9">
        <f t="shared" si="5"/>
        <v>7.9928129515059454E-2</v>
      </c>
      <c r="P335" s="6" t="s">
        <v>22</v>
      </c>
    </row>
    <row r="336" spans="1:16" x14ac:dyDescent="0.25">
      <c r="A336" s="2" t="s">
        <v>741</v>
      </c>
      <c r="B336" s="2" t="s">
        <v>742</v>
      </c>
      <c r="C336" s="2" t="s">
        <v>32</v>
      </c>
      <c r="D336" s="3" t="s">
        <v>38</v>
      </c>
      <c r="E336" s="3" t="s">
        <v>45</v>
      </c>
      <c r="F336" s="2" t="s">
        <v>35</v>
      </c>
      <c r="G336" s="4">
        <v>495903</v>
      </c>
      <c r="H336" s="4">
        <v>102931</v>
      </c>
      <c r="I336" s="4">
        <v>77895</v>
      </c>
      <c r="J336" s="4">
        <v>4303</v>
      </c>
      <c r="K336" s="4">
        <v>247</v>
      </c>
      <c r="L336" s="4">
        <v>599</v>
      </c>
      <c r="M336" s="4">
        <v>21</v>
      </c>
      <c r="N336" s="4">
        <v>2950</v>
      </c>
      <c r="O336" s="5">
        <f t="shared" si="5"/>
        <v>6.6371397393927722E-2</v>
      </c>
      <c r="P336" s="2" t="s">
        <v>66</v>
      </c>
    </row>
    <row r="337" spans="1:16" x14ac:dyDescent="0.25">
      <c r="A337" s="6" t="s">
        <v>743</v>
      </c>
      <c r="B337" s="6" t="s">
        <v>744</v>
      </c>
      <c r="C337" s="6" t="s">
        <v>32</v>
      </c>
      <c r="D337" s="7" t="s">
        <v>175</v>
      </c>
      <c r="E337" s="7" t="s">
        <v>50</v>
      </c>
      <c r="F337" s="6" t="s">
        <v>35</v>
      </c>
      <c r="G337" s="8">
        <v>486146</v>
      </c>
      <c r="H337" s="8">
        <v>117106</v>
      </c>
      <c r="I337" s="8">
        <v>97546</v>
      </c>
      <c r="J337" s="8">
        <v>3237</v>
      </c>
      <c r="K337" s="8">
        <v>147</v>
      </c>
      <c r="L337" s="8">
        <v>408</v>
      </c>
      <c r="M337" s="8">
        <v>50</v>
      </c>
      <c r="N337" s="8">
        <v>961</v>
      </c>
      <c r="O337" s="9">
        <f t="shared" si="5"/>
        <v>3.9386545834785638E-2</v>
      </c>
      <c r="P337" s="6" t="s">
        <v>22</v>
      </c>
    </row>
    <row r="338" spans="1:16" x14ac:dyDescent="0.25">
      <c r="A338" s="2" t="s">
        <v>745</v>
      </c>
      <c r="B338" s="2" t="s">
        <v>746</v>
      </c>
      <c r="C338" s="2" t="s">
        <v>32</v>
      </c>
      <c r="D338" s="3" t="s">
        <v>33</v>
      </c>
      <c r="E338" s="3" t="s">
        <v>39</v>
      </c>
      <c r="F338" s="2" t="s">
        <v>51</v>
      </c>
      <c r="G338" s="4">
        <v>653534</v>
      </c>
      <c r="H338" s="4">
        <v>111520</v>
      </c>
      <c r="I338" s="4">
        <v>87480</v>
      </c>
      <c r="J338" s="4">
        <v>4510</v>
      </c>
      <c r="K338" s="4">
        <v>685</v>
      </c>
      <c r="L338" s="4">
        <v>436</v>
      </c>
      <c r="M338" s="4">
        <v>50</v>
      </c>
      <c r="N338" s="4">
        <v>3836</v>
      </c>
      <c r="O338" s="5">
        <f t="shared" si="5"/>
        <v>6.494055784179241E-2</v>
      </c>
      <c r="P338" s="2" t="s">
        <v>22</v>
      </c>
    </row>
    <row r="339" spans="1:16" x14ac:dyDescent="0.25">
      <c r="A339" s="6" t="s">
        <v>747</v>
      </c>
      <c r="B339" s="6" t="s">
        <v>748</v>
      </c>
      <c r="C339" s="6" t="s">
        <v>25</v>
      </c>
      <c r="D339" s="7" t="s">
        <v>145</v>
      </c>
      <c r="E339" s="7" t="s">
        <v>45</v>
      </c>
      <c r="F339" s="6" t="s">
        <v>65</v>
      </c>
      <c r="G339" s="8">
        <v>122376</v>
      </c>
      <c r="H339" s="8">
        <v>42079</v>
      </c>
      <c r="I339" s="8">
        <v>30359</v>
      </c>
      <c r="J339" s="8">
        <v>1965</v>
      </c>
      <c r="K339" s="8">
        <v>149</v>
      </c>
      <c r="L339" s="8">
        <v>142</v>
      </c>
      <c r="M339" s="8">
        <v>333</v>
      </c>
      <c r="N339" s="8">
        <v>1075</v>
      </c>
      <c r="O339" s="9">
        <f t="shared" si="5"/>
        <v>8.5279488784215554E-2</v>
      </c>
      <c r="P339" s="6" t="s">
        <v>22</v>
      </c>
    </row>
    <row r="340" spans="1:16" x14ac:dyDescent="0.25">
      <c r="A340" s="2" t="s">
        <v>749</v>
      </c>
      <c r="B340" s="2" t="s">
        <v>750</v>
      </c>
      <c r="C340" s="2" t="s">
        <v>76</v>
      </c>
      <c r="D340" s="3" t="s">
        <v>77</v>
      </c>
      <c r="E340" s="3" t="s">
        <v>20</v>
      </c>
      <c r="F340" s="2" t="s">
        <v>155</v>
      </c>
      <c r="G340" s="4">
        <v>611479</v>
      </c>
      <c r="H340" s="4">
        <v>270637</v>
      </c>
      <c r="I340" s="4">
        <v>234522</v>
      </c>
      <c r="J340" s="4">
        <v>16144</v>
      </c>
      <c r="K340" s="4">
        <v>1581</v>
      </c>
      <c r="L340" s="4">
        <v>934</v>
      </c>
      <c r="M340" s="4">
        <v>2794</v>
      </c>
      <c r="N340" s="4">
        <v>4983</v>
      </c>
      <c r="O340" s="5">
        <f t="shared" si="5"/>
        <v>9.147542661242869E-2</v>
      </c>
      <c r="P340" s="2" t="s">
        <v>22</v>
      </c>
    </row>
    <row r="341" spans="1:16" x14ac:dyDescent="0.25">
      <c r="A341" s="6" t="s">
        <v>751</v>
      </c>
      <c r="B341" s="6" t="s">
        <v>752</v>
      </c>
      <c r="C341" s="6" t="s">
        <v>18</v>
      </c>
      <c r="D341" s="7" t="s">
        <v>57</v>
      </c>
      <c r="E341" s="7" t="s">
        <v>45</v>
      </c>
      <c r="F341" s="6" t="s">
        <v>58</v>
      </c>
      <c r="G341" s="8">
        <v>96124</v>
      </c>
      <c r="H341" s="8">
        <v>41193</v>
      </c>
      <c r="I341" s="8">
        <v>32498</v>
      </c>
      <c r="J341" s="8">
        <v>1139</v>
      </c>
      <c r="K341" s="8">
        <v>84</v>
      </c>
      <c r="L341" s="8">
        <v>77</v>
      </c>
      <c r="M341" s="8">
        <v>181</v>
      </c>
      <c r="N341" s="8">
        <v>271</v>
      </c>
      <c r="O341" s="9">
        <f t="shared" si="5"/>
        <v>4.5572035202166288E-2</v>
      </c>
      <c r="P341" s="6" t="s">
        <v>29</v>
      </c>
    </row>
    <row r="342" spans="1:16" x14ac:dyDescent="0.25">
      <c r="A342" s="2" t="s">
        <v>753</v>
      </c>
      <c r="B342" s="2" t="s">
        <v>754</v>
      </c>
      <c r="C342" s="2" t="s">
        <v>18</v>
      </c>
      <c r="D342" s="3" t="s">
        <v>226</v>
      </c>
      <c r="E342" s="3" t="s">
        <v>20</v>
      </c>
      <c r="F342" s="2" t="s">
        <v>58</v>
      </c>
      <c r="G342" s="4">
        <v>738833</v>
      </c>
      <c r="H342" s="4">
        <v>322406</v>
      </c>
      <c r="I342" s="4">
        <v>252835</v>
      </c>
      <c r="J342" s="4">
        <v>13829</v>
      </c>
      <c r="K342" s="4">
        <v>1545</v>
      </c>
      <c r="L342" s="4">
        <v>1467</v>
      </c>
      <c r="M342" s="4">
        <v>2004</v>
      </c>
      <c r="N342" s="4">
        <v>3432</v>
      </c>
      <c r="O342" s="5">
        <f t="shared" si="5"/>
        <v>7.4534775644194834E-2</v>
      </c>
      <c r="P342" s="2" t="s">
        <v>22</v>
      </c>
    </row>
    <row r="343" spans="1:16" x14ac:dyDescent="0.25">
      <c r="A343" s="6" t="s">
        <v>755</v>
      </c>
      <c r="B343" s="6" t="s">
        <v>756</v>
      </c>
      <c r="C343" s="6" t="s">
        <v>25</v>
      </c>
      <c r="D343" s="7" t="s">
        <v>64</v>
      </c>
      <c r="E343" s="7" t="s">
        <v>34</v>
      </c>
      <c r="F343" s="6" t="s">
        <v>54</v>
      </c>
      <c r="G343" s="8">
        <v>682385</v>
      </c>
      <c r="H343" s="8">
        <v>3238617</v>
      </c>
      <c r="I343" s="8">
        <v>2735801</v>
      </c>
      <c r="J343" s="8">
        <v>254226</v>
      </c>
      <c r="K343" s="8">
        <v>12804</v>
      </c>
      <c r="L343" s="8">
        <v>9619</v>
      </c>
      <c r="M343" s="8">
        <v>53689</v>
      </c>
      <c r="N343" s="8">
        <v>99764</v>
      </c>
      <c r="O343" s="9">
        <f t="shared" si="5"/>
        <v>0.1207463554549472</v>
      </c>
      <c r="P343" s="6" t="s">
        <v>66</v>
      </c>
    </row>
    <row r="344" spans="1:16" x14ac:dyDescent="0.25">
      <c r="A344" s="2" t="s">
        <v>757</v>
      </c>
      <c r="B344" s="2" t="s">
        <v>758</v>
      </c>
      <c r="C344" s="2" t="s">
        <v>43</v>
      </c>
      <c r="D344" s="3" t="s">
        <v>44</v>
      </c>
      <c r="E344" s="3" t="s">
        <v>39</v>
      </c>
      <c r="F344" s="2" t="s">
        <v>107</v>
      </c>
      <c r="G344" s="4">
        <v>447226</v>
      </c>
      <c r="H344" s="4">
        <v>150503</v>
      </c>
      <c r="I344" s="4">
        <v>112826</v>
      </c>
      <c r="J344" s="4">
        <v>6845</v>
      </c>
      <c r="K344" s="4">
        <v>212</v>
      </c>
      <c r="L344" s="4">
        <v>580</v>
      </c>
      <c r="M344" s="4">
        <v>46</v>
      </c>
      <c r="N344" s="4">
        <v>1821</v>
      </c>
      <c r="O344" s="5">
        <f t="shared" si="5"/>
        <v>6.8096006239696527E-2</v>
      </c>
      <c r="P344" s="2" t="s">
        <v>22</v>
      </c>
    </row>
    <row r="345" spans="1:16" x14ac:dyDescent="0.25">
      <c r="A345" s="6" t="s">
        <v>759</v>
      </c>
      <c r="B345" s="6" t="s">
        <v>760</v>
      </c>
      <c r="C345" s="6" t="s">
        <v>76</v>
      </c>
      <c r="D345" s="7" t="s">
        <v>77</v>
      </c>
      <c r="E345" s="7" t="s">
        <v>27</v>
      </c>
      <c r="F345" s="6" t="s">
        <v>104</v>
      </c>
      <c r="G345" s="8">
        <v>741622</v>
      </c>
      <c r="H345" s="8">
        <v>304623</v>
      </c>
      <c r="I345" s="8">
        <v>218601</v>
      </c>
      <c r="J345" s="8">
        <v>19438</v>
      </c>
      <c r="K345" s="8">
        <v>2117</v>
      </c>
      <c r="L345" s="8">
        <v>2560</v>
      </c>
      <c r="M345" s="8">
        <v>3889</v>
      </c>
      <c r="N345" s="8">
        <v>4076</v>
      </c>
      <c r="O345" s="9">
        <f t="shared" si="5"/>
        <v>0.12810554389046711</v>
      </c>
      <c r="P345" s="6" t="s">
        <v>22</v>
      </c>
    </row>
    <row r="346" spans="1:16" x14ac:dyDescent="0.25">
      <c r="A346" s="2" t="s">
        <v>761</v>
      </c>
      <c r="B346" s="2" t="s">
        <v>762</v>
      </c>
      <c r="C346" s="2" t="s">
        <v>32</v>
      </c>
      <c r="D346" s="3" t="s">
        <v>175</v>
      </c>
      <c r="E346" s="3" t="s">
        <v>45</v>
      </c>
      <c r="F346" s="2" t="s">
        <v>40</v>
      </c>
      <c r="G346" s="4">
        <v>645318</v>
      </c>
      <c r="H346" s="4">
        <v>177992</v>
      </c>
      <c r="I346" s="4">
        <v>125016</v>
      </c>
      <c r="J346" s="4">
        <v>8408</v>
      </c>
      <c r="K346" s="4">
        <v>1394</v>
      </c>
      <c r="L346" s="4">
        <v>795</v>
      </c>
      <c r="M346" s="4">
        <v>21</v>
      </c>
      <c r="N346" s="4">
        <v>3138</v>
      </c>
      <c r="O346" s="5">
        <f t="shared" si="5"/>
        <v>8.493312855954438E-2</v>
      </c>
      <c r="P346" s="2" t="s">
        <v>66</v>
      </c>
    </row>
    <row r="347" spans="1:16" x14ac:dyDescent="0.25">
      <c r="A347" s="6" t="s">
        <v>763</v>
      </c>
      <c r="B347" s="6" t="s">
        <v>764</v>
      </c>
      <c r="C347" s="6" t="s">
        <v>76</v>
      </c>
      <c r="D347" s="7" t="s">
        <v>189</v>
      </c>
      <c r="E347" s="7" t="s">
        <v>45</v>
      </c>
      <c r="F347" s="6" t="s">
        <v>78</v>
      </c>
      <c r="G347" s="8">
        <v>764785</v>
      </c>
      <c r="H347" s="8">
        <v>174717</v>
      </c>
      <c r="I347" s="8">
        <v>140489</v>
      </c>
      <c r="J347" s="8">
        <v>5266</v>
      </c>
      <c r="K347" s="8">
        <v>198</v>
      </c>
      <c r="L347" s="8">
        <v>783</v>
      </c>
      <c r="M347" s="8">
        <v>1115</v>
      </c>
      <c r="N347" s="8">
        <v>4145</v>
      </c>
      <c r="O347" s="9">
        <f t="shared" si="5"/>
        <v>5.2402679213319189E-2</v>
      </c>
      <c r="P347" s="6" t="s">
        <v>22</v>
      </c>
    </row>
    <row r="348" spans="1:16" x14ac:dyDescent="0.25">
      <c r="A348" s="2" t="s">
        <v>765</v>
      </c>
      <c r="B348" s="2" t="s">
        <v>766</v>
      </c>
      <c r="C348" s="2" t="s">
        <v>18</v>
      </c>
      <c r="D348" s="3" t="s">
        <v>231</v>
      </c>
      <c r="E348" s="3" t="s">
        <v>20</v>
      </c>
      <c r="F348" s="2" t="s">
        <v>73</v>
      </c>
      <c r="G348" s="4">
        <v>297120</v>
      </c>
      <c r="H348" s="4">
        <v>67287</v>
      </c>
      <c r="I348" s="4">
        <v>48752</v>
      </c>
      <c r="J348" s="4">
        <v>2050</v>
      </c>
      <c r="K348" s="4">
        <v>243</v>
      </c>
      <c r="L348" s="4">
        <v>81</v>
      </c>
      <c r="M348" s="4">
        <v>285</v>
      </c>
      <c r="N348" s="4">
        <v>1967</v>
      </c>
      <c r="O348" s="5">
        <f t="shared" si="5"/>
        <v>5.45413521496554E-2</v>
      </c>
      <c r="P348" s="2" t="s">
        <v>22</v>
      </c>
    </row>
    <row r="349" spans="1:16" x14ac:dyDescent="0.25">
      <c r="A349" s="6" t="s">
        <v>767</v>
      </c>
      <c r="B349" s="6" t="s">
        <v>768</v>
      </c>
      <c r="C349" s="6" t="s">
        <v>43</v>
      </c>
      <c r="D349" s="7" t="s">
        <v>81</v>
      </c>
      <c r="E349" s="7" t="s">
        <v>50</v>
      </c>
      <c r="F349" s="6" t="s">
        <v>70</v>
      </c>
      <c r="G349" s="8">
        <v>154617</v>
      </c>
      <c r="H349" s="8">
        <v>84789</v>
      </c>
      <c r="I349" s="8">
        <v>73393</v>
      </c>
      <c r="J349" s="8">
        <v>3796</v>
      </c>
      <c r="K349" s="8">
        <v>332</v>
      </c>
      <c r="L349" s="8">
        <v>401</v>
      </c>
      <c r="M349" s="8">
        <v>46</v>
      </c>
      <c r="N349" s="8">
        <v>2045</v>
      </c>
      <c r="O349" s="9">
        <f t="shared" si="5"/>
        <v>6.2335645088768682E-2</v>
      </c>
      <c r="P349" s="6" t="s">
        <v>22</v>
      </c>
    </row>
    <row r="350" spans="1:16" x14ac:dyDescent="0.25">
      <c r="A350" s="2" t="s">
        <v>769</v>
      </c>
      <c r="B350" s="2" t="s">
        <v>770</v>
      </c>
      <c r="C350" s="2" t="s">
        <v>18</v>
      </c>
      <c r="D350" s="3" t="s">
        <v>226</v>
      </c>
      <c r="E350" s="3" t="s">
        <v>34</v>
      </c>
      <c r="F350" s="2" t="s">
        <v>21</v>
      </c>
      <c r="G350" s="4">
        <v>489054</v>
      </c>
      <c r="H350" s="4">
        <v>123133</v>
      </c>
      <c r="I350" s="4">
        <v>111880</v>
      </c>
      <c r="J350" s="4">
        <v>9277</v>
      </c>
      <c r="K350" s="4">
        <v>603</v>
      </c>
      <c r="L350" s="4">
        <v>1009</v>
      </c>
      <c r="M350" s="4">
        <v>1187</v>
      </c>
      <c r="N350" s="4">
        <v>1585</v>
      </c>
      <c r="O350" s="5">
        <f t="shared" si="5"/>
        <v>0.10793707543796925</v>
      </c>
      <c r="P350" s="2" t="s">
        <v>22</v>
      </c>
    </row>
    <row r="351" spans="1:16" x14ac:dyDescent="0.25">
      <c r="A351" s="6" t="s">
        <v>771</v>
      </c>
      <c r="B351" s="6" t="s">
        <v>772</v>
      </c>
      <c r="C351" s="6" t="s">
        <v>32</v>
      </c>
      <c r="D351" s="7" t="s">
        <v>121</v>
      </c>
      <c r="E351" s="7" t="s">
        <v>45</v>
      </c>
      <c r="F351" s="6" t="s">
        <v>40</v>
      </c>
      <c r="G351" s="8">
        <v>558511</v>
      </c>
      <c r="H351" s="8">
        <v>57738</v>
      </c>
      <c r="I351" s="8">
        <v>48513</v>
      </c>
      <c r="J351" s="8">
        <v>4467</v>
      </c>
      <c r="K351" s="8">
        <v>423</v>
      </c>
      <c r="L351" s="8">
        <v>622</v>
      </c>
      <c r="M351" s="8">
        <v>17</v>
      </c>
      <c r="N351" s="8">
        <v>868</v>
      </c>
      <c r="O351" s="9">
        <f t="shared" si="5"/>
        <v>0.11396945148723023</v>
      </c>
      <c r="P351" s="6" t="s">
        <v>22</v>
      </c>
    </row>
    <row r="352" spans="1:16" x14ac:dyDescent="0.25">
      <c r="A352" s="2" t="s">
        <v>773</v>
      </c>
      <c r="B352" s="2" t="s">
        <v>774</v>
      </c>
      <c r="C352" s="2" t="s">
        <v>32</v>
      </c>
      <c r="D352" s="3" t="s">
        <v>121</v>
      </c>
      <c r="E352" s="3" t="s">
        <v>45</v>
      </c>
      <c r="F352" s="2" t="s">
        <v>51</v>
      </c>
      <c r="G352" s="4">
        <v>772483</v>
      </c>
      <c r="H352" s="4">
        <v>401060</v>
      </c>
      <c r="I352" s="4">
        <v>310512</v>
      </c>
      <c r="J352" s="4">
        <v>24631</v>
      </c>
      <c r="K352" s="4">
        <v>1403</v>
      </c>
      <c r="L352" s="4">
        <v>2246</v>
      </c>
      <c r="M352" s="4">
        <v>43</v>
      </c>
      <c r="N352" s="4">
        <v>2107</v>
      </c>
      <c r="O352" s="5">
        <f t="shared" si="5"/>
        <v>9.121386613077756E-2</v>
      </c>
      <c r="P352" s="2" t="s">
        <v>22</v>
      </c>
    </row>
    <row r="353" spans="1:16" x14ac:dyDescent="0.25">
      <c r="A353" s="6" t="s">
        <v>775</v>
      </c>
      <c r="B353" s="6" t="s">
        <v>776</v>
      </c>
      <c r="C353" s="6" t="s">
        <v>32</v>
      </c>
      <c r="D353" s="7" t="s">
        <v>38</v>
      </c>
      <c r="E353" s="7" t="s">
        <v>20</v>
      </c>
      <c r="F353" s="6" t="s">
        <v>40</v>
      </c>
      <c r="G353" s="8">
        <v>266632</v>
      </c>
      <c r="H353" s="8">
        <v>24932</v>
      </c>
      <c r="I353" s="8">
        <v>17764</v>
      </c>
      <c r="J353" s="8">
        <v>1387</v>
      </c>
      <c r="K353" s="8">
        <v>227</v>
      </c>
      <c r="L353" s="8">
        <v>66</v>
      </c>
      <c r="M353" s="8">
        <v>38</v>
      </c>
      <c r="N353" s="8">
        <v>601</v>
      </c>
      <c r="O353" s="9">
        <f t="shared" si="5"/>
        <v>9.6712452150416572E-2</v>
      </c>
      <c r="P353" s="6" t="s">
        <v>29</v>
      </c>
    </row>
    <row r="354" spans="1:16" x14ac:dyDescent="0.25">
      <c r="A354" s="2" t="s">
        <v>777</v>
      </c>
      <c r="B354" s="2" t="s">
        <v>778</v>
      </c>
      <c r="C354" s="2" t="s">
        <v>25</v>
      </c>
      <c r="D354" s="3" t="s">
        <v>26</v>
      </c>
      <c r="E354" s="3" t="s">
        <v>45</v>
      </c>
      <c r="F354" s="2" t="s">
        <v>146</v>
      </c>
      <c r="G354" s="4">
        <v>118729</v>
      </c>
      <c r="H354" s="4">
        <v>26642</v>
      </c>
      <c r="I354" s="4">
        <v>22520</v>
      </c>
      <c r="J354" s="4">
        <v>653</v>
      </c>
      <c r="K354" s="4">
        <v>64</v>
      </c>
      <c r="L354" s="4">
        <v>97</v>
      </c>
      <c r="M354" s="4">
        <v>133</v>
      </c>
      <c r="N354" s="4">
        <v>686</v>
      </c>
      <c r="O354" s="5">
        <f t="shared" si="5"/>
        <v>4.2051509769094136E-2</v>
      </c>
      <c r="P354" s="2" t="s">
        <v>29</v>
      </c>
    </row>
    <row r="355" spans="1:16" x14ac:dyDescent="0.25">
      <c r="A355" s="6" t="s">
        <v>779</v>
      </c>
      <c r="B355" s="6" t="s">
        <v>780</v>
      </c>
      <c r="C355" s="6" t="s">
        <v>76</v>
      </c>
      <c r="D355" s="7" t="s">
        <v>103</v>
      </c>
      <c r="E355" s="7" t="s">
        <v>34</v>
      </c>
      <c r="F355" s="6" t="s">
        <v>104</v>
      </c>
      <c r="G355" s="8">
        <v>409966</v>
      </c>
      <c r="H355" s="8">
        <v>46831</v>
      </c>
      <c r="I355" s="8">
        <v>35508</v>
      </c>
      <c r="J355" s="8">
        <v>2174</v>
      </c>
      <c r="K355" s="8">
        <v>225</v>
      </c>
      <c r="L355" s="8">
        <v>305</v>
      </c>
      <c r="M355" s="8">
        <v>374</v>
      </c>
      <c r="N355" s="8">
        <v>484</v>
      </c>
      <c r="O355" s="9">
        <f t="shared" si="5"/>
        <v>8.6684690773910111E-2</v>
      </c>
      <c r="P355" s="6" t="s">
        <v>22</v>
      </c>
    </row>
    <row r="356" spans="1:16" x14ac:dyDescent="0.25">
      <c r="A356" s="2" t="s">
        <v>781</v>
      </c>
      <c r="B356" s="2" t="s">
        <v>782</v>
      </c>
      <c r="C356" s="2" t="s">
        <v>25</v>
      </c>
      <c r="D356" s="3" t="s">
        <v>61</v>
      </c>
      <c r="E356" s="3" t="s">
        <v>45</v>
      </c>
      <c r="F356" s="2" t="s">
        <v>54</v>
      </c>
      <c r="G356" s="4">
        <v>465531</v>
      </c>
      <c r="H356" s="4">
        <v>64649</v>
      </c>
      <c r="I356" s="4">
        <v>46255</v>
      </c>
      <c r="J356" s="4">
        <v>4115</v>
      </c>
      <c r="K356" s="4">
        <v>603</v>
      </c>
      <c r="L356" s="4">
        <v>92</v>
      </c>
      <c r="M356" s="4">
        <v>615</v>
      </c>
      <c r="N356" s="4">
        <v>1589</v>
      </c>
      <c r="O356" s="5">
        <f t="shared" si="5"/>
        <v>0.11728461787914821</v>
      </c>
      <c r="P356" s="2" t="s">
        <v>22</v>
      </c>
    </row>
    <row r="357" spans="1:16" x14ac:dyDescent="0.25">
      <c r="A357" s="6" t="s">
        <v>783</v>
      </c>
      <c r="B357" s="6" t="s">
        <v>784</v>
      </c>
      <c r="C357" s="6" t="s">
        <v>25</v>
      </c>
      <c r="D357" s="7" t="s">
        <v>244</v>
      </c>
      <c r="E357" s="7" t="s">
        <v>39</v>
      </c>
      <c r="F357" s="6" t="s">
        <v>54</v>
      </c>
      <c r="G357" s="8">
        <v>542918</v>
      </c>
      <c r="H357" s="8">
        <v>282026</v>
      </c>
      <c r="I357" s="8">
        <v>224473</v>
      </c>
      <c r="J357" s="8">
        <v>19923</v>
      </c>
      <c r="K357" s="8">
        <v>2931</v>
      </c>
      <c r="L357" s="8">
        <v>2432</v>
      </c>
      <c r="M357" s="8">
        <v>3148</v>
      </c>
      <c r="N357" s="8">
        <v>1438</v>
      </c>
      <c r="O357" s="9">
        <f t="shared" si="5"/>
        <v>0.12667002267533289</v>
      </c>
      <c r="P357" s="6" t="s">
        <v>66</v>
      </c>
    </row>
    <row r="358" spans="1:16" x14ac:dyDescent="0.25">
      <c r="A358" s="2" t="s">
        <v>785</v>
      </c>
      <c r="B358" s="2" t="s">
        <v>786</v>
      </c>
      <c r="C358" s="2" t="s">
        <v>43</v>
      </c>
      <c r="D358" s="3" t="s">
        <v>110</v>
      </c>
      <c r="E358" s="3" t="s">
        <v>50</v>
      </c>
      <c r="F358" s="2" t="s">
        <v>107</v>
      </c>
      <c r="G358" s="4">
        <v>320038</v>
      </c>
      <c r="H358" s="4">
        <v>140943</v>
      </c>
      <c r="I358" s="4">
        <v>101471</v>
      </c>
      <c r="J358" s="4">
        <v>7339</v>
      </c>
      <c r="K358" s="4">
        <v>1278</v>
      </c>
      <c r="L358" s="4">
        <v>223</v>
      </c>
      <c r="M358" s="4">
        <v>29</v>
      </c>
      <c r="N358" s="4">
        <v>3920</v>
      </c>
      <c r="O358" s="5">
        <f t="shared" si="5"/>
        <v>8.7404282997112476E-2</v>
      </c>
      <c r="P358" s="2" t="s">
        <v>22</v>
      </c>
    </row>
    <row r="359" spans="1:16" x14ac:dyDescent="0.25">
      <c r="A359" s="6" t="s">
        <v>787</v>
      </c>
      <c r="B359" s="6" t="s">
        <v>788</v>
      </c>
      <c r="C359" s="6" t="s">
        <v>32</v>
      </c>
      <c r="D359" s="7" t="s">
        <v>49</v>
      </c>
      <c r="E359" s="7" t="s">
        <v>50</v>
      </c>
      <c r="F359" s="6" t="s">
        <v>35</v>
      </c>
      <c r="G359" s="8">
        <v>114454</v>
      </c>
      <c r="H359" s="8">
        <v>32594</v>
      </c>
      <c r="I359" s="8">
        <v>29163</v>
      </c>
      <c r="J359" s="8">
        <v>1508</v>
      </c>
      <c r="K359" s="8">
        <v>88</v>
      </c>
      <c r="L359" s="8">
        <v>37</v>
      </c>
      <c r="M359" s="8">
        <v>1</v>
      </c>
      <c r="N359" s="8">
        <v>866</v>
      </c>
      <c r="O359" s="9">
        <f t="shared" si="5"/>
        <v>5.6029900901827662E-2</v>
      </c>
      <c r="P359" s="6" t="s">
        <v>22</v>
      </c>
    </row>
    <row r="360" spans="1:16" x14ac:dyDescent="0.25">
      <c r="A360" s="2" t="s">
        <v>789</v>
      </c>
      <c r="B360" s="2" t="s">
        <v>790</v>
      </c>
      <c r="C360" s="2" t="s">
        <v>43</v>
      </c>
      <c r="D360" s="3" t="s">
        <v>110</v>
      </c>
      <c r="E360" s="3" t="s">
        <v>39</v>
      </c>
      <c r="F360" s="2" t="s">
        <v>107</v>
      </c>
      <c r="G360" s="4">
        <v>473632</v>
      </c>
      <c r="H360" s="4">
        <v>42323</v>
      </c>
      <c r="I360" s="4">
        <v>30148</v>
      </c>
      <c r="J360" s="4">
        <v>2846</v>
      </c>
      <c r="K360" s="4">
        <v>103</v>
      </c>
      <c r="L360" s="4">
        <v>100</v>
      </c>
      <c r="M360" s="4">
        <v>41</v>
      </c>
      <c r="N360" s="4">
        <v>1058</v>
      </c>
      <c r="O360" s="5">
        <f t="shared" si="5"/>
        <v>0.10249436115165185</v>
      </c>
      <c r="P360" s="2" t="s">
        <v>22</v>
      </c>
    </row>
    <row r="361" spans="1:16" x14ac:dyDescent="0.25">
      <c r="A361" s="6" t="s">
        <v>791</v>
      </c>
      <c r="B361" s="6" t="s">
        <v>792</v>
      </c>
      <c r="C361" s="6" t="s">
        <v>43</v>
      </c>
      <c r="D361" s="7" t="s">
        <v>44</v>
      </c>
      <c r="E361" s="7" t="s">
        <v>34</v>
      </c>
      <c r="F361" s="6" t="s">
        <v>70</v>
      </c>
      <c r="G361" s="8">
        <v>773685</v>
      </c>
      <c r="H361" s="8">
        <v>350234</v>
      </c>
      <c r="I361" s="8">
        <v>315063</v>
      </c>
      <c r="J361" s="8">
        <v>19999</v>
      </c>
      <c r="K361" s="8">
        <v>1327</v>
      </c>
      <c r="L361" s="8">
        <v>2086</v>
      </c>
      <c r="M361" s="8">
        <v>0</v>
      </c>
      <c r="N361" s="8">
        <v>3560</v>
      </c>
      <c r="O361" s="9">
        <f t="shared" si="5"/>
        <v>7.4308947734262665E-2</v>
      </c>
      <c r="P361" s="6" t="s">
        <v>22</v>
      </c>
    </row>
    <row r="362" spans="1:16" x14ac:dyDescent="0.25">
      <c r="A362" s="2" t="s">
        <v>793</v>
      </c>
      <c r="B362" s="2" t="s">
        <v>794</v>
      </c>
      <c r="C362" s="2" t="s">
        <v>25</v>
      </c>
      <c r="D362" s="3" t="s">
        <v>61</v>
      </c>
      <c r="E362" s="3" t="s">
        <v>34</v>
      </c>
      <c r="F362" s="2" t="s">
        <v>54</v>
      </c>
      <c r="G362" s="4">
        <v>122226</v>
      </c>
      <c r="H362" s="4">
        <v>65455</v>
      </c>
      <c r="I362" s="4">
        <v>46727</v>
      </c>
      <c r="J362" s="4">
        <v>2104</v>
      </c>
      <c r="K362" s="4">
        <v>169</v>
      </c>
      <c r="L362" s="4">
        <v>270</v>
      </c>
      <c r="M362" s="4">
        <v>415</v>
      </c>
      <c r="N362" s="4">
        <v>1116</v>
      </c>
      <c r="O362" s="5">
        <f t="shared" si="5"/>
        <v>6.330387142337407E-2</v>
      </c>
      <c r="P362" s="2" t="s">
        <v>22</v>
      </c>
    </row>
    <row r="363" spans="1:16" x14ac:dyDescent="0.25">
      <c r="A363" s="6" t="s">
        <v>795</v>
      </c>
      <c r="B363" s="6" t="s">
        <v>796</v>
      </c>
      <c r="C363" s="6" t="s">
        <v>18</v>
      </c>
      <c r="D363" s="7" t="s">
        <v>19</v>
      </c>
      <c r="E363" s="7" t="s">
        <v>34</v>
      </c>
      <c r="F363" s="6" t="s">
        <v>73</v>
      </c>
      <c r="G363" s="8">
        <v>184373</v>
      </c>
      <c r="H363" s="8">
        <v>27439</v>
      </c>
      <c r="I363" s="8">
        <v>23780</v>
      </c>
      <c r="J363" s="8">
        <v>825</v>
      </c>
      <c r="K363" s="8">
        <v>70</v>
      </c>
      <c r="L363" s="8">
        <v>34</v>
      </c>
      <c r="M363" s="8">
        <v>81</v>
      </c>
      <c r="N363" s="8">
        <v>616</v>
      </c>
      <c r="O363" s="9">
        <f t="shared" si="5"/>
        <v>4.2472666105971404E-2</v>
      </c>
      <c r="P363" s="6" t="s">
        <v>22</v>
      </c>
    </row>
    <row r="364" spans="1:16" x14ac:dyDescent="0.25">
      <c r="A364" s="2" t="s">
        <v>797</v>
      </c>
      <c r="B364" s="2" t="s">
        <v>798</v>
      </c>
      <c r="C364" s="2" t="s">
        <v>25</v>
      </c>
      <c r="D364" s="3" t="s">
        <v>145</v>
      </c>
      <c r="E364" s="3" t="s">
        <v>39</v>
      </c>
      <c r="F364" s="2" t="s">
        <v>54</v>
      </c>
      <c r="G364" s="4">
        <v>9158</v>
      </c>
      <c r="H364" s="4">
        <v>51904</v>
      </c>
      <c r="I364" s="4">
        <v>43775</v>
      </c>
      <c r="J364" s="4">
        <v>3800</v>
      </c>
      <c r="K364" s="4">
        <v>351</v>
      </c>
      <c r="L364" s="4">
        <v>474</v>
      </c>
      <c r="M364" s="4">
        <v>777</v>
      </c>
      <c r="N364" s="4">
        <v>1337</v>
      </c>
      <c r="O364" s="5">
        <f t="shared" si="5"/>
        <v>0.12340376927470018</v>
      </c>
      <c r="P364" s="2" t="s">
        <v>22</v>
      </c>
    </row>
    <row r="365" spans="1:16" x14ac:dyDescent="0.25">
      <c r="A365" s="6" t="s">
        <v>799</v>
      </c>
      <c r="B365" s="6" t="s">
        <v>800</v>
      </c>
      <c r="C365" s="6" t="s">
        <v>32</v>
      </c>
      <c r="D365" s="7" t="s">
        <v>49</v>
      </c>
      <c r="E365" s="7" t="s">
        <v>20</v>
      </c>
      <c r="F365" s="6" t="s">
        <v>128</v>
      </c>
      <c r="G365" s="8">
        <v>627736</v>
      </c>
      <c r="H365" s="8">
        <v>229083</v>
      </c>
      <c r="I365" s="8">
        <v>191967</v>
      </c>
      <c r="J365" s="8">
        <v>15338</v>
      </c>
      <c r="K365" s="8">
        <v>1260</v>
      </c>
      <c r="L365" s="8">
        <v>315</v>
      </c>
      <c r="M365" s="8">
        <v>15</v>
      </c>
      <c r="N365" s="8">
        <v>2464</v>
      </c>
      <c r="O365" s="9">
        <f t="shared" si="5"/>
        <v>8.8181822917480612E-2</v>
      </c>
      <c r="P365" s="6" t="s">
        <v>66</v>
      </c>
    </row>
    <row r="366" spans="1:16" x14ac:dyDescent="0.25">
      <c r="A366" s="2" t="s">
        <v>801</v>
      </c>
      <c r="B366" s="2" t="s">
        <v>802</v>
      </c>
      <c r="C366" s="2" t="s">
        <v>43</v>
      </c>
      <c r="D366" s="3" t="s">
        <v>172</v>
      </c>
      <c r="E366" s="3" t="s">
        <v>20</v>
      </c>
      <c r="F366" s="2" t="s">
        <v>46</v>
      </c>
      <c r="G366" s="4">
        <v>810250</v>
      </c>
      <c r="H366" s="4">
        <v>160933</v>
      </c>
      <c r="I366" s="4">
        <v>119511</v>
      </c>
      <c r="J366" s="4">
        <v>10910</v>
      </c>
      <c r="K366" s="4">
        <v>1448</v>
      </c>
      <c r="L366" s="4">
        <v>1591</v>
      </c>
      <c r="M366" s="4">
        <v>30</v>
      </c>
      <c r="N366" s="4">
        <v>3206</v>
      </c>
      <c r="O366" s="5">
        <f t="shared" si="5"/>
        <v>0.11696831254026827</v>
      </c>
      <c r="P366" s="2" t="s">
        <v>22</v>
      </c>
    </row>
    <row r="367" spans="1:16" x14ac:dyDescent="0.25">
      <c r="A367" s="6" t="s">
        <v>803</v>
      </c>
      <c r="B367" s="6" t="s">
        <v>804</v>
      </c>
      <c r="C367" s="6" t="s">
        <v>18</v>
      </c>
      <c r="D367" s="7" t="s">
        <v>19</v>
      </c>
      <c r="E367" s="7" t="s">
        <v>39</v>
      </c>
      <c r="F367" s="6" t="s">
        <v>58</v>
      </c>
      <c r="G367" s="8">
        <v>353033</v>
      </c>
      <c r="H367" s="8">
        <v>207352</v>
      </c>
      <c r="I367" s="8">
        <v>147122</v>
      </c>
      <c r="J367" s="8">
        <v>13358</v>
      </c>
      <c r="K367" s="8">
        <v>2253</v>
      </c>
      <c r="L367" s="8">
        <v>572</v>
      </c>
      <c r="M367" s="8">
        <v>2766</v>
      </c>
      <c r="N367" s="8">
        <v>4054</v>
      </c>
      <c r="O367" s="9">
        <f t="shared" si="5"/>
        <v>0.12879786843572003</v>
      </c>
      <c r="P367" s="6" t="s">
        <v>22</v>
      </c>
    </row>
    <row r="368" spans="1:16" x14ac:dyDescent="0.25">
      <c r="A368" s="2" t="s">
        <v>805</v>
      </c>
      <c r="B368" s="2" t="s">
        <v>806</v>
      </c>
      <c r="C368" s="2" t="s">
        <v>43</v>
      </c>
      <c r="D368" s="3" t="s">
        <v>172</v>
      </c>
      <c r="E368" s="3" t="s">
        <v>50</v>
      </c>
      <c r="F368" s="2" t="s">
        <v>46</v>
      </c>
      <c r="G368" s="4">
        <v>210905</v>
      </c>
      <c r="H368" s="4">
        <v>124871</v>
      </c>
      <c r="I368" s="4">
        <v>108809</v>
      </c>
      <c r="J368" s="4">
        <v>4940</v>
      </c>
      <c r="K368" s="4">
        <v>220</v>
      </c>
      <c r="L368" s="4">
        <v>572</v>
      </c>
      <c r="M368" s="4">
        <v>12</v>
      </c>
      <c r="N368" s="4">
        <v>2031</v>
      </c>
      <c r="O368" s="5">
        <f t="shared" si="5"/>
        <v>5.2789750847815897E-2</v>
      </c>
      <c r="P368" s="2" t="s">
        <v>22</v>
      </c>
    </row>
    <row r="369" spans="1:16" x14ac:dyDescent="0.25">
      <c r="A369" s="6" t="s">
        <v>807</v>
      </c>
      <c r="B369" s="6" t="s">
        <v>808</v>
      </c>
      <c r="C369" s="6" t="s">
        <v>32</v>
      </c>
      <c r="D369" s="7" t="s">
        <v>49</v>
      </c>
      <c r="E369" s="7" t="s">
        <v>20</v>
      </c>
      <c r="F369" s="6" t="s">
        <v>35</v>
      </c>
      <c r="G369" s="8">
        <v>189210</v>
      </c>
      <c r="H369" s="8">
        <v>29847</v>
      </c>
      <c r="I369" s="8">
        <v>22167</v>
      </c>
      <c r="J369" s="8">
        <v>1239</v>
      </c>
      <c r="K369" s="8">
        <v>87</v>
      </c>
      <c r="L369" s="8">
        <v>78</v>
      </c>
      <c r="M369" s="8">
        <v>2</v>
      </c>
      <c r="N369" s="8">
        <v>769</v>
      </c>
      <c r="O369" s="9">
        <f t="shared" si="5"/>
        <v>6.3427617629810085E-2</v>
      </c>
      <c r="P369" s="6" t="s">
        <v>22</v>
      </c>
    </row>
    <row r="370" spans="1:16" x14ac:dyDescent="0.25">
      <c r="A370" s="2" t="s">
        <v>809</v>
      </c>
      <c r="B370" s="2" t="s">
        <v>810</v>
      </c>
      <c r="C370" s="2" t="s">
        <v>32</v>
      </c>
      <c r="D370" s="3" t="s">
        <v>121</v>
      </c>
      <c r="E370" s="3" t="s">
        <v>20</v>
      </c>
      <c r="F370" s="2" t="s">
        <v>40</v>
      </c>
      <c r="G370" s="4">
        <v>233033</v>
      </c>
      <c r="H370" s="4">
        <v>98822</v>
      </c>
      <c r="I370" s="4">
        <v>86449</v>
      </c>
      <c r="J370" s="4">
        <v>7625</v>
      </c>
      <c r="K370" s="4">
        <v>1264</v>
      </c>
      <c r="L370" s="4">
        <v>725</v>
      </c>
      <c r="M370" s="4">
        <v>35</v>
      </c>
      <c r="N370" s="4">
        <v>3028</v>
      </c>
      <c r="O370" s="5">
        <f t="shared" si="5"/>
        <v>0.11161494060081667</v>
      </c>
      <c r="P370" s="2" t="s">
        <v>22</v>
      </c>
    </row>
    <row r="371" spans="1:16" x14ac:dyDescent="0.25">
      <c r="A371" s="6" t="s">
        <v>811</v>
      </c>
      <c r="B371" s="6" t="s">
        <v>812</v>
      </c>
      <c r="C371" s="6" t="s">
        <v>25</v>
      </c>
      <c r="D371" s="7" t="s">
        <v>61</v>
      </c>
      <c r="E371" s="7" t="s">
        <v>39</v>
      </c>
      <c r="F371" s="6" t="s">
        <v>65</v>
      </c>
      <c r="G371" s="8">
        <v>295231</v>
      </c>
      <c r="H371" s="8">
        <v>1011608</v>
      </c>
      <c r="I371" s="8">
        <v>763281</v>
      </c>
      <c r="J371" s="8">
        <v>46589</v>
      </c>
      <c r="K371" s="8">
        <v>2951</v>
      </c>
      <c r="L371" s="8">
        <v>6549</v>
      </c>
      <c r="M371" s="8">
        <v>11146</v>
      </c>
      <c r="N371" s="8">
        <v>32788</v>
      </c>
      <c r="O371" s="9">
        <f t="shared" si="5"/>
        <v>8.8086825166616228E-2</v>
      </c>
      <c r="P371" s="6" t="s">
        <v>66</v>
      </c>
    </row>
    <row r="372" spans="1:16" x14ac:dyDescent="0.25">
      <c r="A372" s="2" t="s">
        <v>813</v>
      </c>
      <c r="B372" s="2" t="s">
        <v>814</v>
      </c>
      <c r="C372" s="2" t="s">
        <v>43</v>
      </c>
      <c r="D372" s="3" t="s">
        <v>81</v>
      </c>
      <c r="E372" s="3" t="s">
        <v>39</v>
      </c>
      <c r="F372" s="2" t="s">
        <v>107</v>
      </c>
      <c r="G372" s="4">
        <v>415974</v>
      </c>
      <c r="H372" s="4">
        <v>222492</v>
      </c>
      <c r="I372" s="4">
        <v>160541</v>
      </c>
      <c r="J372" s="4">
        <v>11061</v>
      </c>
      <c r="K372" s="4">
        <v>469</v>
      </c>
      <c r="L372" s="4">
        <v>1304</v>
      </c>
      <c r="M372" s="4">
        <v>44</v>
      </c>
      <c r="N372" s="4">
        <v>5996</v>
      </c>
      <c r="O372" s="5">
        <f t="shared" si="5"/>
        <v>8.0216268741318417E-2</v>
      </c>
      <c r="P372" s="2" t="s">
        <v>66</v>
      </c>
    </row>
    <row r="373" spans="1:16" x14ac:dyDescent="0.25">
      <c r="A373" s="6" t="s">
        <v>815</v>
      </c>
      <c r="B373" s="6" t="s">
        <v>816</v>
      </c>
      <c r="C373" s="6" t="s">
        <v>76</v>
      </c>
      <c r="D373" s="7" t="s">
        <v>77</v>
      </c>
      <c r="E373" s="7" t="s">
        <v>39</v>
      </c>
      <c r="F373" s="6" t="s">
        <v>78</v>
      </c>
      <c r="G373" s="8">
        <v>172162</v>
      </c>
      <c r="H373" s="8">
        <v>97962</v>
      </c>
      <c r="I373" s="8">
        <v>81152</v>
      </c>
      <c r="J373" s="8">
        <v>7698</v>
      </c>
      <c r="K373" s="8">
        <v>766</v>
      </c>
      <c r="L373" s="8">
        <v>292</v>
      </c>
      <c r="M373" s="8">
        <v>1467</v>
      </c>
      <c r="N373" s="8">
        <v>1033</v>
      </c>
      <c r="O373" s="9">
        <f t="shared" si="5"/>
        <v>0.12597348186119875</v>
      </c>
      <c r="P373" s="6" t="s">
        <v>29</v>
      </c>
    </row>
    <row r="374" spans="1:16" x14ac:dyDescent="0.25">
      <c r="A374" s="2" t="s">
        <v>817</v>
      </c>
      <c r="B374" s="2" t="s">
        <v>818</v>
      </c>
      <c r="C374" s="2" t="s">
        <v>76</v>
      </c>
      <c r="D374" s="3" t="s">
        <v>77</v>
      </c>
      <c r="E374" s="3" t="s">
        <v>39</v>
      </c>
      <c r="F374" s="2" t="s">
        <v>78</v>
      </c>
      <c r="G374" s="4">
        <v>559210</v>
      </c>
      <c r="H374" s="4">
        <v>1910574</v>
      </c>
      <c r="I374" s="4">
        <v>1630812</v>
      </c>
      <c r="J374" s="4">
        <v>108425</v>
      </c>
      <c r="K374" s="4">
        <v>12608</v>
      </c>
      <c r="L374" s="4">
        <v>5088</v>
      </c>
      <c r="M374" s="4">
        <v>20268</v>
      </c>
      <c r="N374" s="4">
        <v>45115</v>
      </c>
      <c r="O374" s="5">
        <f t="shared" si="5"/>
        <v>8.9764485421986104E-2</v>
      </c>
      <c r="P374" s="2" t="s">
        <v>22</v>
      </c>
    </row>
    <row r="375" spans="1:16" x14ac:dyDescent="0.25">
      <c r="A375" s="6" t="s">
        <v>819</v>
      </c>
      <c r="B375" s="6" t="s">
        <v>820</v>
      </c>
      <c r="C375" s="6" t="s">
        <v>18</v>
      </c>
      <c r="D375" s="7" t="s">
        <v>226</v>
      </c>
      <c r="E375" s="7" t="s">
        <v>34</v>
      </c>
      <c r="F375" s="6" t="s">
        <v>58</v>
      </c>
      <c r="G375" s="8">
        <v>385849</v>
      </c>
      <c r="H375" s="8">
        <v>39857</v>
      </c>
      <c r="I375" s="8">
        <v>29436</v>
      </c>
      <c r="J375" s="8">
        <v>2133</v>
      </c>
      <c r="K375" s="8">
        <v>85</v>
      </c>
      <c r="L375" s="8">
        <v>239</v>
      </c>
      <c r="M375" s="8">
        <v>193</v>
      </c>
      <c r="N375" s="8">
        <v>1372</v>
      </c>
      <c r="O375" s="9">
        <f t="shared" si="5"/>
        <v>9.0025818725370299E-2</v>
      </c>
      <c r="P375" s="6" t="s">
        <v>22</v>
      </c>
    </row>
    <row r="376" spans="1:16" x14ac:dyDescent="0.25">
      <c r="A376" s="2" t="s">
        <v>821</v>
      </c>
      <c r="B376" s="2" t="s">
        <v>822</v>
      </c>
      <c r="C376" s="2" t="s">
        <v>43</v>
      </c>
      <c r="D376" s="3" t="s">
        <v>44</v>
      </c>
      <c r="E376" s="3" t="s">
        <v>45</v>
      </c>
      <c r="F376" s="2" t="s">
        <v>70</v>
      </c>
      <c r="G376" s="4">
        <v>338530</v>
      </c>
      <c r="H376" s="4">
        <v>78672</v>
      </c>
      <c r="I376" s="4">
        <v>62390</v>
      </c>
      <c r="J376" s="4">
        <v>1830</v>
      </c>
      <c r="K376" s="4">
        <v>157</v>
      </c>
      <c r="L376" s="4">
        <v>144</v>
      </c>
      <c r="M376" s="4">
        <v>32</v>
      </c>
      <c r="N376" s="4">
        <v>1636</v>
      </c>
      <c r="O376" s="5">
        <f t="shared" si="5"/>
        <v>3.466901747074852E-2</v>
      </c>
      <c r="P376" s="2" t="s">
        <v>22</v>
      </c>
    </row>
    <row r="377" spans="1:16" x14ac:dyDescent="0.25">
      <c r="A377" s="6" t="s">
        <v>823</v>
      </c>
      <c r="B377" s="6" t="s">
        <v>824</v>
      </c>
      <c r="C377" s="6" t="s">
        <v>43</v>
      </c>
      <c r="D377" s="7" t="s">
        <v>110</v>
      </c>
      <c r="E377" s="7" t="s">
        <v>39</v>
      </c>
      <c r="F377" s="6" t="s">
        <v>107</v>
      </c>
      <c r="G377" s="8">
        <v>388528</v>
      </c>
      <c r="H377" s="8">
        <v>240443</v>
      </c>
      <c r="I377" s="8">
        <v>220048</v>
      </c>
      <c r="J377" s="8">
        <v>17549</v>
      </c>
      <c r="K377" s="8">
        <v>1022</v>
      </c>
      <c r="L377" s="8">
        <v>2367</v>
      </c>
      <c r="M377" s="8">
        <v>5</v>
      </c>
      <c r="N377" s="8">
        <v>1780</v>
      </c>
      <c r="O377" s="9">
        <f t="shared" si="5"/>
        <v>9.5174689158729009E-2</v>
      </c>
      <c r="P377" s="6" t="s">
        <v>66</v>
      </c>
    </row>
    <row r="378" spans="1:16" x14ac:dyDescent="0.25">
      <c r="A378" s="2" t="s">
        <v>825</v>
      </c>
      <c r="B378" s="2" t="s">
        <v>826</v>
      </c>
      <c r="C378" s="2" t="s">
        <v>18</v>
      </c>
      <c r="D378" s="3" t="s">
        <v>226</v>
      </c>
      <c r="E378" s="3" t="s">
        <v>45</v>
      </c>
      <c r="F378" s="2" t="s">
        <v>21</v>
      </c>
      <c r="G378" s="4">
        <v>522938</v>
      </c>
      <c r="H378" s="4">
        <v>102718</v>
      </c>
      <c r="I378" s="4">
        <v>72415</v>
      </c>
      <c r="J378" s="4">
        <v>4621</v>
      </c>
      <c r="K378" s="4">
        <v>611</v>
      </c>
      <c r="L378" s="4">
        <v>652</v>
      </c>
      <c r="M378" s="4">
        <v>669</v>
      </c>
      <c r="N378" s="4">
        <v>1808</v>
      </c>
      <c r="O378" s="5">
        <f t="shared" si="5"/>
        <v>9.0492301318787549E-2</v>
      </c>
      <c r="P378" s="2" t="s">
        <v>29</v>
      </c>
    </row>
    <row r="379" spans="1:16" x14ac:dyDescent="0.25">
      <c r="A379" s="6" t="s">
        <v>827</v>
      </c>
      <c r="B379" s="6" t="s">
        <v>828</v>
      </c>
      <c r="C379" s="6" t="s">
        <v>76</v>
      </c>
      <c r="D379" s="7" t="s">
        <v>86</v>
      </c>
      <c r="E379" s="7" t="s">
        <v>27</v>
      </c>
      <c r="F379" s="6" t="s">
        <v>78</v>
      </c>
      <c r="G379" s="8">
        <v>434190</v>
      </c>
      <c r="H379" s="8">
        <v>197028</v>
      </c>
      <c r="I379" s="8">
        <v>152063</v>
      </c>
      <c r="J379" s="8">
        <v>10955</v>
      </c>
      <c r="K379" s="8">
        <v>1473</v>
      </c>
      <c r="L379" s="8">
        <v>1418</v>
      </c>
      <c r="M379" s="8">
        <v>1523</v>
      </c>
      <c r="N379" s="8">
        <v>2782</v>
      </c>
      <c r="O379" s="9">
        <f t="shared" si="5"/>
        <v>0.10106995127019722</v>
      </c>
      <c r="P379" s="6" t="s">
        <v>22</v>
      </c>
    </row>
    <row r="380" spans="1:16" x14ac:dyDescent="0.25">
      <c r="A380" s="2" t="s">
        <v>829</v>
      </c>
      <c r="B380" s="2" t="s">
        <v>830</v>
      </c>
      <c r="C380" s="2" t="s">
        <v>18</v>
      </c>
      <c r="D380" s="3" t="s">
        <v>19</v>
      </c>
      <c r="E380" s="3" t="s">
        <v>39</v>
      </c>
      <c r="F380" s="2" t="s">
        <v>58</v>
      </c>
      <c r="G380" s="4">
        <v>304643</v>
      </c>
      <c r="H380" s="4">
        <v>32588</v>
      </c>
      <c r="I380" s="4">
        <v>24850</v>
      </c>
      <c r="J380" s="4">
        <v>2521</v>
      </c>
      <c r="K380" s="4">
        <v>309</v>
      </c>
      <c r="L380" s="4">
        <v>103</v>
      </c>
      <c r="M380" s="4">
        <v>395</v>
      </c>
      <c r="N380" s="4">
        <v>341</v>
      </c>
      <c r="O380" s="5">
        <f t="shared" si="5"/>
        <v>0.1339235412474849</v>
      </c>
      <c r="P380" s="2" t="s">
        <v>22</v>
      </c>
    </row>
    <row r="381" spans="1:16" x14ac:dyDescent="0.25">
      <c r="A381" s="6" t="s">
        <v>831</v>
      </c>
      <c r="B381" s="6" t="s">
        <v>832</v>
      </c>
      <c r="C381" s="6" t="s">
        <v>25</v>
      </c>
      <c r="D381" s="7" t="s">
        <v>64</v>
      </c>
      <c r="E381" s="7" t="s">
        <v>20</v>
      </c>
      <c r="F381" s="6" t="s">
        <v>54</v>
      </c>
      <c r="G381" s="8">
        <v>45650</v>
      </c>
      <c r="H381" s="8">
        <v>18601</v>
      </c>
      <c r="I381" s="8">
        <v>14086</v>
      </c>
      <c r="J381" s="8">
        <v>577</v>
      </c>
      <c r="K381" s="8">
        <v>65</v>
      </c>
      <c r="L381" s="8">
        <v>14</v>
      </c>
      <c r="M381" s="8">
        <v>65</v>
      </c>
      <c r="N381" s="8">
        <v>284</v>
      </c>
      <c r="O381" s="9">
        <f t="shared" si="5"/>
        <v>5.118557432912111E-2</v>
      </c>
      <c r="P381" s="6" t="s">
        <v>22</v>
      </c>
    </row>
    <row r="382" spans="1:16" x14ac:dyDescent="0.25">
      <c r="A382" s="2" t="s">
        <v>833</v>
      </c>
      <c r="B382" s="2" t="s">
        <v>834</v>
      </c>
      <c r="C382" s="2" t="s">
        <v>76</v>
      </c>
      <c r="D382" s="3" t="s">
        <v>77</v>
      </c>
      <c r="E382" s="3" t="s">
        <v>39</v>
      </c>
      <c r="F382" s="2" t="s">
        <v>104</v>
      </c>
      <c r="G382" s="4">
        <v>808349</v>
      </c>
      <c r="H382" s="4">
        <v>275714</v>
      </c>
      <c r="I382" s="4">
        <v>202465</v>
      </c>
      <c r="J382" s="4">
        <v>21563</v>
      </c>
      <c r="K382" s="4">
        <v>2413</v>
      </c>
      <c r="L382" s="4">
        <v>1853</v>
      </c>
      <c r="M382" s="4">
        <v>3869</v>
      </c>
      <c r="N382" s="4">
        <v>3823</v>
      </c>
      <c r="O382" s="5">
        <f t="shared" si="5"/>
        <v>0.14668214259254686</v>
      </c>
      <c r="P382" s="2" t="s">
        <v>66</v>
      </c>
    </row>
    <row r="383" spans="1:16" x14ac:dyDescent="0.25">
      <c r="A383" s="6" t="s">
        <v>835</v>
      </c>
      <c r="B383" s="6" t="s">
        <v>836</v>
      </c>
      <c r="C383" s="6" t="s">
        <v>43</v>
      </c>
      <c r="D383" s="7" t="s">
        <v>69</v>
      </c>
      <c r="E383" s="7" t="s">
        <v>50</v>
      </c>
      <c r="F383" s="6" t="s">
        <v>107</v>
      </c>
      <c r="G383" s="8">
        <v>120271</v>
      </c>
      <c r="H383" s="8">
        <v>71332</v>
      </c>
      <c r="I383" s="8">
        <v>60572</v>
      </c>
      <c r="J383" s="8">
        <v>1926</v>
      </c>
      <c r="K383" s="8">
        <v>64</v>
      </c>
      <c r="L383" s="8">
        <v>193</v>
      </c>
      <c r="M383" s="8">
        <v>14</v>
      </c>
      <c r="N383" s="8">
        <v>1311</v>
      </c>
      <c r="O383" s="9">
        <f t="shared" si="5"/>
        <v>3.6270884236941164E-2</v>
      </c>
      <c r="P383" s="6" t="s">
        <v>22</v>
      </c>
    </row>
    <row r="384" spans="1:16" x14ac:dyDescent="0.25">
      <c r="A384" s="2" t="s">
        <v>837</v>
      </c>
      <c r="B384" s="2" t="s">
        <v>838</v>
      </c>
      <c r="C384" s="2" t="s">
        <v>43</v>
      </c>
      <c r="D384" s="3" t="s">
        <v>172</v>
      </c>
      <c r="E384" s="3" t="s">
        <v>20</v>
      </c>
      <c r="F384" s="2" t="s">
        <v>46</v>
      </c>
      <c r="G384" s="4">
        <v>207722</v>
      </c>
      <c r="H384" s="4">
        <v>814863</v>
      </c>
      <c r="I384" s="4">
        <v>691781</v>
      </c>
      <c r="J384" s="4">
        <v>63117</v>
      </c>
      <c r="K384" s="4">
        <v>11132</v>
      </c>
      <c r="L384" s="4">
        <v>4498</v>
      </c>
      <c r="M384" s="4">
        <v>31</v>
      </c>
      <c r="N384" s="4">
        <v>11842</v>
      </c>
      <c r="O384" s="5">
        <f t="shared" si="5"/>
        <v>0.11387707959599931</v>
      </c>
      <c r="P384" s="2" t="s">
        <v>29</v>
      </c>
    </row>
    <row r="385" spans="1:16" x14ac:dyDescent="0.25">
      <c r="A385" s="6" t="s">
        <v>839</v>
      </c>
      <c r="B385" s="6" t="s">
        <v>840</v>
      </c>
      <c r="C385" s="6" t="s">
        <v>25</v>
      </c>
      <c r="D385" s="7" t="s">
        <v>26</v>
      </c>
      <c r="E385" s="7" t="s">
        <v>50</v>
      </c>
      <c r="F385" s="6" t="s">
        <v>65</v>
      </c>
      <c r="G385" s="8">
        <v>393441</v>
      </c>
      <c r="H385" s="8">
        <v>1200837</v>
      </c>
      <c r="I385" s="8">
        <v>1098832</v>
      </c>
      <c r="J385" s="8">
        <v>87010</v>
      </c>
      <c r="K385" s="8">
        <v>3753</v>
      </c>
      <c r="L385" s="8">
        <v>9973</v>
      </c>
      <c r="M385" s="8">
        <v>12080</v>
      </c>
      <c r="N385" s="8">
        <v>41762</v>
      </c>
      <c r="O385" s="9">
        <f t="shared" si="5"/>
        <v>0.10266901582771525</v>
      </c>
      <c r="P385" s="6" t="s">
        <v>29</v>
      </c>
    </row>
    <row r="386" spans="1:16" x14ac:dyDescent="0.25">
      <c r="A386" s="2" t="s">
        <v>841</v>
      </c>
      <c r="B386" s="2" t="s">
        <v>842</v>
      </c>
      <c r="C386" s="2" t="s">
        <v>32</v>
      </c>
      <c r="D386" s="3" t="s">
        <v>121</v>
      </c>
      <c r="E386" s="3" t="s">
        <v>20</v>
      </c>
      <c r="F386" s="2" t="s">
        <v>128</v>
      </c>
      <c r="G386" s="4">
        <v>153116</v>
      </c>
      <c r="H386" s="4">
        <v>53671</v>
      </c>
      <c r="I386" s="4">
        <v>49219</v>
      </c>
      <c r="J386" s="4">
        <v>1286</v>
      </c>
      <c r="K386" s="4">
        <v>223</v>
      </c>
      <c r="L386" s="4">
        <v>152</v>
      </c>
      <c r="M386" s="4">
        <v>5</v>
      </c>
      <c r="N386" s="4">
        <v>279</v>
      </c>
      <c r="O386" s="5">
        <f t="shared" ref="O386:O449" si="6">IF(I386&gt;0, (J386+K386+L386+M386)/I386, 0)</f>
        <v>3.384871695889799E-2</v>
      </c>
      <c r="P386" s="2" t="s">
        <v>29</v>
      </c>
    </row>
    <row r="387" spans="1:16" x14ac:dyDescent="0.25">
      <c r="A387" s="6" t="s">
        <v>843</v>
      </c>
      <c r="B387" s="6" t="s">
        <v>844</v>
      </c>
      <c r="C387" s="6" t="s">
        <v>32</v>
      </c>
      <c r="D387" s="7" t="s">
        <v>33</v>
      </c>
      <c r="E387" s="7" t="s">
        <v>20</v>
      </c>
      <c r="F387" s="6" t="s">
        <v>51</v>
      </c>
      <c r="G387" s="8">
        <v>197541</v>
      </c>
      <c r="H387" s="8">
        <v>48396</v>
      </c>
      <c r="I387" s="8">
        <v>34326</v>
      </c>
      <c r="J387" s="8">
        <v>3367</v>
      </c>
      <c r="K387" s="8">
        <v>522</v>
      </c>
      <c r="L387" s="8">
        <v>200</v>
      </c>
      <c r="M387" s="8">
        <v>35</v>
      </c>
      <c r="N387" s="8">
        <v>1316</v>
      </c>
      <c r="O387" s="9">
        <f t="shared" si="6"/>
        <v>0.120142166287945</v>
      </c>
      <c r="P387" s="6" t="s">
        <v>22</v>
      </c>
    </row>
    <row r="388" spans="1:16" x14ac:dyDescent="0.25">
      <c r="A388" s="2" t="s">
        <v>845</v>
      </c>
      <c r="B388" s="2" t="s">
        <v>846</v>
      </c>
      <c r="C388" s="2" t="s">
        <v>18</v>
      </c>
      <c r="D388" s="3" t="s">
        <v>57</v>
      </c>
      <c r="E388" s="3" t="s">
        <v>34</v>
      </c>
      <c r="F388" s="2" t="s">
        <v>73</v>
      </c>
      <c r="G388" s="4">
        <v>700760</v>
      </c>
      <c r="H388" s="4">
        <v>222687</v>
      </c>
      <c r="I388" s="4">
        <v>200305</v>
      </c>
      <c r="J388" s="4">
        <v>13068</v>
      </c>
      <c r="K388" s="4">
        <v>447</v>
      </c>
      <c r="L388" s="4">
        <v>1560</v>
      </c>
      <c r="M388" s="4">
        <v>1942</v>
      </c>
      <c r="N388" s="4">
        <v>7597</v>
      </c>
      <c r="O388" s="5">
        <f t="shared" si="6"/>
        <v>8.4955442949502011E-2</v>
      </c>
      <c r="P388" s="2" t="s">
        <v>22</v>
      </c>
    </row>
    <row r="389" spans="1:16" x14ac:dyDescent="0.25">
      <c r="A389" s="6" t="s">
        <v>847</v>
      </c>
      <c r="B389" s="6" t="s">
        <v>848</v>
      </c>
      <c r="C389" s="6" t="s">
        <v>32</v>
      </c>
      <c r="D389" s="7" t="s">
        <v>38</v>
      </c>
      <c r="E389" s="7" t="s">
        <v>45</v>
      </c>
      <c r="F389" s="6" t="s">
        <v>35</v>
      </c>
      <c r="G389" s="8">
        <v>730468</v>
      </c>
      <c r="H389" s="8">
        <v>213826</v>
      </c>
      <c r="I389" s="8">
        <v>176739</v>
      </c>
      <c r="J389" s="8">
        <v>15121</v>
      </c>
      <c r="K389" s="8">
        <v>822</v>
      </c>
      <c r="L389" s="8">
        <v>417</v>
      </c>
      <c r="M389" s="8">
        <v>20</v>
      </c>
      <c r="N389" s="8">
        <v>4026</v>
      </c>
      <c r="O389" s="9">
        <f t="shared" si="6"/>
        <v>9.2679035187479844E-2</v>
      </c>
      <c r="P389" s="6" t="s">
        <v>29</v>
      </c>
    </row>
    <row r="390" spans="1:16" x14ac:dyDescent="0.25">
      <c r="A390" s="2" t="s">
        <v>849</v>
      </c>
      <c r="B390" s="2" t="s">
        <v>850</v>
      </c>
      <c r="C390" s="2" t="s">
        <v>18</v>
      </c>
      <c r="D390" s="3" t="s">
        <v>57</v>
      </c>
      <c r="E390" s="3" t="s">
        <v>45</v>
      </c>
      <c r="F390" s="2" t="s">
        <v>58</v>
      </c>
      <c r="G390" s="4">
        <v>53581</v>
      </c>
      <c r="H390" s="4">
        <v>20461</v>
      </c>
      <c r="I390" s="4">
        <v>16635</v>
      </c>
      <c r="J390" s="4">
        <v>1350</v>
      </c>
      <c r="K390" s="4">
        <v>77</v>
      </c>
      <c r="L390" s="4">
        <v>43</v>
      </c>
      <c r="M390" s="4">
        <v>270</v>
      </c>
      <c r="N390" s="4">
        <v>436</v>
      </c>
      <c r="O390" s="5">
        <f t="shared" si="6"/>
        <v>0.10459873760144274</v>
      </c>
      <c r="P390" s="2" t="s">
        <v>29</v>
      </c>
    </row>
    <row r="391" spans="1:16" x14ac:dyDescent="0.25">
      <c r="A391" s="6" t="s">
        <v>851</v>
      </c>
      <c r="B391" s="6" t="s">
        <v>852</v>
      </c>
      <c r="C391" s="6" t="s">
        <v>18</v>
      </c>
      <c r="D391" s="7" t="s">
        <v>231</v>
      </c>
      <c r="E391" s="7" t="s">
        <v>34</v>
      </c>
      <c r="F391" s="6" t="s">
        <v>73</v>
      </c>
      <c r="G391" s="8">
        <v>610722</v>
      </c>
      <c r="H391" s="8">
        <v>98887</v>
      </c>
      <c r="I391" s="8">
        <v>80493</v>
      </c>
      <c r="J391" s="8">
        <v>4190</v>
      </c>
      <c r="K391" s="8">
        <v>430</v>
      </c>
      <c r="L391" s="8">
        <v>269</v>
      </c>
      <c r="M391" s="8">
        <v>972</v>
      </c>
      <c r="N391" s="8">
        <v>798</v>
      </c>
      <c r="O391" s="9">
        <f t="shared" si="6"/>
        <v>7.2813785049631652E-2</v>
      </c>
      <c r="P391" s="6" t="s">
        <v>22</v>
      </c>
    </row>
    <row r="392" spans="1:16" x14ac:dyDescent="0.25">
      <c r="A392" s="2" t="s">
        <v>853</v>
      </c>
      <c r="B392" s="2" t="s">
        <v>854</v>
      </c>
      <c r="C392" s="2" t="s">
        <v>43</v>
      </c>
      <c r="D392" s="3" t="s">
        <v>172</v>
      </c>
      <c r="E392" s="3" t="s">
        <v>45</v>
      </c>
      <c r="F392" s="2" t="s">
        <v>107</v>
      </c>
      <c r="G392" s="4">
        <v>560442</v>
      </c>
      <c r="H392" s="4">
        <v>269175</v>
      </c>
      <c r="I392" s="4">
        <v>195171</v>
      </c>
      <c r="J392" s="4">
        <v>12820</v>
      </c>
      <c r="K392" s="4">
        <v>531</v>
      </c>
      <c r="L392" s="4">
        <v>1621</v>
      </c>
      <c r="M392" s="4">
        <v>1</v>
      </c>
      <c r="N392" s="4">
        <v>5218</v>
      </c>
      <c r="O392" s="5">
        <f t="shared" si="6"/>
        <v>7.6717340178612606E-2</v>
      </c>
      <c r="P392" s="2" t="s">
        <v>22</v>
      </c>
    </row>
    <row r="393" spans="1:16" x14ac:dyDescent="0.25">
      <c r="A393" s="6" t="s">
        <v>855</v>
      </c>
      <c r="B393" s="6" t="s">
        <v>856</v>
      </c>
      <c r="C393" s="6" t="s">
        <v>43</v>
      </c>
      <c r="D393" s="7" t="s">
        <v>172</v>
      </c>
      <c r="E393" s="7" t="s">
        <v>50</v>
      </c>
      <c r="F393" s="6" t="s">
        <v>70</v>
      </c>
      <c r="G393" s="8">
        <v>746878</v>
      </c>
      <c r="H393" s="8">
        <v>376682</v>
      </c>
      <c r="I393" s="8">
        <v>282104</v>
      </c>
      <c r="J393" s="8">
        <v>26898</v>
      </c>
      <c r="K393" s="8">
        <v>1381</v>
      </c>
      <c r="L393" s="8">
        <v>1330</v>
      </c>
      <c r="M393" s="8">
        <v>8</v>
      </c>
      <c r="N393" s="8">
        <v>4254</v>
      </c>
      <c r="O393" s="9">
        <f t="shared" si="6"/>
        <v>0.10498610441539291</v>
      </c>
      <c r="P393" s="6" t="s">
        <v>66</v>
      </c>
    </row>
    <row r="394" spans="1:16" x14ac:dyDescent="0.25">
      <c r="A394" s="2" t="s">
        <v>857</v>
      </c>
      <c r="B394" s="2" t="s">
        <v>858</v>
      </c>
      <c r="C394" s="2" t="s">
        <v>76</v>
      </c>
      <c r="D394" s="3" t="s">
        <v>77</v>
      </c>
      <c r="E394" s="3" t="s">
        <v>34</v>
      </c>
      <c r="F394" s="2" t="s">
        <v>104</v>
      </c>
      <c r="G394" s="4">
        <v>796622</v>
      </c>
      <c r="H394" s="4">
        <v>152887</v>
      </c>
      <c r="I394" s="4">
        <v>133695</v>
      </c>
      <c r="J394" s="4">
        <v>7767</v>
      </c>
      <c r="K394" s="4">
        <v>302</v>
      </c>
      <c r="L394" s="4">
        <v>275</v>
      </c>
      <c r="M394" s="4">
        <v>781</v>
      </c>
      <c r="N394" s="4">
        <v>1068</v>
      </c>
      <c r="O394" s="5">
        <f t="shared" si="6"/>
        <v>6.8252365458693301E-2</v>
      </c>
      <c r="P394" s="2" t="s">
        <v>29</v>
      </c>
    </row>
    <row r="395" spans="1:16" x14ac:dyDescent="0.25">
      <c r="A395" s="6" t="s">
        <v>859</v>
      </c>
      <c r="B395" s="6" t="s">
        <v>860</v>
      </c>
      <c r="C395" s="6" t="s">
        <v>43</v>
      </c>
      <c r="D395" s="7" t="s">
        <v>44</v>
      </c>
      <c r="E395" s="7" t="s">
        <v>27</v>
      </c>
      <c r="F395" s="6" t="s">
        <v>70</v>
      </c>
      <c r="G395" s="8">
        <v>196257</v>
      </c>
      <c r="H395" s="8">
        <v>18973</v>
      </c>
      <c r="I395" s="8">
        <v>16811</v>
      </c>
      <c r="J395" s="8">
        <v>1451</v>
      </c>
      <c r="K395" s="8">
        <v>250</v>
      </c>
      <c r="L395" s="8">
        <v>94</v>
      </c>
      <c r="M395" s="8">
        <v>10</v>
      </c>
      <c r="N395" s="8">
        <v>581</v>
      </c>
      <c r="O395" s="9">
        <f t="shared" si="6"/>
        <v>0.10737017429064304</v>
      </c>
      <c r="P395" s="6" t="s">
        <v>29</v>
      </c>
    </row>
    <row r="396" spans="1:16" x14ac:dyDescent="0.25">
      <c r="A396" s="2" t="s">
        <v>861</v>
      </c>
      <c r="B396" s="2" t="s">
        <v>862</v>
      </c>
      <c r="C396" s="2" t="s">
        <v>76</v>
      </c>
      <c r="D396" s="3" t="s">
        <v>77</v>
      </c>
      <c r="E396" s="3" t="s">
        <v>27</v>
      </c>
      <c r="F396" s="2" t="s">
        <v>87</v>
      </c>
      <c r="G396" s="4">
        <v>557027</v>
      </c>
      <c r="H396" s="4">
        <v>105379</v>
      </c>
      <c r="I396" s="4">
        <v>77747</v>
      </c>
      <c r="J396" s="4">
        <v>6875</v>
      </c>
      <c r="K396" s="4">
        <v>210</v>
      </c>
      <c r="L396" s="4">
        <v>785</v>
      </c>
      <c r="M396" s="4">
        <v>1614</v>
      </c>
      <c r="N396" s="4">
        <v>3436</v>
      </c>
      <c r="O396" s="5">
        <f t="shared" si="6"/>
        <v>0.12198541422820174</v>
      </c>
      <c r="P396" s="2" t="s">
        <v>29</v>
      </c>
    </row>
    <row r="397" spans="1:16" x14ac:dyDescent="0.25">
      <c r="A397" s="6" t="s">
        <v>863</v>
      </c>
      <c r="B397" s="6" t="s">
        <v>864</v>
      </c>
      <c r="C397" s="6" t="s">
        <v>25</v>
      </c>
      <c r="D397" s="7" t="s">
        <v>26</v>
      </c>
      <c r="E397" s="7" t="s">
        <v>45</v>
      </c>
      <c r="F397" s="6" t="s">
        <v>54</v>
      </c>
      <c r="G397" s="8">
        <v>192133</v>
      </c>
      <c r="H397" s="8">
        <v>122838</v>
      </c>
      <c r="I397" s="8">
        <v>91777</v>
      </c>
      <c r="J397" s="8">
        <v>4133</v>
      </c>
      <c r="K397" s="8">
        <v>193</v>
      </c>
      <c r="L397" s="8">
        <v>611</v>
      </c>
      <c r="M397" s="8">
        <v>308</v>
      </c>
      <c r="N397" s="8">
        <v>1020</v>
      </c>
      <c r="O397" s="9">
        <f t="shared" si="6"/>
        <v>5.7149394728526752E-2</v>
      </c>
      <c r="P397" s="6" t="s">
        <v>22</v>
      </c>
    </row>
    <row r="398" spans="1:16" x14ac:dyDescent="0.25">
      <c r="A398" s="2" t="s">
        <v>865</v>
      </c>
      <c r="B398" s="2" t="s">
        <v>866</v>
      </c>
      <c r="C398" s="2" t="s">
        <v>43</v>
      </c>
      <c r="D398" s="3" t="s">
        <v>81</v>
      </c>
      <c r="E398" s="3" t="s">
        <v>34</v>
      </c>
      <c r="F398" s="2" t="s">
        <v>46</v>
      </c>
      <c r="G398" s="4">
        <v>520195</v>
      </c>
      <c r="H398" s="4">
        <v>125709</v>
      </c>
      <c r="I398" s="4">
        <v>108355</v>
      </c>
      <c r="J398" s="4">
        <v>7696</v>
      </c>
      <c r="K398" s="4">
        <v>1201</v>
      </c>
      <c r="L398" s="4">
        <v>379</v>
      </c>
      <c r="M398" s="4">
        <v>26</v>
      </c>
      <c r="N398" s="4">
        <v>1724</v>
      </c>
      <c r="O398" s="5">
        <f t="shared" si="6"/>
        <v>8.5847445895436303E-2</v>
      </c>
      <c r="P398" s="2" t="s">
        <v>29</v>
      </c>
    </row>
    <row r="399" spans="1:16" x14ac:dyDescent="0.25">
      <c r="A399" s="6" t="s">
        <v>867</v>
      </c>
      <c r="B399" s="6" t="s">
        <v>868</v>
      </c>
      <c r="C399" s="6" t="s">
        <v>32</v>
      </c>
      <c r="D399" s="7" t="s">
        <v>38</v>
      </c>
      <c r="E399" s="7" t="s">
        <v>20</v>
      </c>
      <c r="F399" s="6" t="s">
        <v>128</v>
      </c>
      <c r="G399" s="8">
        <v>709406</v>
      </c>
      <c r="H399" s="8">
        <v>99279</v>
      </c>
      <c r="I399" s="8">
        <v>80910</v>
      </c>
      <c r="J399" s="8">
        <v>6015</v>
      </c>
      <c r="K399" s="8">
        <v>288</v>
      </c>
      <c r="L399" s="8">
        <v>429</v>
      </c>
      <c r="M399" s="8">
        <v>44</v>
      </c>
      <c r="N399" s="8">
        <v>2255</v>
      </c>
      <c r="O399" s="9">
        <f t="shared" si="6"/>
        <v>8.3747373625015456E-2</v>
      </c>
      <c r="P399" s="6" t="s">
        <v>22</v>
      </c>
    </row>
    <row r="400" spans="1:16" x14ac:dyDescent="0.25">
      <c r="A400" s="2" t="s">
        <v>869</v>
      </c>
      <c r="B400" s="2" t="s">
        <v>870</v>
      </c>
      <c r="C400" s="2" t="s">
        <v>25</v>
      </c>
      <c r="D400" s="3" t="s">
        <v>244</v>
      </c>
      <c r="E400" s="3" t="s">
        <v>20</v>
      </c>
      <c r="F400" s="2" t="s">
        <v>65</v>
      </c>
      <c r="G400" s="4">
        <v>131225</v>
      </c>
      <c r="H400" s="4">
        <v>42265</v>
      </c>
      <c r="I400" s="4">
        <v>32175</v>
      </c>
      <c r="J400" s="4">
        <v>2654</v>
      </c>
      <c r="K400" s="4">
        <v>311</v>
      </c>
      <c r="L400" s="4">
        <v>147</v>
      </c>
      <c r="M400" s="4">
        <v>551</v>
      </c>
      <c r="N400" s="4">
        <v>1027</v>
      </c>
      <c r="O400" s="5">
        <f t="shared" si="6"/>
        <v>0.11384615384615385</v>
      </c>
      <c r="P400" s="2" t="s">
        <v>22</v>
      </c>
    </row>
    <row r="401" spans="1:16" x14ac:dyDescent="0.25">
      <c r="A401" s="6" t="s">
        <v>871</v>
      </c>
      <c r="B401" s="6" t="s">
        <v>872</v>
      </c>
      <c r="C401" s="6" t="s">
        <v>32</v>
      </c>
      <c r="D401" s="7" t="s">
        <v>33</v>
      </c>
      <c r="E401" s="7" t="s">
        <v>50</v>
      </c>
      <c r="F401" s="6" t="s">
        <v>51</v>
      </c>
      <c r="G401" s="8">
        <v>807805</v>
      </c>
      <c r="H401" s="8">
        <v>120886</v>
      </c>
      <c r="I401" s="8">
        <v>97845</v>
      </c>
      <c r="J401" s="8">
        <v>6975</v>
      </c>
      <c r="K401" s="8">
        <v>350</v>
      </c>
      <c r="L401" s="8">
        <v>229</v>
      </c>
      <c r="M401" s="8">
        <v>3</v>
      </c>
      <c r="N401" s="8">
        <v>3615</v>
      </c>
      <c r="O401" s="9">
        <f t="shared" si="6"/>
        <v>7.7234401349072515E-2</v>
      </c>
      <c r="P401" s="6" t="s">
        <v>22</v>
      </c>
    </row>
    <row r="402" spans="1:16" x14ac:dyDescent="0.25">
      <c r="A402" s="2" t="s">
        <v>873</v>
      </c>
      <c r="B402" s="2" t="s">
        <v>874</v>
      </c>
      <c r="C402" s="2" t="s">
        <v>18</v>
      </c>
      <c r="D402" s="3" t="s">
        <v>19</v>
      </c>
      <c r="E402" s="3" t="s">
        <v>50</v>
      </c>
      <c r="F402" s="2" t="s">
        <v>73</v>
      </c>
      <c r="G402" s="4">
        <v>656006</v>
      </c>
      <c r="H402" s="4">
        <v>81092</v>
      </c>
      <c r="I402" s="4">
        <v>66040</v>
      </c>
      <c r="J402" s="4">
        <v>4016</v>
      </c>
      <c r="K402" s="4">
        <v>401</v>
      </c>
      <c r="L402" s="4">
        <v>233</v>
      </c>
      <c r="M402" s="4">
        <v>600</v>
      </c>
      <c r="N402" s="4">
        <v>1633</v>
      </c>
      <c r="O402" s="5">
        <f t="shared" si="6"/>
        <v>7.9497274379164137E-2</v>
      </c>
      <c r="P402" s="2" t="s">
        <v>22</v>
      </c>
    </row>
    <row r="403" spans="1:16" x14ac:dyDescent="0.25">
      <c r="A403" s="6" t="s">
        <v>875</v>
      </c>
      <c r="B403" s="6" t="s">
        <v>876</v>
      </c>
      <c r="C403" s="6" t="s">
        <v>76</v>
      </c>
      <c r="D403" s="7" t="s">
        <v>182</v>
      </c>
      <c r="E403" s="7" t="s">
        <v>34</v>
      </c>
      <c r="F403" s="6" t="s">
        <v>104</v>
      </c>
      <c r="G403" s="8">
        <v>474480</v>
      </c>
      <c r="H403" s="8">
        <v>139739</v>
      </c>
      <c r="I403" s="8">
        <v>98923</v>
      </c>
      <c r="J403" s="8">
        <v>4277</v>
      </c>
      <c r="K403" s="8">
        <v>551</v>
      </c>
      <c r="L403" s="8">
        <v>518</v>
      </c>
      <c r="M403" s="8">
        <v>970</v>
      </c>
      <c r="N403" s="8">
        <v>1386</v>
      </c>
      <c r="O403" s="9">
        <f t="shared" si="6"/>
        <v>6.3847639072814211E-2</v>
      </c>
      <c r="P403" s="6" t="s">
        <v>22</v>
      </c>
    </row>
    <row r="404" spans="1:16" x14ac:dyDescent="0.25">
      <c r="A404" s="2" t="s">
        <v>877</v>
      </c>
      <c r="B404" s="2" t="s">
        <v>878</v>
      </c>
      <c r="C404" s="2" t="s">
        <v>76</v>
      </c>
      <c r="D404" s="3" t="s">
        <v>189</v>
      </c>
      <c r="E404" s="3" t="s">
        <v>45</v>
      </c>
      <c r="F404" s="2" t="s">
        <v>104</v>
      </c>
      <c r="G404" s="4">
        <v>694642</v>
      </c>
      <c r="H404" s="4">
        <v>269141</v>
      </c>
      <c r="I404" s="4">
        <v>216577</v>
      </c>
      <c r="J404" s="4">
        <v>19179</v>
      </c>
      <c r="K404" s="4">
        <v>2033</v>
      </c>
      <c r="L404" s="4">
        <v>1359</v>
      </c>
      <c r="M404" s="4">
        <v>2856</v>
      </c>
      <c r="N404" s="4">
        <v>9184</v>
      </c>
      <c r="O404" s="5">
        <f t="shared" si="6"/>
        <v>0.11740397179755929</v>
      </c>
      <c r="P404" s="2" t="s">
        <v>29</v>
      </c>
    </row>
    <row r="405" spans="1:16" x14ac:dyDescent="0.25">
      <c r="A405" s="6" t="s">
        <v>879</v>
      </c>
      <c r="B405" s="6" t="s">
        <v>880</v>
      </c>
      <c r="C405" s="6" t="s">
        <v>76</v>
      </c>
      <c r="D405" s="7" t="s">
        <v>189</v>
      </c>
      <c r="E405" s="7" t="s">
        <v>34</v>
      </c>
      <c r="F405" s="6" t="s">
        <v>155</v>
      </c>
      <c r="G405" s="8">
        <v>386708</v>
      </c>
      <c r="H405" s="8">
        <v>194503</v>
      </c>
      <c r="I405" s="8">
        <v>168895</v>
      </c>
      <c r="J405" s="8">
        <v>11185</v>
      </c>
      <c r="K405" s="8">
        <v>974</v>
      </c>
      <c r="L405" s="8">
        <v>846</v>
      </c>
      <c r="M405" s="8">
        <v>2778</v>
      </c>
      <c r="N405" s="8">
        <v>3376</v>
      </c>
      <c r="O405" s="9">
        <f t="shared" si="6"/>
        <v>9.344859232067261E-2</v>
      </c>
      <c r="P405" s="6" t="s">
        <v>22</v>
      </c>
    </row>
    <row r="406" spans="1:16" x14ac:dyDescent="0.25">
      <c r="A406" s="2" t="s">
        <v>881</v>
      </c>
      <c r="B406" s="2" t="s">
        <v>882</v>
      </c>
      <c r="C406" s="2" t="s">
        <v>18</v>
      </c>
      <c r="D406" s="3" t="s">
        <v>92</v>
      </c>
      <c r="E406" s="3" t="s">
        <v>34</v>
      </c>
      <c r="F406" s="2" t="s">
        <v>73</v>
      </c>
      <c r="G406" s="4">
        <v>71181</v>
      </c>
      <c r="H406" s="4">
        <v>10338</v>
      </c>
      <c r="I406" s="4">
        <v>7281</v>
      </c>
      <c r="J406" s="4">
        <v>409</v>
      </c>
      <c r="K406" s="4">
        <v>40</v>
      </c>
      <c r="L406" s="4">
        <v>54</v>
      </c>
      <c r="M406" s="4">
        <v>66</v>
      </c>
      <c r="N406" s="4">
        <v>331</v>
      </c>
      <c r="O406" s="5">
        <f t="shared" si="6"/>
        <v>7.814860596071968E-2</v>
      </c>
      <c r="P406" s="2" t="s">
        <v>22</v>
      </c>
    </row>
    <row r="407" spans="1:16" x14ac:dyDescent="0.25">
      <c r="A407" s="6" t="s">
        <v>883</v>
      </c>
      <c r="B407" s="6" t="s">
        <v>884</v>
      </c>
      <c r="C407" s="6" t="s">
        <v>18</v>
      </c>
      <c r="D407" s="7" t="s">
        <v>57</v>
      </c>
      <c r="E407" s="7" t="s">
        <v>27</v>
      </c>
      <c r="F407" s="6" t="s">
        <v>58</v>
      </c>
      <c r="G407" s="8">
        <v>340583</v>
      </c>
      <c r="H407" s="8">
        <v>184168</v>
      </c>
      <c r="I407" s="8">
        <v>156909</v>
      </c>
      <c r="J407" s="8">
        <v>5958</v>
      </c>
      <c r="K407" s="8">
        <v>622</v>
      </c>
      <c r="L407" s="8">
        <v>747</v>
      </c>
      <c r="M407" s="8">
        <v>1093</v>
      </c>
      <c r="N407" s="8">
        <v>1841</v>
      </c>
      <c r="O407" s="9">
        <f t="shared" si="6"/>
        <v>5.366167651313819E-2</v>
      </c>
      <c r="P407" s="6" t="s">
        <v>22</v>
      </c>
    </row>
    <row r="408" spans="1:16" x14ac:dyDescent="0.25">
      <c r="A408" s="2" t="s">
        <v>885</v>
      </c>
      <c r="B408" s="2" t="s">
        <v>886</v>
      </c>
      <c r="C408" s="2" t="s">
        <v>76</v>
      </c>
      <c r="D408" s="3" t="s">
        <v>189</v>
      </c>
      <c r="E408" s="3" t="s">
        <v>20</v>
      </c>
      <c r="F408" s="2" t="s">
        <v>78</v>
      </c>
      <c r="G408" s="4">
        <v>280535</v>
      </c>
      <c r="H408" s="4">
        <v>181744</v>
      </c>
      <c r="I408" s="4">
        <v>159391</v>
      </c>
      <c r="J408" s="4">
        <v>10445</v>
      </c>
      <c r="K408" s="4">
        <v>1814</v>
      </c>
      <c r="L408" s="4">
        <v>1183</v>
      </c>
      <c r="M408" s="4">
        <v>1730</v>
      </c>
      <c r="N408" s="4">
        <v>4135</v>
      </c>
      <c r="O408" s="5">
        <f t="shared" si="6"/>
        <v>9.5187306686073864E-2</v>
      </c>
      <c r="P408" s="2" t="s">
        <v>22</v>
      </c>
    </row>
    <row r="409" spans="1:16" x14ac:dyDescent="0.25">
      <c r="A409" s="6" t="s">
        <v>887</v>
      </c>
      <c r="B409" s="6" t="s">
        <v>888</v>
      </c>
      <c r="C409" s="6" t="s">
        <v>25</v>
      </c>
      <c r="D409" s="7" t="s">
        <v>244</v>
      </c>
      <c r="E409" s="7" t="s">
        <v>34</v>
      </c>
      <c r="F409" s="6" t="s">
        <v>28</v>
      </c>
      <c r="G409" s="8">
        <v>531652</v>
      </c>
      <c r="H409" s="8">
        <v>173722</v>
      </c>
      <c r="I409" s="8">
        <v>133581</v>
      </c>
      <c r="J409" s="8">
        <v>7792</v>
      </c>
      <c r="K409" s="8">
        <v>527</v>
      </c>
      <c r="L409" s="8">
        <v>677</v>
      </c>
      <c r="M409" s="8">
        <v>1436</v>
      </c>
      <c r="N409" s="8">
        <v>3722</v>
      </c>
      <c r="O409" s="9">
        <f t="shared" si="6"/>
        <v>7.809493865145492E-2</v>
      </c>
      <c r="P409" s="6" t="s">
        <v>66</v>
      </c>
    </row>
    <row r="410" spans="1:16" x14ac:dyDescent="0.25">
      <c r="A410" s="2" t="s">
        <v>889</v>
      </c>
      <c r="B410" s="2" t="s">
        <v>890</v>
      </c>
      <c r="C410" s="2" t="s">
        <v>25</v>
      </c>
      <c r="D410" s="3" t="s">
        <v>61</v>
      </c>
      <c r="E410" s="3" t="s">
        <v>39</v>
      </c>
      <c r="F410" s="2" t="s">
        <v>146</v>
      </c>
      <c r="G410" s="4">
        <v>695405</v>
      </c>
      <c r="H410" s="4">
        <v>349829</v>
      </c>
      <c r="I410" s="4">
        <v>265501</v>
      </c>
      <c r="J410" s="4">
        <v>20386</v>
      </c>
      <c r="K410" s="4">
        <v>3085</v>
      </c>
      <c r="L410" s="4">
        <v>2667</v>
      </c>
      <c r="M410" s="4">
        <v>4716</v>
      </c>
      <c r="N410" s="4">
        <v>11558</v>
      </c>
      <c r="O410" s="5">
        <f t="shared" si="6"/>
        <v>0.1162104850829187</v>
      </c>
      <c r="P410" s="2" t="s">
        <v>29</v>
      </c>
    </row>
    <row r="411" spans="1:16" x14ac:dyDescent="0.25">
      <c r="A411" s="6" t="s">
        <v>891</v>
      </c>
      <c r="B411" s="6" t="s">
        <v>892</v>
      </c>
      <c r="C411" s="6" t="s">
        <v>32</v>
      </c>
      <c r="D411" s="7" t="s">
        <v>49</v>
      </c>
      <c r="E411" s="7" t="s">
        <v>20</v>
      </c>
      <c r="F411" s="6" t="s">
        <v>51</v>
      </c>
      <c r="G411" s="8">
        <v>785192</v>
      </c>
      <c r="H411" s="8">
        <v>197206</v>
      </c>
      <c r="I411" s="8">
        <v>155843</v>
      </c>
      <c r="J411" s="8">
        <v>14122</v>
      </c>
      <c r="K411" s="8">
        <v>2353</v>
      </c>
      <c r="L411" s="8">
        <v>1446</v>
      </c>
      <c r="M411" s="8">
        <v>26</v>
      </c>
      <c r="N411" s="8">
        <v>2565</v>
      </c>
      <c r="O411" s="9">
        <f t="shared" si="6"/>
        <v>0.11516077077571658</v>
      </c>
      <c r="P411" s="6" t="s">
        <v>22</v>
      </c>
    </row>
    <row r="412" spans="1:16" x14ac:dyDescent="0.25">
      <c r="A412" s="2" t="s">
        <v>893</v>
      </c>
      <c r="B412" s="2" t="s">
        <v>894</v>
      </c>
      <c r="C412" s="2" t="s">
        <v>25</v>
      </c>
      <c r="D412" s="3" t="s">
        <v>26</v>
      </c>
      <c r="E412" s="3" t="s">
        <v>20</v>
      </c>
      <c r="F412" s="2" t="s">
        <v>54</v>
      </c>
      <c r="G412" s="4">
        <v>159746</v>
      </c>
      <c r="H412" s="4">
        <v>35141</v>
      </c>
      <c r="I412" s="4">
        <v>26999</v>
      </c>
      <c r="J412" s="4">
        <v>1726</v>
      </c>
      <c r="K412" s="4">
        <v>308</v>
      </c>
      <c r="L412" s="4">
        <v>129</v>
      </c>
      <c r="M412" s="4">
        <v>398</v>
      </c>
      <c r="N412" s="4">
        <v>388</v>
      </c>
      <c r="O412" s="5">
        <f t="shared" si="6"/>
        <v>9.4855365013519016E-2</v>
      </c>
      <c r="P412" s="2" t="s">
        <v>22</v>
      </c>
    </row>
    <row r="413" spans="1:16" x14ac:dyDescent="0.25">
      <c r="A413" s="6" t="s">
        <v>895</v>
      </c>
      <c r="B413" s="6" t="s">
        <v>896</v>
      </c>
      <c r="C413" s="6" t="s">
        <v>18</v>
      </c>
      <c r="D413" s="7" t="s">
        <v>92</v>
      </c>
      <c r="E413" s="7" t="s">
        <v>20</v>
      </c>
      <c r="F413" s="6" t="s">
        <v>73</v>
      </c>
      <c r="G413" s="8">
        <v>46783</v>
      </c>
      <c r="H413" s="8">
        <v>16698</v>
      </c>
      <c r="I413" s="8">
        <v>11891</v>
      </c>
      <c r="J413" s="8">
        <v>1232</v>
      </c>
      <c r="K413" s="8">
        <v>94</v>
      </c>
      <c r="L413" s="8">
        <v>72</v>
      </c>
      <c r="M413" s="8">
        <v>77</v>
      </c>
      <c r="N413" s="8">
        <v>561</v>
      </c>
      <c r="O413" s="9">
        <f t="shared" si="6"/>
        <v>0.12404339416365319</v>
      </c>
      <c r="P413" s="6" t="s">
        <v>66</v>
      </c>
    </row>
    <row r="414" spans="1:16" x14ac:dyDescent="0.25">
      <c r="A414" s="2" t="s">
        <v>897</v>
      </c>
      <c r="B414" s="2" t="s">
        <v>898</v>
      </c>
      <c r="C414" s="2" t="s">
        <v>32</v>
      </c>
      <c r="D414" s="3" t="s">
        <v>49</v>
      </c>
      <c r="E414" s="3" t="s">
        <v>20</v>
      </c>
      <c r="F414" s="2" t="s">
        <v>128</v>
      </c>
      <c r="G414" s="4">
        <v>601208</v>
      </c>
      <c r="H414" s="4">
        <v>367802</v>
      </c>
      <c r="I414" s="4">
        <v>311207</v>
      </c>
      <c r="J414" s="4">
        <v>20164</v>
      </c>
      <c r="K414" s="4">
        <v>2949</v>
      </c>
      <c r="L414" s="4">
        <v>1780</v>
      </c>
      <c r="M414" s="4">
        <v>31</v>
      </c>
      <c r="N414" s="4">
        <v>11599</v>
      </c>
      <c r="O414" s="5">
        <f t="shared" si="6"/>
        <v>8.0088172823876064E-2</v>
      </c>
      <c r="P414" s="2" t="s">
        <v>22</v>
      </c>
    </row>
    <row r="415" spans="1:16" x14ac:dyDescent="0.25">
      <c r="A415" s="6" t="s">
        <v>899</v>
      </c>
      <c r="B415" s="6" t="s">
        <v>900</v>
      </c>
      <c r="C415" s="6" t="s">
        <v>43</v>
      </c>
      <c r="D415" s="7" t="s">
        <v>69</v>
      </c>
      <c r="E415" s="7" t="s">
        <v>45</v>
      </c>
      <c r="F415" s="6" t="s">
        <v>107</v>
      </c>
      <c r="G415" s="8">
        <v>249899</v>
      </c>
      <c r="H415" s="8">
        <v>51045</v>
      </c>
      <c r="I415" s="8">
        <v>37698</v>
      </c>
      <c r="J415" s="8">
        <v>3991</v>
      </c>
      <c r="K415" s="8">
        <v>382</v>
      </c>
      <c r="L415" s="8">
        <v>211</v>
      </c>
      <c r="M415" s="8">
        <v>37</v>
      </c>
      <c r="N415" s="8">
        <v>340</v>
      </c>
      <c r="O415" s="9">
        <f t="shared" si="6"/>
        <v>0.12257944718552709</v>
      </c>
      <c r="P415" s="6" t="s">
        <v>22</v>
      </c>
    </row>
    <row r="416" spans="1:16" x14ac:dyDescent="0.25">
      <c r="A416" s="2" t="s">
        <v>901</v>
      </c>
      <c r="B416" s="2" t="s">
        <v>902</v>
      </c>
      <c r="C416" s="2" t="s">
        <v>32</v>
      </c>
      <c r="D416" s="3" t="s">
        <v>121</v>
      </c>
      <c r="E416" s="3" t="s">
        <v>45</v>
      </c>
      <c r="F416" s="2" t="s">
        <v>51</v>
      </c>
      <c r="G416" s="4">
        <v>293724</v>
      </c>
      <c r="H416" s="4">
        <v>180368</v>
      </c>
      <c r="I416" s="4">
        <v>145114</v>
      </c>
      <c r="J416" s="4">
        <v>7587</v>
      </c>
      <c r="K416" s="4">
        <v>578</v>
      </c>
      <c r="L416" s="4">
        <v>788</v>
      </c>
      <c r="M416" s="4">
        <v>38</v>
      </c>
      <c r="N416" s="4">
        <v>1090</v>
      </c>
      <c r="O416" s="5">
        <f t="shared" si="6"/>
        <v>6.1958184599694037E-2</v>
      </c>
      <c r="P416" s="2" t="s">
        <v>29</v>
      </c>
    </row>
    <row r="417" spans="1:16" x14ac:dyDescent="0.25">
      <c r="A417" s="6" t="s">
        <v>903</v>
      </c>
      <c r="B417" s="6" t="s">
        <v>904</v>
      </c>
      <c r="C417" s="6" t="s">
        <v>25</v>
      </c>
      <c r="D417" s="7" t="s">
        <v>244</v>
      </c>
      <c r="E417" s="7" t="s">
        <v>27</v>
      </c>
      <c r="F417" s="6" t="s">
        <v>65</v>
      </c>
      <c r="G417" s="8">
        <v>326791</v>
      </c>
      <c r="H417" s="8">
        <v>156647</v>
      </c>
      <c r="I417" s="8">
        <v>133268</v>
      </c>
      <c r="J417" s="8">
        <v>8160</v>
      </c>
      <c r="K417" s="8">
        <v>534</v>
      </c>
      <c r="L417" s="8">
        <v>632</v>
      </c>
      <c r="M417" s="8">
        <v>420</v>
      </c>
      <c r="N417" s="8">
        <v>5298</v>
      </c>
      <c r="O417" s="9">
        <f t="shared" si="6"/>
        <v>7.3130834108713266E-2</v>
      </c>
      <c r="P417" s="6" t="s">
        <v>66</v>
      </c>
    </row>
    <row r="418" spans="1:16" x14ac:dyDescent="0.25">
      <c r="A418" s="2" t="s">
        <v>905</v>
      </c>
      <c r="B418" s="2" t="s">
        <v>906</v>
      </c>
      <c r="C418" s="2" t="s">
        <v>25</v>
      </c>
      <c r="D418" s="3" t="s">
        <v>244</v>
      </c>
      <c r="E418" s="3" t="s">
        <v>20</v>
      </c>
      <c r="F418" s="2" t="s">
        <v>146</v>
      </c>
      <c r="G418" s="4">
        <v>462663</v>
      </c>
      <c r="H418" s="4">
        <v>268944</v>
      </c>
      <c r="I418" s="4">
        <v>226390</v>
      </c>
      <c r="J418" s="4">
        <v>18115</v>
      </c>
      <c r="K418" s="4">
        <v>1288</v>
      </c>
      <c r="L418" s="4">
        <v>550</v>
      </c>
      <c r="M418" s="4">
        <v>3729</v>
      </c>
      <c r="N418" s="4">
        <v>5311</v>
      </c>
      <c r="O418" s="5">
        <f t="shared" si="6"/>
        <v>0.10460709395291311</v>
      </c>
      <c r="P418" s="2" t="s">
        <v>29</v>
      </c>
    </row>
    <row r="419" spans="1:16" x14ac:dyDescent="0.25">
      <c r="A419" s="6" t="s">
        <v>907</v>
      </c>
      <c r="B419" s="6" t="s">
        <v>908</v>
      </c>
      <c r="C419" s="6" t="s">
        <v>76</v>
      </c>
      <c r="D419" s="7" t="s">
        <v>86</v>
      </c>
      <c r="E419" s="7" t="s">
        <v>45</v>
      </c>
      <c r="F419" s="6" t="s">
        <v>78</v>
      </c>
      <c r="G419" s="8">
        <v>533430</v>
      </c>
      <c r="H419" s="8">
        <v>170642</v>
      </c>
      <c r="I419" s="8">
        <v>149986</v>
      </c>
      <c r="J419" s="8">
        <v>10966</v>
      </c>
      <c r="K419" s="8">
        <v>1074</v>
      </c>
      <c r="L419" s="8">
        <v>258</v>
      </c>
      <c r="M419" s="8">
        <v>662</v>
      </c>
      <c r="N419" s="8">
        <v>4137</v>
      </c>
      <c r="O419" s="9">
        <f t="shared" si="6"/>
        <v>8.6408064752710248E-2</v>
      </c>
      <c r="P419" s="6" t="s">
        <v>29</v>
      </c>
    </row>
    <row r="420" spans="1:16" x14ac:dyDescent="0.25">
      <c r="A420" s="2" t="s">
        <v>909</v>
      </c>
      <c r="B420" s="2" t="s">
        <v>910</v>
      </c>
      <c r="C420" s="2" t="s">
        <v>32</v>
      </c>
      <c r="D420" s="3" t="s">
        <v>49</v>
      </c>
      <c r="E420" s="3" t="s">
        <v>45</v>
      </c>
      <c r="F420" s="2" t="s">
        <v>40</v>
      </c>
      <c r="G420" s="4">
        <v>331461</v>
      </c>
      <c r="H420" s="4">
        <v>47455</v>
      </c>
      <c r="I420" s="4">
        <v>38609</v>
      </c>
      <c r="J420" s="4">
        <v>3710</v>
      </c>
      <c r="K420" s="4">
        <v>573</v>
      </c>
      <c r="L420" s="4">
        <v>442</v>
      </c>
      <c r="M420" s="4">
        <v>38</v>
      </c>
      <c r="N420" s="4">
        <v>1213</v>
      </c>
      <c r="O420" s="5">
        <f t="shared" si="6"/>
        <v>0.12336501851899816</v>
      </c>
      <c r="P420" s="2" t="s">
        <v>29</v>
      </c>
    </row>
    <row r="421" spans="1:16" x14ac:dyDescent="0.25">
      <c r="A421" s="6" t="s">
        <v>911</v>
      </c>
      <c r="B421" s="6" t="s">
        <v>912</v>
      </c>
      <c r="C421" s="6" t="s">
        <v>25</v>
      </c>
      <c r="D421" s="7" t="s">
        <v>244</v>
      </c>
      <c r="E421" s="7" t="s">
        <v>20</v>
      </c>
      <c r="F421" s="6" t="s">
        <v>28</v>
      </c>
      <c r="G421" s="8">
        <v>840866</v>
      </c>
      <c r="H421" s="8">
        <v>107721</v>
      </c>
      <c r="I421" s="8">
        <v>79715</v>
      </c>
      <c r="J421" s="8">
        <v>7818</v>
      </c>
      <c r="K421" s="8">
        <v>1342</v>
      </c>
      <c r="L421" s="8">
        <v>1055</v>
      </c>
      <c r="M421" s="8">
        <v>741</v>
      </c>
      <c r="N421" s="8">
        <v>3602</v>
      </c>
      <c r="O421" s="9">
        <f t="shared" si="6"/>
        <v>0.13743962867716239</v>
      </c>
      <c r="P421" s="6" t="s">
        <v>66</v>
      </c>
    </row>
    <row r="422" spans="1:16" x14ac:dyDescent="0.25">
      <c r="A422" s="2" t="s">
        <v>913</v>
      </c>
      <c r="B422" s="2" t="s">
        <v>914</v>
      </c>
      <c r="C422" s="2" t="s">
        <v>76</v>
      </c>
      <c r="D422" s="3" t="s">
        <v>182</v>
      </c>
      <c r="E422" s="3" t="s">
        <v>20</v>
      </c>
      <c r="F422" s="2" t="s">
        <v>78</v>
      </c>
      <c r="G422" s="4">
        <v>737825</v>
      </c>
      <c r="H422" s="4">
        <v>79962</v>
      </c>
      <c r="I422" s="4">
        <v>63518</v>
      </c>
      <c r="J422" s="4">
        <v>2847</v>
      </c>
      <c r="K422" s="4">
        <v>123</v>
      </c>
      <c r="L422" s="4">
        <v>193</v>
      </c>
      <c r="M422" s="4">
        <v>681</v>
      </c>
      <c r="N422" s="4">
        <v>681</v>
      </c>
      <c r="O422" s="5">
        <f t="shared" si="6"/>
        <v>6.0518278283321264E-2</v>
      </c>
      <c r="P422" s="2" t="s">
        <v>29</v>
      </c>
    </row>
    <row r="423" spans="1:16" x14ac:dyDescent="0.25">
      <c r="A423" s="6" t="s">
        <v>915</v>
      </c>
      <c r="B423" s="6" t="s">
        <v>916</v>
      </c>
      <c r="C423" s="6" t="s">
        <v>32</v>
      </c>
      <c r="D423" s="7" t="s">
        <v>175</v>
      </c>
      <c r="E423" s="7" t="s">
        <v>20</v>
      </c>
      <c r="F423" s="6" t="s">
        <v>51</v>
      </c>
      <c r="G423" s="8">
        <v>202300</v>
      </c>
      <c r="H423" s="8">
        <v>109979</v>
      </c>
      <c r="I423" s="8">
        <v>83952</v>
      </c>
      <c r="J423" s="8">
        <v>5460</v>
      </c>
      <c r="K423" s="8">
        <v>270</v>
      </c>
      <c r="L423" s="8">
        <v>717</v>
      </c>
      <c r="M423" s="8">
        <v>38</v>
      </c>
      <c r="N423" s="8">
        <v>1261</v>
      </c>
      <c r="O423" s="9">
        <f t="shared" si="6"/>
        <v>7.7246521821993513E-2</v>
      </c>
      <c r="P423" s="6" t="s">
        <v>29</v>
      </c>
    </row>
    <row r="424" spans="1:16" x14ac:dyDescent="0.25">
      <c r="A424" s="2" t="s">
        <v>917</v>
      </c>
      <c r="B424" s="2" t="s">
        <v>918</v>
      </c>
      <c r="C424" s="2" t="s">
        <v>25</v>
      </c>
      <c r="D424" s="3" t="s">
        <v>26</v>
      </c>
      <c r="E424" s="3" t="s">
        <v>20</v>
      </c>
      <c r="F424" s="2" t="s">
        <v>54</v>
      </c>
      <c r="G424" s="4">
        <v>306789</v>
      </c>
      <c r="H424" s="4">
        <v>65722</v>
      </c>
      <c r="I424" s="4">
        <v>59124</v>
      </c>
      <c r="J424" s="4">
        <v>2772</v>
      </c>
      <c r="K424" s="4">
        <v>367</v>
      </c>
      <c r="L424" s="4">
        <v>220</v>
      </c>
      <c r="M424" s="4">
        <v>144</v>
      </c>
      <c r="N424" s="4">
        <v>591</v>
      </c>
      <c r="O424" s="5">
        <f t="shared" si="6"/>
        <v>5.9248359380285505E-2</v>
      </c>
      <c r="P424" s="2" t="s">
        <v>22</v>
      </c>
    </row>
    <row r="425" spans="1:16" x14ac:dyDescent="0.25">
      <c r="A425" s="6" t="s">
        <v>919</v>
      </c>
      <c r="B425" s="6" t="s">
        <v>920</v>
      </c>
      <c r="C425" s="6" t="s">
        <v>32</v>
      </c>
      <c r="D425" s="7" t="s">
        <v>121</v>
      </c>
      <c r="E425" s="7" t="s">
        <v>45</v>
      </c>
      <c r="F425" s="6" t="s">
        <v>40</v>
      </c>
      <c r="G425" s="8">
        <v>79104</v>
      </c>
      <c r="H425" s="8">
        <v>8977</v>
      </c>
      <c r="I425" s="8">
        <v>8122</v>
      </c>
      <c r="J425" s="8">
        <v>433</v>
      </c>
      <c r="K425" s="8">
        <v>36</v>
      </c>
      <c r="L425" s="8">
        <v>42</v>
      </c>
      <c r="M425" s="8">
        <v>42</v>
      </c>
      <c r="N425" s="8">
        <v>305</v>
      </c>
      <c r="O425" s="9">
        <f t="shared" si="6"/>
        <v>6.8086678158089137E-2</v>
      </c>
      <c r="P425" s="6" t="s">
        <v>22</v>
      </c>
    </row>
    <row r="426" spans="1:16" x14ac:dyDescent="0.25">
      <c r="A426" s="2" t="s">
        <v>921</v>
      </c>
      <c r="B426" s="2" t="s">
        <v>922</v>
      </c>
      <c r="C426" s="2" t="s">
        <v>43</v>
      </c>
      <c r="D426" s="3" t="s">
        <v>172</v>
      </c>
      <c r="E426" s="3" t="s">
        <v>39</v>
      </c>
      <c r="F426" s="2" t="s">
        <v>46</v>
      </c>
      <c r="G426" s="4">
        <v>416369</v>
      </c>
      <c r="H426" s="4">
        <v>64693</v>
      </c>
      <c r="I426" s="4">
        <v>45870</v>
      </c>
      <c r="J426" s="4">
        <v>1990</v>
      </c>
      <c r="K426" s="4">
        <v>110</v>
      </c>
      <c r="L426" s="4">
        <v>167</v>
      </c>
      <c r="M426" s="4">
        <v>21</v>
      </c>
      <c r="N426" s="4">
        <v>2027</v>
      </c>
      <c r="O426" s="5">
        <f t="shared" si="6"/>
        <v>4.988009592326139E-2</v>
      </c>
      <c r="P426" s="2" t="s">
        <v>22</v>
      </c>
    </row>
    <row r="427" spans="1:16" x14ac:dyDescent="0.25">
      <c r="A427" s="6" t="s">
        <v>923</v>
      </c>
      <c r="B427" s="6" t="s">
        <v>924</v>
      </c>
      <c r="C427" s="6" t="s">
        <v>25</v>
      </c>
      <c r="D427" s="7" t="s">
        <v>244</v>
      </c>
      <c r="E427" s="7" t="s">
        <v>34</v>
      </c>
      <c r="F427" s="6" t="s">
        <v>28</v>
      </c>
      <c r="G427" s="8">
        <v>48807</v>
      </c>
      <c r="H427" s="8">
        <v>17792</v>
      </c>
      <c r="I427" s="8">
        <v>15381</v>
      </c>
      <c r="J427" s="8">
        <v>1344</v>
      </c>
      <c r="K427" s="8">
        <v>97</v>
      </c>
      <c r="L427" s="8">
        <v>180</v>
      </c>
      <c r="M427" s="8">
        <v>231</v>
      </c>
      <c r="N427" s="8">
        <v>495</v>
      </c>
      <c r="O427" s="9">
        <f t="shared" si="6"/>
        <v>0.12040829594954815</v>
      </c>
      <c r="P427" s="6" t="s">
        <v>22</v>
      </c>
    </row>
    <row r="428" spans="1:16" x14ac:dyDescent="0.25">
      <c r="A428" s="2" t="s">
        <v>925</v>
      </c>
      <c r="B428" s="2" t="s">
        <v>926</v>
      </c>
      <c r="C428" s="2" t="s">
        <v>18</v>
      </c>
      <c r="D428" s="3" t="s">
        <v>57</v>
      </c>
      <c r="E428" s="3" t="s">
        <v>20</v>
      </c>
      <c r="F428" s="2" t="s">
        <v>73</v>
      </c>
      <c r="G428" s="4">
        <v>691854</v>
      </c>
      <c r="H428" s="4">
        <v>228861</v>
      </c>
      <c r="I428" s="4">
        <v>167685</v>
      </c>
      <c r="J428" s="4">
        <v>7733</v>
      </c>
      <c r="K428" s="4">
        <v>273</v>
      </c>
      <c r="L428" s="4">
        <v>416</v>
      </c>
      <c r="M428" s="4">
        <v>1478</v>
      </c>
      <c r="N428" s="4">
        <v>4140</v>
      </c>
      <c r="O428" s="5">
        <f t="shared" si="6"/>
        <v>5.9039270059933806E-2</v>
      </c>
      <c r="P428" s="2" t="s">
        <v>66</v>
      </c>
    </row>
    <row r="429" spans="1:16" x14ac:dyDescent="0.25">
      <c r="A429" s="6" t="s">
        <v>927</v>
      </c>
      <c r="B429" s="6" t="s">
        <v>928</v>
      </c>
      <c r="C429" s="6" t="s">
        <v>43</v>
      </c>
      <c r="D429" s="7" t="s">
        <v>69</v>
      </c>
      <c r="E429" s="7" t="s">
        <v>39</v>
      </c>
      <c r="F429" s="6" t="s">
        <v>46</v>
      </c>
      <c r="G429" s="8">
        <v>120455</v>
      </c>
      <c r="H429" s="8">
        <v>69155</v>
      </c>
      <c r="I429" s="8">
        <v>53727</v>
      </c>
      <c r="J429" s="8">
        <v>2228</v>
      </c>
      <c r="K429" s="8">
        <v>161</v>
      </c>
      <c r="L429" s="8">
        <v>286</v>
      </c>
      <c r="M429" s="8">
        <v>47</v>
      </c>
      <c r="N429" s="8">
        <v>1401</v>
      </c>
      <c r="O429" s="9">
        <f t="shared" si="6"/>
        <v>5.066353974724068E-2</v>
      </c>
      <c r="P429" s="6" t="s">
        <v>22</v>
      </c>
    </row>
    <row r="430" spans="1:16" x14ac:dyDescent="0.25">
      <c r="A430" s="2" t="s">
        <v>929</v>
      </c>
      <c r="B430" s="2" t="s">
        <v>930</v>
      </c>
      <c r="C430" s="2" t="s">
        <v>43</v>
      </c>
      <c r="D430" s="3" t="s">
        <v>81</v>
      </c>
      <c r="E430" s="3" t="s">
        <v>27</v>
      </c>
      <c r="F430" s="2" t="s">
        <v>107</v>
      </c>
      <c r="G430" s="4">
        <v>191840</v>
      </c>
      <c r="H430" s="4">
        <v>23749</v>
      </c>
      <c r="I430" s="4">
        <v>19226</v>
      </c>
      <c r="J430" s="4">
        <v>609</v>
      </c>
      <c r="K430" s="4">
        <v>48</v>
      </c>
      <c r="L430" s="4">
        <v>34</v>
      </c>
      <c r="M430" s="4">
        <v>43</v>
      </c>
      <c r="N430" s="4">
        <v>205</v>
      </c>
      <c r="O430" s="5">
        <f t="shared" si="6"/>
        <v>3.8177468012066992E-2</v>
      </c>
      <c r="P430" s="2" t="s">
        <v>22</v>
      </c>
    </row>
    <row r="431" spans="1:16" x14ac:dyDescent="0.25">
      <c r="A431" s="6" t="s">
        <v>931</v>
      </c>
      <c r="B431" s="6" t="s">
        <v>932</v>
      </c>
      <c r="C431" s="6" t="s">
        <v>76</v>
      </c>
      <c r="D431" s="7" t="s">
        <v>182</v>
      </c>
      <c r="E431" s="7" t="s">
        <v>45</v>
      </c>
      <c r="F431" s="6" t="s">
        <v>104</v>
      </c>
      <c r="G431" s="8">
        <v>478611</v>
      </c>
      <c r="H431" s="8">
        <v>111761</v>
      </c>
      <c r="I431" s="8">
        <v>78375</v>
      </c>
      <c r="J431" s="8">
        <v>8738</v>
      </c>
      <c r="K431" s="8">
        <v>1122</v>
      </c>
      <c r="L431" s="8">
        <v>1254</v>
      </c>
      <c r="M431" s="8">
        <v>1004</v>
      </c>
      <c r="N431" s="8">
        <v>3011</v>
      </c>
      <c r="O431" s="9">
        <f t="shared" si="6"/>
        <v>0.15461562998405104</v>
      </c>
      <c r="P431" s="6" t="s">
        <v>29</v>
      </c>
    </row>
    <row r="432" spans="1:16" x14ac:dyDescent="0.25">
      <c r="A432" s="2" t="s">
        <v>933</v>
      </c>
      <c r="B432" s="2" t="s">
        <v>934</v>
      </c>
      <c r="C432" s="2" t="s">
        <v>76</v>
      </c>
      <c r="D432" s="3" t="s">
        <v>103</v>
      </c>
      <c r="E432" s="3" t="s">
        <v>50</v>
      </c>
      <c r="F432" s="2" t="s">
        <v>87</v>
      </c>
      <c r="G432" s="4">
        <v>782430</v>
      </c>
      <c r="H432" s="4">
        <v>487127</v>
      </c>
      <c r="I432" s="4">
        <v>350907</v>
      </c>
      <c r="J432" s="4">
        <v>17200</v>
      </c>
      <c r="K432" s="4">
        <v>1135</v>
      </c>
      <c r="L432" s="4">
        <v>2067</v>
      </c>
      <c r="M432" s="4">
        <v>2232</v>
      </c>
      <c r="N432" s="4">
        <v>2735</v>
      </c>
      <c r="O432" s="5">
        <f t="shared" si="6"/>
        <v>6.4501420604319668E-2</v>
      </c>
      <c r="P432" s="2" t="s">
        <v>22</v>
      </c>
    </row>
    <row r="433" spans="1:16" x14ac:dyDescent="0.25">
      <c r="A433" s="6" t="s">
        <v>935</v>
      </c>
      <c r="B433" s="6" t="s">
        <v>936</v>
      </c>
      <c r="C433" s="6" t="s">
        <v>25</v>
      </c>
      <c r="D433" s="7" t="s">
        <v>145</v>
      </c>
      <c r="E433" s="7" t="s">
        <v>50</v>
      </c>
      <c r="F433" s="6" t="s">
        <v>65</v>
      </c>
      <c r="G433" s="8">
        <v>842514</v>
      </c>
      <c r="H433" s="8">
        <v>454638</v>
      </c>
      <c r="I433" s="8">
        <v>408638</v>
      </c>
      <c r="J433" s="8">
        <v>25555</v>
      </c>
      <c r="K433" s="8">
        <v>2142</v>
      </c>
      <c r="L433" s="8">
        <v>830</v>
      </c>
      <c r="M433" s="8">
        <v>3155</v>
      </c>
      <c r="N433" s="8">
        <v>4999</v>
      </c>
      <c r="O433" s="9">
        <f t="shared" si="6"/>
        <v>7.7530724014898272E-2</v>
      </c>
      <c r="P433" s="6" t="s">
        <v>22</v>
      </c>
    </row>
    <row r="434" spans="1:16" x14ac:dyDescent="0.25">
      <c r="A434" s="2" t="s">
        <v>937</v>
      </c>
      <c r="B434" s="2" t="s">
        <v>938</v>
      </c>
      <c r="C434" s="2" t="s">
        <v>43</v>
      </c>
      <c r="D434" s="3" t="s">
        <v>69</v>
      </c>
      <c r="E434" s="3" t="s">
        <v>34</v>
      </c>
      <c r="F434" s="2" t="s">
        <v>46</v>
      </c>
      <c r="G434" s="4">
        <v>388623</v>
      </c>
      <c r="H434" s="4">
        <v>127250</v>
      </c>
      <c r="I434" s="4">
        <v>91677</v>
      </c>
      <c r="J434" s="4">
        <v>6464</v>
      </c>
      <c r="K434" s="4">
        <v>1137</v>
      </c>
      <c r="L434" s="4">
        <v>697</v>
      </c>
      <c r="M434" s="4">
        <v>41</v>
      </c>
      <c r="N434" s="4">
        <v>3255</v>
      </c>
      <c r="O434" s="5">
        <f t="shared" si="6"/>
        <v>9.096065534430664E-2</v>
      </c>
      <c r="P434" s="2" t="s">
        <v>22</v>
      </c>
    </row>
    <row r="435" spans="1:16" x14ac:dyDescent="0.25">
      <c r="A435" s="6" t="s">
        <v>939</v>
      </c>
      <c r="B435" s="6" t="s">
        <v>940</v>
      </c>
      <c r="C435" s="6" t="s">
        <v>43</v>
      </c>
      <c r="D435" s="7" t="s">
        <v>81</v>
      </c>
      <c r="E435" s="7" t="s">
        <v>50</v>
      </c>
      <c r="F435" s="6" t="s">
        <v>46</v>
      </c>
      <c r="G435" s="8">
        <v>461100</v>
      </c>
      <c r="H435" s="8">
        <v>247555</v>
      </c>
      <c r="I435" s="8">
        <v>181381</v>
      </c>
      <c r="J435" s="8">
        <v>6849</v>
      </c>
      <c r="K435" s="8">
        <v>1133</v>
      </c>
      <c r="L435" s="8">
        <v>886</v>
      </c>
      <c r="M435" s="8">
        <v>33</v>
      </c>
      <c r="N435" s="8">
        <v>4414</v>
      </c>
      <c r="O435" s="9">
        <f t="shared" si="6"/>
        <v>4.9073497224075287E-2</v>
      </c>
      <c r="P435" s="6" t="s">
        <v>22</v>
      </c>
    </row>
    <row r="436" spans="1:16" x14ac:dyDescent="0.25">
      <c r="A436" s="2" t="s">
        <v>941</v>
      </c>
      <c r="B436" s="2" t="s">
        <v>942</v>
      </c>
      <c r="C436" s="2" t="s">
        <v>43</v>
      </c>
      <c r="D436" s="3" t="s">
        <v>81</v>
      </c>
      <c r="E436" s="3" t="s">
        <v>27</v>
      </c>
      <c r="F436" s="2" t="s">
        <v>46</v>
      </c>
      <c r="G436" s="4">
        <v>435582</v>
      </c>
      <c r="H436" s="4">
        <v>198924</v>
      </c>
      <c r="I436" s="4">
        <v>174818</v>
      </c>
      <c r="J436" s="4">
        <v>8221</v>
      </c>
      <c r="K436" s="4">
        <v>968</v>
      </c>
      <c r="L436" s="4">
        <v>985</v>
      </c>
      <c r="M436" s="4">
        <v>1</v>
      </c>
      <c r="N436" s="4">
        <v>1674</v>
      </c>
      <c r="O436" s="5">
        <f t="shared" si="6"/>
        <v>5.8203388667070893E-2</v>
      </c>
      <c r="P436" s="2" t="s">
        <v>29</v>
      </c>
    </row>
    <row r="437" spans="1:16" x14ac:dyDescent="0.25">
      <c r="A437" s="6" t="s">
        <v>943</v>
      </c>
      <c r="B437" s="6" t="s">
        <v>944</v>
      </c>
      <c r="C437" s="6" t="s">
        <v>76</v>
      </c>
      <c r="D437" s="7" t="s">
        <v>77</v>
      </c>
      <c r="E437" s="7" t="s">
        <v>39</v>
      </c>
      <c r="F437" s="6" t="s">
        <v>78</v>
      </c>
      <c r="G437" s="8">
        <v>331696</v>
      </c>
      <c r="H437" s="8">
        <v>112560</v>
      </c>
      <c r="I437" s="8">
        <v>89934</v>
      </c>
      <c r="J437" s="8">
        <v>7706</v>
      </c>
      <c r="K437" s="8">
        <v>625</v>
      </c>
      <c r="L437" s="8">
        <v>1073</v>
      </c>
      <c r="M437" s="8">
        <v>1633</v>
      </c>
      <c r="N437" s="8">
        <v>1275</v>
      </c>
      <c r="O437" s="9">
        <f t="shared" si="6"/>
        <v>0.12272333044232438</v>
      </c>
      <c r="P437" s="6" t="s">
        <v>22</v>
      </c>
    </row>
    <row r="438" spans="1:16" x14ac:dyDescent="0.25">
      <c r="A438" s="2" t="s">
        <v>945</v>
      </c>
      <c r="B438" s="2" t="s">
        <v>946</v>
      </c>
      <c r="C438" s="2" t="s">
        <v>76</v>
      </c>
      <c r="D438" s="3" t="s">
        <v>182</v>
      </c>
      <c r="E438" s="3" t="s">
        <v>27</v>
      </c>
      <c r="F438" s="2" t="s">
        <v>87</v>
      </c>
      <c r="G438" s="4">
        <v>8631</v>
      </c>
      <c r="H438" s="4">
        <v>821</v>
      </c>
      <c r="I438" s="4">
        <v>660</v>
      </c>
      <c r="J438" s="4">
        <v>50</v>
      </c>
      <c r="K438" s="4">
        <v>8</v>
      </c>
      <c r="L438" s="4">
        <v>7</v>
      </c>
      <c r="M438" s="4">
        <v>8</v>
      </c>
      <c r="N438" s="4">
        <v>16</v>
      </c>
      <c r="O438" s="5">
        <f t="shared" si="6"/>
        <v>0.11060606060606061</v>
      </c>
      <c r="P438" s="2" t="s">
        <v>29</v>
      </c>
    </row>
    <row r="439" spans="1:16" x14ac:dyDescent="0.25">
      <c r="A439" s="6" t="s">
        <v>947</v>
      </c>
      <c r="B439" s="6" t="s">
        <v>948</v>
      </c>
      <c r="C439" s="6" t="s">
        <v>32</v>
      </c>
      <c r="D439" s="7" t="s">
        <v>38</v>
      </c>
      <c r="E439" s="7" t="s">
        <v>34</v>
      </c>
      <c r="F439" s="6" t="s">
        <v>51</v>
      </c>
      <c r="G439" s="8">
        <v>144177</v>
      </c>
      <c r="H439" s="8">
        <v>288873</v>
      </c>
      <c r="I439" s="8">
        <v>246445</v>
      </c>
      <c r="J439" s="8">
        <v>9039</v>
      </c>
      <c r="K439" s="8">
        <v>307</v>
      </c>
      <c r="L439" s="8">
        <v>746</v>
      </c>
      <c r="M439" s="8">
        <v>9</v>
      </c>
      <c r="N439" s="8">
        <v>7075</v>
      </c>
      <c r="O439" s="9">
        <f t="shared" si="6"/>
        <v>4.098683276187385E-2</v>
      </c>
      <c r="P439" s="6" t="s">
        <v>22</v>
      </c>
    </row>
    <row r="440" spans="1:16" x14ac:dyDescent="0.25">
      <c r="A440" s="2" t="s">
        <v>949</v>
      </c>
      <c r="B440" s="2" t="s">
        <v>950</v>
      </c>
      <c r="C440" s="2" t="s">
        <v>18</v>
      </c>
      <c r="D440" s="3" t="s">
        <v>57</v>
      </c>
      <c r="E440" s="3" t="s">
        <v>20</v>
      </c>
      <c r="F440" s="2" t="s">
        <v>58</v>
      </c>
      <c r="G440" s="4">
        <v>444872</v>
      </c>
      <c r="H440" s="4">
        <v>999838</v>
      </c>
      <c r="I440" s="4">
        <v>862392</v>
      </c>
      <c r="J440" s="4">
        <v>46708</v>
      </c>
      <c r="K440" s="4">
        <v>4799</v>
      </c>
      <c r="L440" s="4">
        <v>1053</v>
      </c>
      <c r="M440" s="4">
        <v>6534</v>
      </c>
      <c r="N440" s="4">
        <v>12276</v>
      </c>
      <c r="O440" s="5">
        <f t="shared" si="6"/>
        <v>6.8523362925444573E-2</v>
      </c>
      <c r="P440" s="2" t="s">
        <v>22</v>
      </c>
    </row>
    <row r="441" spans="1:16" x14ac:dyDescent="0.25">
      <c r="A441" s="6" t="s">
        <v>951</v>
      </c>
      <c r="B441" s="6" t="s">
        <v>952</v>
      </c>
      <c r="C441" s="6" t="s">
        <v>76</v>
      </c>
      <c r="D441" s="7" t="s">
        <v>77</v>
      </c>
      <c r="E441" s="7" t="s">
        <v>45</v>
      </c>
      <c r="F441" s="6" t="s">
        <v>104</v>
      </c>
      <c r="G441" s="8">
        <v>438378</v>
      </c>
      <c r="H441" s="8">
        <v>219248</v>
      </c>
      <c r="I441" s="8">
        <v>188736</v>
      </c>
      <c r="J441" s="8">
        <v>17527</v>
      </c>
      <c r="K441" s="8">
        <v>623</v>
      </c>
      <c r="L441" s="8">
        <v>1261</v>
      </c>
      <c r="M441" s="8">
        <v>2675</v>
      </c>
      <c r="N441" s="8">
        <v>5862</v>
      </c>
      <c r="O441" s="9">
        <f t="shared" si="6"/>
        <v>0.11702060020345879</v>
      </c>
      <c r="P441" s="6" t="s">
        <v>66</v>
      </c>
    </row>
    <row r="442" spans="1:16" x14ac:dyDescent="0.25">
      <c r="A442" s="2" t="s">
        <v>953</v>
      </c>
      <c r="B442" s="2" t="s">
        <v>954</v>
      </c>
      <c r="C442" s="2" t="s">
        <v>76</v>
      </c>
      <c r="D442" s="3" t="s">
        <v>189</v>
      </c>
      <c r="E442" s="3" t="s">
        <v>34</v>
      </c>
      <c r="F442" s="2" t="s">
        <v>104</v>
      </c>
      <c r="G442" s="4">
        <v>606902</v>
      </c>
      <c r="H442" s="4">
        <v>70522</v>
      </c>
      <c r="I442" s="4">
        <v>55837</v>
      </c>
      <c r="J442" s="4">
        <v>3413</v>
      </c>
      <c r="K442" s="4">
        <v>355</v>
      </c>
      <c r="L442" s="4">
        <v>484</v>
      </c>
      <c r="M442" s="4">
        <v>407</v>
      </c>
      <c r="N442" s="4">
        <v>1828</v>
      </c>
      <c r="O442" s="5">
        <f t="shared" si="6"/>
        <v>8.343929652381038E-2</v>
      </c>
      <c r="P442" s="2" t="s">
        <v>22</v>
      </c>
    </row>
    <row r="443" spans="1:16" x14ac:dyDescent="0.25">
      <c r="A443" s="6" t="s">
        <v>955</v>
      </c>
      <c r="B443" s="6" t="s">
        <v>956</v>
      </c>
      <c r="C443" s="6" t="s">
        <v>18</v>
      </c>
      <c r="D443" s="7" t="s">
        <v>57</v>
      </c>
      <c r="E443" s="7" t="s">
        <v>20</v>
      </c>
      <c r="F443" s="6" t="s">
        <v>73</v>
      </c>
      <c r="G443" s="8">
        <v>232874</v>
      </c>
      <c r="H443" s="8">
        <v>109552</v>
      </c>
      <c r="I443" s="8">
        <v>97255</v>
      </c>
      <c r="J443" s="8">
        <v>6892</v>
      </c>
      <c r="K443" s="8">
        <v>691</v>
      </c>
      <c r="L443" s="8">
        <v>929</v>
      </c>
      <c r="M443" s="8">
        <v>1341</v>
      </c>
      <c r="N443" s="8">
        <v>1830</v>
      </c>
      <c r="O443" s="9">
        <f t="shared" si="6"/>
        <v>0.10131098658166675</v>
      </c>
      <c r="P443" s="6" t="s">
        <v>22</v>
      </c>
    </row>
    <row r="444" spans="1:16" x14ac:dyDescent="0.25">
      <c r="A444" s="2" t="s">
        <v>957</v>
      </c>
      <c r="B444" s="2" t="s">
        <v>958</v>
      </c>
      <c r="C444" s="2" t="s">
        <v>32</v>
      </c>
      <c r="D444" s="3" t="s">
        <v>49</v>
      </c>
      <c r="E444" s="3" t="s">
        <v>27</v>
      </c>
      <c r="F444" s="2" t="s">
        <v>51</v>
      </c>
      <c r="G444" s="4">
        <v>298677</v>
      </c>
      <c r="H444" s="4">
        <v>38567</v>
      </c>
      <c r="I444" s="4">
        <v>28092</v>
      </c>
      <c r="J444" s="4">
        <v>1232</v>
      </c>
      <c r="K444" s="4">
        <v>148</v>
      </c>
      <c r="L444" s="4">
        <v>40</v>
      </c>
      <c r="M444" s="4">
        <v>26</v>
      </c>
      <c r="N444" s="4">
        <v>1283</v>
      </c>
      <c r="O444" s="5">
        <f t="shared" si="6"/>
        <v>5.1473729175565995E-2</v>
      </c>
      <c r="P444" s="2" t="s">
        <v>22</v>
      </c>
    </row>
    <row r="445" spans="1:16" x14ac:dyDescent="0.25">
      <c r="A445" s="6" t="s">
        <v>959</v>
      </c>
      <c r="B445" s="6" t="s">
        <v>960</v>
      </c>
      <c r="C445" s="6" t="s">
        <v>76</v>
      </c>
      <c r="D445" s="7" t="s">
        <v>103</v>
      </c>
      <c r="E445" s="7" t="s">
        <v>50</v>
      </c>
      <c r="F445" s="6" t="s">
        <v>78</v>
      </c>
      <c r="G445" s="8">
        <v>712310</v>
      </c>
      <c r="H445" s="8">
        <v>393145</v>
      </c>
      <c r="I445" s="8">
        <v>277966</v>
      </c>
      <c r="J445" s="8">
        <v>9364</v>
      </c>
      <c r="K445" s="8">
        <v>885</v>
      </c>
      <c r="L445" s="8">
        <v>939</v>
      </c>
      <c r="M445" s="8">
        <v>694</v>
      </c>
      <c r="N445" s="8">
        <v>4608</v>
      </c>
      <c r="O445" s="9">
        <f t="shared" si="6"/>
        <v>4.2746235151061643E-2</v>
      </c>
      <c r="P445" s="6" t="s">
        <v>22</v>
      </c>
    </row>
    <row r="446" spans="1:16" x14ac:dyDescent="0.25">
      <c r="A446" s="2" t="s">
        <v>961</v>
      </c>
      <c r="B446" s="2" t="s">
        <v>962</v>
      </c>
      <c r="C446" s="2" t="s">
        <v>43</v>
      </c>
      <c r="D446" s="3" t="s">
        <v>110</v>
      </c>
      <c r="E446" s="3" t="s">
        <v>20</v>
      </c>
      <c r="F446" s="2" t="s">
        <v>107</v>
      </c>
      <c r="G446" s="4">
        <v>542922</v>
      </c>
      <c r="H446" s="4">
        <v>75662</v>
      </c>
      <c r="I446" s="4">
        <v>68387</v>
      </c>
      <c r="J446" s="4">
        <v>3500</v>
      </c>
      <c r="K446" s="4">
        <v>344</v>
      </c>
      <c r="L446" s="4">
        <v>452</v>
      </c>
      <c r="M446" s="4">
        <v>7</v>
      </c>
      <c r="N446" s="4">
        <v>2590</v>
      </c>
      <c r="O446" s="5">
        <f t="shared" si="6"/>
        <v>6.2921315454691679E-2</v>
      </c>
      <c r="P446" s="2" t="s">
        <v>29</v>
      </c>
    </row>
    <row r="447" spans="1:16" x14ac:dyDescent="0.25">
      <c r="A447" s="6" t="s">
        <v>963</v>
      </c>
      <c r="B447" s="6" t="s">
        <v>964</v>
      </c>
      <c r="C447" s="6" t="s">
        <v>76</v>
      </c>
      <c r="D447" s="7" t="s">
        <v>189</v>
      </c>
      <c r="E447" s="7" t="s">
        <v>34</v>
      </c>
      <c r="F447" s="6" t="s">
        <v>155</v>
      </c>
      <c r="G447" s="8">
        <v>663025</v>
      </c>
      <c r="H447" s="8">
        <v>130662</v>
      </c>
      <c r="I447" s="8">
        <v>95977</v>
      </c>
      <c r="J447" s="8">
        <v>4903</v>
      </c>
      <c r="K447" s="8">
        <v>471</v>
      </c>
      <c r="L447" s="8">
        <v>420</v>
      </c>
      <c r="M447" s="8">
        <v>963</v>
      </c>
      <c r="N447" s="8">
        <v>1042</v>
      </c>
      <c r="O447" s="9">
        <f t="shared" si="6"/>
        <v>7.0402283880513034E-2</v>
      </c>
      <c r="P447" s="6" t="s">
        <v>29</v>
      </c>
    </row>
    <row r="448" spans="1:16" x14ac:dyDescent="0.25">
      <c r="A448" s="2" t="s">
        <v>965</v>
      </c>
      <c r="B448" s="2" t="s">
        <v>966</v>
      </c>
      <c r="C448" s="2" t="s">
        <v>25</v>
      </c>
      <c r="D448" s="3" t="s">
        <v>26</v>
      </c>
      <c r="E448" s="3" t="s">
        <v>39</v>
      </c>
      <c r="F448" s="2" t="s">
        <v>54</v>
      </c>
      <c r="G448" s="4">
        <v>259732</v>
      </c>
      <c r="H448" s="4">
        <v>90903</v>
      </c>
      <c r="I448" s="4">
        <v>73731</v>
      </c>
      <c r="J448" s="4">
        <v>2282</v>
      </c>
      <c r="K448" s="4">
        <v>195</v>
      </c>
      <c r="L448" s="4">
        <v>269</v>
      </c>
      <c r="M448" s="4">
        <v>278</v>
      </c>
      <c r="N448" s="4">
        <v>2268</v>
      </c>
      <c r="O448" s="5">
        <f t="shared" si="6"/>
        <v>4.1013956137852463E-2</v>
      </c>
      <c r="P448" s="2" t="s">
        <v>22</v>
      </c>
    </row>
    <row r="449" spans="1:16" x14ac:dyDescent="0.25">
      <c r="A449" s="6" t="s">
        <v>967</v>
      </c>
      <c r="B449" s="6" t="s">
        <v>968</v>
      </c>
      <c r="C449" s="6" t="s">
        <v>25</v>
      </c>
      <c r="D449" s="7" t="s">
        <v>64</v>
      </c>
      <c r="E449" s="7" t="s">
        <v>39</v>
      </c>
      <c r="F449" s="6" t="s">
        <v>65</v>
      </c>
      <c r="G449" s="8">
        <v>431691</v>
      </c>
      <c r="H449" s="8">
        <v>268748</v>
      </c>
      <c r="I449" s="8">
        <v>235104</v>
      </c>
      <c r="J449" s="8">
        <v>11208</v>
      </c>
      <c r="K449" s="8">
        <v>386</v>
      </c>
      <c r="L449" s="8">
        <v>436</v>
      </c>
      <c r="M449" s="8">
        <v>582</v>
      </c>
      <c r="N449" s="8">
        <v>7844</v>
      </c>
      <c r="O449" s="9">
        <f t="shared" si="6"/>
        <v>5.3644344630461416E-2</v>
      </c>
      <c r="P449" s="6" t="s">
        <v>66</v>
      </c>
    </row>
    <row r="450" spans="1:16" x14ac:dyDescent="0.25">
      <c r="A450" s="2" t="s">
        <v>969</v>
      </c>
      <c r="B450" s="2" t="s">
        <v>970</v>
      </c>
      <c r="C450" s="2" t="s">
        <v>25</v>
      </c>
      <c r="D450" s="3" t="s">
        <v>26</v>
      </c>
      <c r="E450" s="3" t="s">
        <v>34</v>
      </c>
      <c r="F450" s="2" t="s">
        <v>65</v>
      </c>
      <c r="G450" s="4">
        <v>798570</v>
      </c>
      <c r="H450" s="4">
        <v>4512986</v>
      </c>
      <c r="I450" s="4">
        <v>4055154</v>
      </c>
      <c r="J450" s="4">
        <v>105913</v>
      </c>
      <c r="K450" s="4">
        <v>13211</v>
      </c>
      <c r="L450" s="4">
        <v>11940</v>
      </c>
      <c r="M450" s="4">
        <v>19283</v>
      </c>
      <c r="N450" s="4">
        <v>92937</v>
      </c>
      <c r="O450" s="5">
        <f t="shared" ref="O450:O513" si="7">IF(I450&gt;0, (J450+K450+L450+M450)/I450, 0)</f>
        <v>3.7075533999448601E-2</v>
      </c>
      <c r="P450" s="2" t="s">
        <v>22</v>
      </c>
    </row>
    <row r="451" spans="1:16" x14ac:dyDescent="0.25">
      <c r="A451" s="6" t="s">
        <v>971</v>
      </c>
      <c r="B451" s="6" t="s">
        <v>972</v>
      </c>
      <c r="C451" s="6" t="s">
        <v>18</v>
      </c>
      <c r="D451" s="7" t="s">
        <v>231</v>
      </c>
      <c r="E451" s="7" t="s">
        <v>50</v>
      </c>
      <c r="F451" s="6" t="s">
        <v>21</v>
      </c>
      <c r="G451" s="8">
        <v>295871</v>
      </c>
      <c r="H451" s="8">
        <v>126611</v>
      </c>
      <c r="I451" s="8">
        <v>108134</v>
      </c>
      <c r="J451" s="8">
        <v>5921</v>
      </c>
      <c r="K451" s="8">
        <v>359</v>
      </c>
      <c r="L451" s="8">
        <v>537</v>
      </c>
      <c r="M451" s="8">
        <v>1229</v>
      </c>
      <c r="N451" s="8">
        <v>3109</v>
      </c>
      <c r="O451" s="9">
        <f t="shared" si="7"/>
        <v>7.4407679360793094E-2</v>
      </c>
      <c r="P451" s="6" t="s">
        <v>29</v>
      </c>
    </row>
    <row r="452" spans="1:16" x14ac:dyDescent="0.25">
      <c r="A452" s="2" t="s">
        <v>973</v>
      </c>
      <c r="B452" s="2" t="s">
        <v>974</v>
      </c>
      <c r="C452" s="2" t="s">
        <v>25</v>
      </c>
      <c r="D452" s="3" t="s">
        <v>244</v>
      </c>
      <c r="E452" s="3" t="s">
        <v>34</v>
      </c>
      <c r="F452" s="2" t="s">
        <v>54</v>
      </c>
      <c r="G452" s="4">
        <v>566039</v>
      </c>
      <c r="H452" s="4">
        <v>279230</v>
      </c>
      <c r="I452" s="4">
        <v>249512</v>
      </c>
      <c r="J452" s="4">
        <v>14304</v>
      </c>
      <c r="K452" s="4">
        <v>1589</v>
      </c>
      <c r="L452" s="4">
        <v>683</v>
      </c>
      <c r="M452" s="4">
        <v>2178</v>
      </c>
      <c r="N452" s="4">
        <v>4011</v>
      </c>
      <c r="O452" s="5">
        <f t="shared" si="7"/>
        <v>7.5162717624803616E-2</v>
      </c>
      <c r="P452" s="2" t="s">
        <v>22</v>
      </c>
    </row>
    <row r="453" spans="1:16" x14ac:dyDescent="0.25">
      <c r="A453" s="6" t="s">
        <v>975</v>
      </c>
      <c r="B453" s="6" t="s">
        <v>976</v>
      </c>
      <c r="C453" s="6" t="s">
        <v>43</v>
      </c>
      <c r="D453" s="7" t="s">
        <v>172</v>
      </c>
      <c r="E453" s="7" t="s">
        <v>50</v>
      </c>
      <c r="F453" s="6" t="s">
        <v>70</v>
      </c>
      <c r="G453" s="8">
        <v>814263</v>
      </c>
      <c r="H453" s="8">
        <v>261350</v>
      </c>
      <c r="I453" s="8">
        <v>189295</v>
      </c>
      <c r="J453" s="8">
        <v>6167</v>
      </c>
      <c r="K453" s="8">
        <v>530</v>
      </c>
      <c r="L453" s="8">
        <v>626</v>
      </c>
      <c r="M453" s="8">
        <v>22</v>
      </c>
      <c r="N453" s="8">
        <v>2277</v>
      </c>
      <c r="O453" s="9">
        <f t="shared" si="7"/>
        <v>3.880187009693864E-2</v>
      </c>
      <c r="P453" s="6" t="s">
        <v>29</v>
      </c>
    </row>
    <row r="454" spans="1:16" x14ac:dyDescent="0.25">
      <c r="A454" s="2" t="s">
        <v>977</v>
      </c>
      <c r="B454" s="2" t="s">
        <v>978</v>
      </c>
      <c r="C454" s="2" t="s">
        <v>76</v>
      </c>
      <c r="D454" s="3" t="s">
        <v>182</v>
      </c>
      <c r="E454" s="3" t="s">
        <v>50</v>
      </c>
      <c r="F454" s="2" t="s">
        <v>155</v>
      </c>
      <c r="G454" s="4">
        <v>847010</v>
      </c>
      <c r="H454" s="4">
        <v>348551</v>
      </c>
      <c r="I454" s="4">
        <v>312564</v>
      </c>
      <c r="J454" s="4">
        <v>20099</v>
      </c>
      <c r="K454" s="4">
        <v>2210</v>
      </c>
      <c r="L454" s="4">
        <v>1958</v>
      </c>
      <c r="M454" s="4">
        <v>2413</v>
      </c>
      <c r="N454" s="4">
        <v>4718</v>
      </c>
      <c r="O454" s="5">
        <f t="shared" si="7"/>
        <v>8.5358518575395753E-2</v>
      </c>
      <c r="P454" s="2" t="s">
        <v>29</v>
      </c>
    </row>
    <row r="455" spans="1:16" x14ac:dyDescent="0.25">
      <c r="A455" s="6" t="s">
        <v>979</v>
      </c>
      <c r="B455" s="6" t="s">
        <v>980</v>
      </c>
      <c r="C455" s="6" t="s">
        <v>32</v>
      </c>
      <c r="D455" s="7" t="s">
        <v>33</v>
      </c>
      <c r="E455" s="7" t="s">
        <v>45</v>
      </c>
      <c r="F455" s="6" t="s">
        <v>51</v>
      </c>
      <c r="G455" s="8">
        <v>112838</v>
      </c>
      <c r="H455" s="8">
        <v>46483</v>
      </c>
      <c r="I455" s="8">
        <v>40499</v>
      </c>
      <c r="J455" s="8">
        <v>2196</v>
      </c>
      <c r="K455" s="8">
        <v>114</v>
      </c>
      <c r="L455" s="8">
        <v>165</v>
      </c>
      <c r="M455" s="8">
        <v>26</v>
      </c>
      <c r="N455" s="8">
        <v>346</v>
      </c>
      <c r="O455" s="9">
        <f t="shared" si="7"/>
        <v>6.1754611224968517E-2</v>
      </c>
      <c r="P455" s="6" t="s">
        <v>22</v>
      </c>
    </row>
    <row r="456" spans="1:16" x14ac:dyDescent="0.25">
      <c r="A456" s="2" t="s">
        <v>981</v>
      </c>
      <c r="B456" s="2" t="s">
        <v>982</v>
      </c>
      <c r="C456" s="2" t="s">
        <v>32</v>
      </c>
      <c r="D456" s="3" t="s">
        <v>175</v>
      </c>
      <c r="E456" s="3" t="s">
        <v>50</v>
      </c>
      <c r="F456" s="2" t="s">
        <v>35</v>
      </c>
      <c r="G456" s="4">
        <v>619313</v>
      </c>
      <c r="H456" s="4">
        <v>324476</v>
      </c>
      <c r="I456" s="4">
        <v>268843</v>
      </c>
      <c r="J456" s="4">
        <v>18880</v>
      </c>
      <c r="K456" s="4">
        <v>3388</v>
      </c>
      <c r="L456" s="4">
        <v>2068</v>
      </c>
      <c r="M456" s="4">
        <v>31</v>
      </c>
      <c r="N456" s="4">
        <v>8745</v>
      </c>
      <c r="O456" s="5">
        <f t="shared" si="7"/>
        <v>9.0636542517380028E-2</v>
      </c>
      <c r="P456" s="2" t="s">
        <v>22</v>
      </c>
    </row>
    <row r="457" spans="1:16" x14ac:dyDescent="0.25">
      <c r="A457" s="6" t="s">
        <v>983</v>
      </c>
      <c r="B457" s="6" t="s">
        <v>984</v>
      </c>
      <c r="C457" s="6" t="s">
        <v>32</v>
      </c>
      <c r="D457" s="7" t="s">
        <v>121</v>
      </c>
      <c r="E457" s="7" t="s">
        <v>20</v>
      </c>
      <c r="F457" s="6" t="s">
        <v>128</v>
      </c>
      <c r="G457" s="8">
        <v>730705</v>
      </c>
      <c r="H457" s="8">
        <v>255609</v>
      </c>
      <c r="I457" s="8">
        <v>187746</v>
      </c>
      <c r="J457" s="8">
        <v>13685</v>
      </c>
      <c r="K457" s="8">
        <v>2302</v>
      </c>
      <c r="L457" s="8">
        <v>484</v>
      </c>
      <c r="M457" s="8">
        <v>26</v>
      </c>
      <c r="N457" s="8">
        <v>2124</v>
      </c>
      <c r="O457" s="9">
        <f t="shared" si="7"/>
        <v>8.7868716244287493E-2</v>
      </c>
      <c r="P457" s="6" t="s">
        <v>22</v>
      </c>
    </row>
    <row r="458" spans="1:16" x14ac:dyDescent="0.25">
      <c r="A458" s="2" t="s">
        <v>985</v>
      </c>
      <c r="B458" s="2" t="s">
        <v>986</v>
      </c>
      <c r="C458" s="2" t="s">
        <v>76</v>
      </c>
      <c r="D458" s="3" t="s">
        <v>103</v>
      </c>
      <c r="E458" s="3" t="s">
        <v>50</v>
      </c>
      <c r="F458" s="2" t="s">
        <v>78</v>
      </c>
      <c r="G458" s="4">
        <v>320491</v>
      </c>
      <c r="H458" s="4">
        <v>30750</v>
      </c>
      <c r="I458" s="4">
        <v>22486</v>
      </c>
      <c r="J458" s="4">
        <v>1702</v>
      </c>
      <c r="K458" s="4">
        <v>63</v>
      </c>
      <c r="L458" s="4">
        <v>231</v>
      </c>
      <c r="M458" s="4">
        <v>387</v>
      </c>
      <c r="N458" s="4">
        <v>352</v>
      </c>
      <c r="O458" s="5">
        <f t="shared" si="7"/>
        <v>0.10597705238815262</v>
      </c>
      <c r="P458" s="2" t="s">
        <v>29</v>
      </c>
    </row>
    <row r="459" spans="1:16" x14ac:dyDescent="0.25">
      <c r="A459" s="6" t="s">
        <v>987</v>
      </c>
      <c r="B459" s="6" t="s">
        <v>988</v>
      </c>
      <c r="C459" s="6" t="s">
        <v>18</v>
      </c>
      <c r="D459" s="7" t="s">
        <v>226</v>
      </c>
      <c r="E459" s="7" t="s">
        <v>34</v>
      </c>
      <c r="F459" s="6" t="s">
        <v>58</v>
      </c>
      <c r="G459" s="8">
        <v>507050</v>
      </c>
      <c r="H459" s="8">
        <v>204080</v>
      </c>
      <c r="I459" s="8">
        <v>177936</v>
      </c>
      <c r="J459" s="8">
        <v>9900</v>
      </c>
      <c r="K459" s="8">
        <v>1366</v>
      </c>
      <c r="L459" s="8">
        <v>977</v>
      </c>
      <c r="M459" s="8">
        <v>2003</v>
      </c>
      <c r="N459" s="8">
        <v>4110</v>
      </c>
      <c r="O459" s="9">
        <f t="shared" si="7"/>
        <v>8.0062494380001792E-2</v>
      </c>
      <c r="P459" s="6" t="s">
        <v>22</v>
      </c>
    </row>
    <row r="460" spans="1:16" x14ac:dyDescent="0.25">
      <c r="A460" s="2" t="s">
        <v>989</v>
      </c>
      <c r="B460" s="2" t="s">
        <v>990</v>
      </c>
      <c r="C460" s="2" t="s">
        <v>18</v>
      </c>
      <c r="D460" s="3" t="s">
        <v>226</v>
      </c>
      <c r="E460" s="3" t="s">
        <v>27</v>
      </c>
      <c r="F460" s="2" t="s">
        <v>73</v>
      </c>
      <c r="G460" s="4">
        <v>656380</v>
      </c>
      <c r="H460" s="4">
        <v>139617</v>
      </c>
      <c r="I460" s="4">
        <v>108144</v>
      </c>
      <c r="J460" s="4">
        <v>3176</v>
      </c>
      <c r="K460" s="4">
        <v>414</v>
      </c>
      <c r="L460" s="4">
        <v>246</v>
      </c>
      <c r="M460" s="4">
        <v>334</v>
      </c>
      <c r="N460" s="4">
        <v>1068</v>
      </c>
      <c r="O460" s="5">
        <f t="shared" si="7"/>
        <v>3.8559698180204174E-2</v>
      </c>
      <c r="P460" s="2" t="s">
        <v>22</v>
      </c>
    </row>
    <row r="461" spans="1:16" x14ac:dyDescent="0.25">
      <c r="A461" s="6" t="s">
        <v>991</v>
      </c>
      <c r="B461" s="6" t="s">
        <v>992</v>
      </c>
      <c r="C461" s="6" t="s">
        <v>18</v>
      </c>
      <c r="D461" s="7" t="s">
        <v>92</v>
      </c>
      <c r="E461" s="7" t="s">
        <v>45</v>
      </c>
      <c r="F461" s="6" t="s">
        <v>21</v>
      </c>
      <c r="G461" s="8">
        <v>677692</v>
      </c>
      <c r="H461" s="8">
        <v>128546</v>
      </c>
      <c r="I461" s="8">
        <v>105305</v>
      </c>
      <c r="J461" s="8">
        <v>8414</v>
      </c>
      <c r="K461" s="8">
        <v>1460</v>
      </c>
      <c r="L461" s="8">
        <v>738</v>
      </c>
      <c r="M461" s="8">
        <v>1683</v>
      </c>
      <c r="N461" s="8">
        <v>2581</v>
      </c>
      <c r="O461" s="9">
        <f t="shared" si="7"/>
        <v>0.11675608945444185</v>
      </c>
      <c r="P461" s="6" t="s">
        <v>22</v>
      </c>
    </row>
    <row r="462" spans="1:16" x14ac:dyDescent="0.25">
      <c r="A462" s="2" t="s">
        <v>993</v>
      </c>
      <c r="B462" s="2" t="s">
        <v>994</v>
      </c>
      <c r="C462" s="2" t="s">
        <v>18</v>
      </c>
      <c r="D462" s="3" t="s">
        <v>19</v>
      </c>
      <c r="E462" s="3" t="s">
        <v>20</v>
      </c>
      <c r="F462" s="2" t="s">
        <v>73</v>
      </c>
      <c r="G462" s="4">
        <v>610205</v>
      </c>
      <c r="H462" s="4">
        <v>329477</v>
      </c>
      <c r="I462" s="4">
        <v>253860</v>
      </c>
      <c r="J462" s="4">
        <v>18231</v>
      </c>
      <c r="K462" s="4">
        <v>1890</v>
      </c>
      <c r="L462" s="4">
        <v>2577</v>
      </c>
      <c r="M462" s="4">
        <v>2151</v>
      </c>
      <c r="N462" s="4">
        <v>3431</v>
      </c>
      <c r="O462" s="5">
        <f t="shared" si="7"/>
        <v>9.7884660836681639E-2</v>
      </c>
      <c r="P462" s="2" t="s">
        <v>22</v>
      </c>
    </row>
    <row r="463" spans="1:16" x14ac:dyDescent="0.25">
      <c r="A463" s="6" t="s">
        <v>995</v>
      </c>
      <c r="B463" s="6" t="s">
        <v>996</v>
      </c>
      <c r="C463" s="6" t="s">
        <v>76</v>
      </c>
      <c r="D463" s="7" t="s">
        <v>77</v>
      </c>
      <c r="E463" s="7" t="s">
        <v>34</v>
      </c>
      <c r="F463" s="6" t="s">
        <v>155</v>
      </c>
      <c r="G463" s="8">
        <v>301712</v>
      </c>
      <c r="H463" s="8">
        <v>68086</v>
      </c>
      <c r="I463" s="8">
        <v>49970</v>
      </c>
      <c r="J463" s="8">
        <v>5251</v>
      </c>
      <c r="K463" s="8">
        <v>692</v>
      </c>
      <c r="L463" s="8">
        <v>145</v>
      </c>
      <c r="M463" s="8">
        <v>1271</v>
      </c>
      <c r="N463" s="8">
        <v>711</v>
      </c>
      <c r="O463" s="9">
        <f t="shared" si="7"/>
        <v>0.14726836101660998</v>
      </c>
      <c r="P463" s="6" t="s">
        <v>29</v>
      </c>
    </row>
    <row r="464" spans="1:16" x14ac:dyDescent="0.25">
      <c r="A464" s="2" t="s">
        <v>997</v>
      </c>
      <c r="B464" s="2" t="s">
        <v>998</v>
      </c>
      <c r="C464" s="2" t="s">
        <v>25</v>
      </c>
      <c r="D464" s="3" t="s">
        <v>26</v>
      </c>
      <c r="E464" s="3" t="s">
        <v>50</v>
      </c>
      <c r="F464" s="2" t="s">
        <v>28</v>
      </c>
      <c r="G464" s="4">
        <v>396254</v>
      </c>
      <c r="H464" s="4">
        <v>234866</v>
      </c>
      <c r="I464" s="4">
        <v>174872</v>
      </c>
      <c r="J464" s="4">
        <v>15296</v>
      </c>
      <c r="K464" s="4">
        <v>1803</v>
      </c>
      <c r="L464" s="4">
        <v>1286</v>
      </c>
      <c r="M464" s="4">
        <v>3066</v>
      </c>
      <c r="N464" s="4">
        <v>3887</v>
      </c>
      <c r="O464" s="5">
        <f t="shared" si="7"/>
        <v>0.12266686490690333</v>
      </c>
      <c r="P464" s="2" t="s">
        <v>22</v>
      </c>
    </row>
    <row r="465" spans="1:16" x14ac:dyDescent="0.25">
      <c r="A465" s="6" t="s">
        <v>999</v>
      </c>
      <c r="B465" s="6" t="s">
        <v>1000</v>
      </c>
      <c r="C465" s="6" t="s">
        <v>32</v>
      </c>
      <c r="D465" s="7" t="s">
        <v>175</v>
      </c>
      <c r="E465" s="7" t="s">
        <v>39</v>
      </c>
      <c r="F465" s="6" t="s">
        <v>128</v>
      </c>
      <c r="G465" s="8">
        <v>429788</v>
      </c>
      <c r="H465" s="8">
        <v>258229</v>
      </c>
      <c r="I465" s="8">
        <v>196051</v>
      </c>
      <c r="J465" s="8">
        <v>20092</v>
      </c>
      <c r="K465" s="8">
        <v>2637</v>
      </c>
      <c r="L465" s="8">
        <v>1045</v>
      </c>
      <c r="M465" s="8">
        <v>35</v>
      </c>
      <c r="N465" s="8">
        <v>6338</v>
      </c>
      <c r="O465" s="9">
        <f t="shared" si="7"/>
        <v>0.12144288986029146</v>
      </c>
      <c r="P465" s="6" t="s">
        <v>22</v>
      </c>
    </row>
    <row r="466" spans="1:16" x14ac:dyDescent="0.25">
      <c r="A466" s="2" t="s">
        <v>1001</v>
      </c>
      <c r="B466" s="2" t="s">
        <v>1002</v>
      </c>
      <c r="C466" s="2" t="s">
        <v>43</v>
      </c>
      <c r="D466" s="3" t="s">
        <v>44</v>
      </c>
      <c r="E466" s="3" t="s">
        <v>20</v>
      </c>
      <c r="F466" s="2" t="s">
        <v>46</v>
      </c>
      <c r="G466" s="4">
        <v>569192</v>
      </c>
      <c r="H466" s="4">
        <v>299254</v>
      </c>
      <c r="I466" s="4">
        <v>272193</v>
      </c>
      <c r="J466" s="4">
        <v>23246</v>
      </c>
      <c r="K466" s="4">
        <v>2633</v>
      </c>
      <c r="L466" s="4">
        <v>591</v>
      </c>
      <c r="M466" s="4">
        <v>29</v>
      </c>
      <c r="N466" s="4">
        <v>10124</v>
      </c>
      <c r="O466" s="5">
        <f t="shared" si="7"/>
        <v>9.7353715929505896E-2</v>
      </c>
      <c r="P466" s="2" t="s">
        <v>29</v>
      </c>
    </row>
    <row r="467" spans="1:16" x14ac:dyDescent="0.25">
      <c r="A467" s="6" t="s">
        <v>1003</v>
      </c>
      <c r="B467" s="6" t="s">
        <v>1004</v>
      </c>
      <c r="C467" s="6" t="s">
        <v>32</v>
      </c>
      <c r="D467" s="7" t="s">
        <v>38</v>
      </c>
      <c r="E467" s="7" t="s">
        <v>27</v>
      </c>
      <c r="F467" s="6" t="s">
        <v>40</v>
      </c>
      <c r="G467" s="8">
        <v>715529</v>
      </c>
      <c r="H467" s="8">
        <v>200568</v>
      </c>
      <c r="I467" s="8">
        <v>149785</v>
      </c>
      <c r="J467" s="8">
        <v>14128</v>
      </c>
      <c r="K467" s="8">
        <v>1019</v>
      </c>
      <c r="L467" s="8">
        <v>579</v>
      </c>
      <c r="M467" s="8">
        <v>34</v>
      </c>
      <c r="N467" s="8">
        <v>4390</v>
      </c>
      <c r="O467" s="9">
        <f t="shared" si="7"/>
        <v>0.10521747838568615</v>
      </c>
      <c r="P467" s="6" t="s">
        <v>22</v>
      </c>
    </row>
    <row r="468" spans="1:16" x14ac:dyDescent="0.25">
      <c r="A468" s="2" t="s">
        <v>1005</v>
      </c>
      <c r="B468" s="2" t="s">
        <v>1006</v>
      </c>
      <c r="C468" s="2" t="s">
        <v>25</v>
      </c>
      <c r="D468" s="3" t="s">
        <v>61</v>
      </c>
      <c r="E468" s="3" t="s">
        <v>50</v>
      </c>
      <c r="F468" s="2" t="s">
        <v>65</v>
      </c>
      <c r="G468" s="4">
        <v>223592</v>
      </c>
      <c r="H468" s="4">
        <v>139907</v>
      </c>
      <c r="I468" s="4">
        <v>125141</v>
      </c>
      <c r="J468" s="4">
        <v>10734</v>
      </c>
      <c r="K468" s="4">
        <v>1344</v>
      </c>
      <c r="L468" s="4">
        <v>1581</v>
      </c>
      <c r="M468" s="4">
        <v>2056</v>
      </c>
      <c r="N468" s="4">
        <v>1845</v>
      </c>
      <c r="O468" s="5">
        <f t="shared" si="7"/>
        <v>0.12557834762388026</v>
      </c>
      <c r="P468" s="2" t="s">
        <v>29</v>
      </c>
    </row>
    <row r="469" spans="1:16" x14ac:dyDescent="0.25">
      <c r="A469" s="6" t="s">
        <v>1007</v>
      </c>
      <c r="B469" s="6" t="s">
        <v>1008</v>
      </c>
      <c r="C469" s="6" t="s">
        <v>43</v>
      </c>
      <c r="D469" s="7" t="s">
        <v>110</v>
      </c>
      <c r="E469" s="7" t="s">
        <v>34</v>
      </c>
      <c r="F469" s="6" t="s">
        <v>107</v>
      </c>
      <c r="G469" s="8">
        <v>142721</v>
      </c>
      <c r="H469" s="8">
        <v>11584</v>
      </c>
      <c r="I469" s="8">
        <v>8119</v>
      </c>
      <c r="J469" s="8">
        <v>238</v>
      </c>
      <c r="K469" s="8">
        <v>13</v>
      </c>
      <c r="L469" s="8">
        <v>21</v>
      </c>
      <c r="M469" s="8">
        <v>44</v>
      </c>
      <c r="N469" s="8">
        <v>302</v>
      </c>
      <c r="O469" s="9">
        <f t="shared" si="7"/>
        <v>3.8921049390319006E-2</v>
      </c>
      <c r="P469" s="6" t="s">
        <v>29</v>
      </c>
    </row>
    <row r="470" spans="1:16" x14ac:dyDescent="0.25">
      <c r="A470" s="2" t="s">
        <v>1009</v>
      </c>
      <c r="B470" s="2" t="s">
        <v>1010</v>
      </c>
      <c r="C470" s="2" t="s">
        <v>76</v>
      </c>
      <c r="D470" s="3" t="s">
        <v>189</v>
      </c>
      <c r="E470" s="3" t="s">
        <v>34</v>
      </c>
      <c r="F470" s="2" t="s">
        <v>104</v>
      </c>
      <c r="G470" s="4">
        <v>707400</v>
      </c>
      <c r="H470" s="4">
        <v>448535</v>
      </c>
      <c r="I470" s="4">
        <v>395627</v>
      </c>
      <c r="J470" s="4">
        <v>18604</v>
      </c>
      <c r="K470" s="4">
        <v>1052</v>
      </c>
      <c r="L470" s="4">
        <v>2229</v>
      </c>
      <c r="M470" s="4">
        <v>3523</v>
      </c>
      <c r="N470" s="4">
        <v>2356</v>
      </c>
      <c r="O470" s="5">
        <f t="shared" si="7"/>
        <v>6.4222108197873246E-2</v>
      </c>
      <c r="P470" s="2" t="s">
        <v>22</v>
      </c>
    </row>
    <row r="471" spans="1:16" x14ac:dyDescent="0.25">
      <c r="A471" s="6" t="s">
        <v>1011</v>
      </c>
      <c r="B471" s="6" t="s">
        <v>1012</v>
      </c>
      <c r="C471" s="6" t="s">
        <v>76</v>
      </c>
      <c r="D471" s="7" t="s">
        <v>103</v>
      </c>
      <c r="E471" s="7" t="s">
        <v>45</v>
      </c>
      <c r="F471" s="6" t="s">
        <v>78</v>
      </c>
      <c r="G471" s="8">
        <v>203314</v>
      </c>
      <c r="H471" s="8">
        <v>87356</v>
      </c>
      <c r="I471" s="8">
        <v>76685</v>
      </c>
      <c r="J471" s="8">
        <v>2906</v>
      </c>
      <c r="K471" s="8">
        <v>514</v>
      </c>
      <c r="L471" s="8">
        <v>423</v>
      </c>
      <c r="M471" s="8">
        <v>166</v>
      </c>
      <c r="N471" s="8">
        <v>1728</v>
      </c>
      <c r="O471" s="9">
        <f t="shared" si="7"/>
        <v>5.2278802894959904E-2</v>
      </c>
      <c r="P471" s="6" t="s">
        <v>29</v>
      </c>
    </row>
    <row r="472" spans="1:16" x14ac:dyDescent="0.25">
      <c r="A472" s="2" t="s">
        <v>1013</v>
      </c>
      <c r="B472" s="2" t="s">
        <v>1014</v>
      </c>
      <c r="C472" s="2" t="s">
        <v>32</v>
      </c>
      <c r="D472" s="3" t="s">
        <v>175</v>
      </c>
      <c r="E472" s="3" t="s">
        <v>50</v>
      </c>
      <c r="F472" s="2" t="s">
        <v>35</v>
      </c>
      <c r="G472" s="4">
        <v>181258</v>
      </c>
      <c r="H472" s="4">
        <v>82673</v>
      </c>
      <c r="I472" s="4">
        <v>70096</v>
      </c>
      <c r="J472" s="4">
        <v>4644</v>
      </c>
      <c r="K472" s="4">
        <v>261</v>
      </c>
      <c r="L472" s="4">
        <v>447</v>
      </c>
      <c r="M472" s="4">
        <v>47</v>
      </c>
      <c r="N472" s="4">
        <v>574</v>
      </c>
      <c r="O472" s="5">
        <f t="shared" si="7"/>
        <v>7.7022939968043824E-2</v>
      </c>
      <c r="P472" s="2" t="s">
        <v>22</v>
      </c>
    </row>
    <row r="473" spans="1:16" x14ac:dyDescent="0.25">
      <c r="A473" s="6" t="s">
        <v>1015</v>
      </c>
      <c r="B473" s="6" t="s">
        <v>1016</v>
      </c>
      <c r="C473" s="6" t="s">
        <v>18</v>
      </c>
      <c r="D473" s="7" t="s">
        <v>19</v>
      </c>
      <c r="E473" s="7" t="s">
        <v>45</v>
      </c>
      <c r="F473" s="6" t="s">
        <v>21</v>
      </c>
      <c r="G473" s="8">
        <v>729148</v>
      </c>
      <c r="H473" s="8">
        <v>313708</v>
      </c>
      <c r="I473" s="8">
        <v>258252</v>
      </c>
      <c r="J473" s="8">
        <v>14818</v>
      </c>
      <c r="K473" s="8">
        <v>2529</v>
      </c>
      <c r="L473" s="8">
        <v>1531</v>
      </c>
      <c r="M473" s="8">
        <v>3535</v>
      </c>
      <c r="N473" s="8">
        <v>2056</v>
      </c>
      <c r="O473" s="9">
        <f t="shared" si="7"/>
        <v>8.6787324009107381E-2</v>
      </c>
      <c r="P473" s="6" t="s">
        <v>66</v>
      </c>
    </row>
    <row r="474" spans="1:16" x14ac:dyDescent="0.25">
      <c r="A474" s="2" t="s">
        <v>1017</v>
      </c>
      <c r="B474" s="2" t="s">
        <v>1018</v>
      </c>
      <c r="C474" s="2" t="s">
        <v>43</v>
      </c>
      <c r="D474" s="3" t="s">
        <v>69</v>
      </c>
      <c r="E474" s="3" t="s">
        <v>39</v>
      </c>
      <c r="F474" s="2" t="s">
        <v>46</v>
      </c>
      <c r="G474" s="4">
        <v>544883</v>
      </c>
      <c r="H474" s="4">
        <v>318084</v>
      </c>
      <c r="I474" s="4">
        <v>225945</v>
      </c>
      <c r="J474" s="4">
        <v>23889</v>
      </c>
      <c r="K474" s="4">
        <v>2624</v>
      </c>
      <c r="L474" s="4">
        <v>1459</v>
      </c>
      <c r="M474" s="4">
        <v>25</v>
      </c>
      <c r="N474" s="4">
        <v>3447</v>
      </c>
      <c r="O474" s="5">
        <f t="shared" si="7"/>
        <v>0.12391068622894952</v>
      </c>
      <c r="P474" s="2" t="s">
        <v>22</v>
      </c>
    </row>
    <row r="475" spans="1:16" x14ac:dyDescent="0.25">
      <c r="A475" s="6" t="s">
        <v>1019</v>
      </c>
      <c r="B475" s="6" t="s">
        <v>1020</v>
      </c>
      <c r="C475" s="6" t="s">
        <v>32</v>
      </c>
      <c r="D475" s="7" t="s">
        <v>175</v>
      </c>
      <c r="E475" s="7" t="s">
        <v>20</v>
      </c>
      <c r="F475" s="6" t="s">
        <v>51</v>
      </c>
      <c r="G475" s="8">
        <v>174971</v>
      </c>
      <c r="H475" s="8">
        <v>20265</v>
      </c>
      <c r="I475" s="8">
        <v>14616</v>
      </c>
      <c r="J475" s="8">
        <v>988</v>
      </c>
      <c r="K475" s="8">
        <v>149</v>
      </c>
      <c r="L475" s="8">
        <v>95</v>
      </c>
      <c r="M475" s="8">
        <v>40</v>
      </c>
      <c r="N475" s="8">
        <v>669</v>
      </c>
      <c r="O475" s="9">
        <f t="shared" si="7"/>
        <v>8.7027914614121515E-2</v>
      </c>
      <c r="P475" s="6" t="s">
        <v>29</v>
      </c>
    </row>
    <row r="476" spans="1:16" x14ac:dyDescent="0.25">
      <c r="A476" s="2" t="s">
        <v>1021</v>
      </c>
      <c r="B476" s="2" t="s">
        <v>1022</v>
      </c>
      <c r="C476" s="2" t="s">
        <v>18</v>
      </c>
      <c r="D476" s="3" t="s">
        <v>226</v>
      </c>
      <c r="E476" s="3" t="s">
        <v>50</v>
      </c>
      <c r="F476" s="2" t="s">
        <v>73</v>
      </c>
      <c r="G476" s="4">
        <v>835185</v>
      </c>
      <c r="H476" s="4">
        <v>101524</v>
      </c>
      <c r="I476" s="4">
        <v>84904</v>
      </c>
      <c r="J476" s="4">
        <v>6684</v>
      </c>
      <c r="K476" s="4">
        <v>827</v>
      </c>
      <c r="L476" s="4">
        <v>636</v>
      </c>
      <c r="M476" s="4">
        <v>448</v>
      </c>
      <c r="N476" s="4">
        <v>692</v>
      </c>
      <c r="O476" s="5">
        <f t="shared" si="7"/>
        <v>0.101231979647602</v>
      </c>
      <c r="P476" s="2" t="s">
        <v>22</v>
      </c>
    </row>
    <row r="477" spans="1:16" x14ac:dyDescent="0.25">
      <c r="A477" s="6" t="s">
        <v>1023</v>
      </c>
      <c r="B477" s="6" t="s">
        <v>1024</v>
      </c>
      <c r="C477" s="6" t="s">
        <v>25</v>
      </c>
      <c r="D477" s="7" t="s">
        <v>145</v>
      </c>
      <c r="E477" s="7" t="s">
        <v>39</v>
      </c>
      <c r="F477" s="6" t="s">
        <v>54</v>
      </c>
      <c r="G477" s="8">
        <v>318615</v>
      </c>
      <c r="H477" s="8">
        <v>103915</v>
      </c>
      <c r="I477" s="8">
        <v>88230</v>
      </c>
      <c r="J477" s="8">
        <v>5565</v>
      </c>
      <c r="K477" s="8">
        <v>413</v>
      </c>
      <c r="L477" s="8">
        <v>387</v>
      </c>
      <c r="M477" s="8">
        <v>384</v>
      </c>
      <c r="N477" s="8">
        <v>2863</v>
      </c>
      <c r="O477" s="9">
        <f t="shared" si="7"/>
        <v>7.6493256262042383E-2</v>
      </c>
      <c r="P477" s="6" t="s">
        <v>22</v>
      </c>
    </row>
    <row r="478" spans="1:16" x14ac:dyDescent="0.25">
      <c r="A478" s="2" t="s">
        <v>1025</v>
      </c>
      <c r="B478" s="2" t="s">
        <v>1026</v>
      </c>
      <c r="C478" s="2" t="s">
        <v>32</v>
      </c>
      <c r="D478" s="3" t="s">
        <v>121</v>
      </c>
      <c r="E478" s="3" t="s">
        <v>39</v>
      </c>
      <c r="F478" s="2" t="s">
        <v>35</v>
      </c>
      <c r="G478" s="4">
        <v>652838</v>
      </c>
      <c r="H478" s="4">
        <v>178604</v>
      </c>
      <c r="I478" s="4">
        <v>155786</v>
      </c>
      <c r="J478" s="4">
        <v>8438</v>
      </c>
      <c r="K478" s="4">
        <v>668</v>
      </c>
      <c r="L478" s="4">
        <v>379</v>
      </c>
      <c r="M478" s="4">
        <v>6</v>
      </c>
      <c r="N478" s="4">
        <v>958</v>
      </c>
      <c r="O478" s="5">
        <f t="shared" si="7"/>
        <v>6.0923317884790676E-2</v>
      </c>
      <c r="P478" s="2" t="s">
        <v>29</v>
      </c>
    </row>
    <row r="479" spans="1:16" x14ac:dyDescent="0.25">
      <c r="A479" s="6" t="s">
        <v>1027</v>
      </c>
      <c r="B479" s="6" t="s">
        <v>1028</v>
      </c>
      <c r="C479" s="6" t="s">
        <v>25</v>
      </c>
      <c r="D479" s="7" t="s">
        <v>61</v>
      </c>
      <c r="E479" s="7" t="s">
        <v>50</v>
      </c>
      <c r="F479" s="6" t="s">
        <v>28</v>
      </c>
      <c r="G479" s="8">
        <v>443957</v>
      </c>
      <c r="H479" s="8">
        <v>192626</v>
      </c>
      <c r="I479" s="8">
        <v>145142</v>
      </c>
      <c r="J479" s="8">
        <v>13064</v>
      </c>
      <c r="K479" s="8">
        <v>510</v>
      </c>
      <c r="L479" s="8">
        <v>790</v>
      </c>
      <c r="M479" s="8">
        <v>1791</v>
      </c>
      <c r="N479" s="8">
        <v>6509</v>
      </c>
      <c r="O479" s="9">
        <f t="shared" si="7"/>
        <v>0.11130479117002659</v>
      </c>
      <c r="P479" s="6" t="s">
        <v>29</v>
      </c>
    </row>
    <row r="480" spans="1:16" x14ac:dyDescent="0.25">
      <c r="A480" s="2" t="s">
        <v>1029</v>
      </c>
      <c r="B480" s="2" t="s">
        <v>1030</v>
      </c>
      <c r="C480" s="2" t="s">
        <v>25</v>
      </c>
      <c r="D480" s="3" t="s">
        <v>64</v>
      </c>
      <c r="E480" s="3" t="s">
        <v>39</v>
      </c>
      <c r="F480" s="2" t="s">
        <v>28</v>
      </c>
      <c r="G480" s="4">
        <v>635136</v>
      </c>
      <c r="H480" s="4">
        <v>184337</v>
      </c>
      <c r="I480" s="4">
        <v>150029</v>
      </c>
      <c r="J480" s="4">
        <v>10960</v>
      </c>
      <c r="K480" s="4">
        <v>566</v>
      </c>
      <c r="L480" s="4">
        <v>557</v>
      </c>
      <c r="M480" s="4">
        <v>2343</v>
      </c>
      <c r="N480" s="4">
        <v>4015</v>
      </c>
      <c r="O480" s="5">
        <f t="shared" si="7"/>
        <v>9.615474341627285E-2</v>
      </c>
      <c r="P480" s="2" t="s">
        <v>22</v>
      </c>
    </row>
    <row r="481" spans="1:16" x14ac:dyDescent="0.25">
      <c r="A481" s="6" t="s">
        <v>1031</v>
      </c>
      <c r="B481" s="6" t="s">
        <v>1032</v>
      </c>
      <c r="C481" s="6" t="s">
        <v>25</v>
      </c>
      <c r="D481" s="7" t="s">
        <v>145</v>
      </c>
      <c r="E481" s="7" t="s">
        <v>50</v>
      </c>
      <c r="F481" s="6" t="s">
        <v>146</v>
      </c>
      <c r="G481" s="8">
        <v>702802</v>
      </c>
      <c r="H481" s="8">
        <v>333373</v>
      </c>
      <c r="I481" s="8">
        <v>277348</v>
      </c>
      <c r="J481" s="8">
        <v>13291</v>
      </c>
      <c r="K481" s="8">
        <v>1551</v>
      </c>
      <c r="L481" s="8">
        <v>1929</v>
      </c>
      <c r="M481" s="8">
        <v>2302</v>
      </c>
      <c r="N481" s="8">
        <v>5854</v>
      </c>
      <c r="O481" s="9">
        <f t="shared" si="7"/>
        <v>6.8769199705784795E-2</v>
      </c>
      <c r="P481" s="6" t="s">
        <v>22</v>
      </c>
    </row>
    <row r="482" spans="1:16" x14ac:dyDescent="0.25">
      <c r="A482" s="2" t="s">
        <v>1033</v>
      </c>
      <c r="B482" s="2" t="s">
        <v>1034</v>
      </c>
      <c r="C482" s="2" t="s">
        <v>76</v>
      </c>
      <c r="D482" s="3" t="s">
        <v>86</v>
      </c>
      <c r="E482" s="3" t="s">
        <v>45</v>
      </c>
      <c r="F482" s="2" t="s">
        <v>155</v>
      </c>
      <c r="G482" s="4">
        <v>491699</v>
      </c>
      <c r="H482" s="4">
        <v>106325</v>
      </c>
      <c r="I482" s="4">
        <v>92400</v>
      </c>
      <c r="J482" s="4">
        <v>7323</v>
      </c>
      <c r="K482" s="4">
        <v>1106</v>
      </c>
      <c r="L482" s="4">
        <v>504</v>
      </c>
      <c r="M482" s="4">
        <v>952</v>
      </c>
      <c r="N482" s="4">
        <v>3166</v>
      </c>
      <c r="O482" s="5">
        <f t="shared" si="7"/>
        <v>0.10698051948051948</v>
      </c>
      <c r="P482" s="2" t="s">
        <v>22</v>
      </c>
    </row>
    <row r="483" spans="1:16" x14ac:dyDescent="0.25">
      <c r="A483" s="6" t="s">
        <v>1035</v>
      </c>
      <c r="B483" s="6" t="s">
        <v>1036</v>
      </c>
      <c r="C483" s="6" t="s">
        <v>43</v>
      </c>
      <c r="D483" s="7" t="s">
        <v>81</v>
      </c>
      <c r="E483" s="7" t="s">
        <v>20</v>
      </c>
      <c r="F483" s="6" t="s">
        <v>46</v>
      </c>
      <c r="G483" s="8">
        <v>464301</v>
      </c>
      <c r="H483" s="8">
        <v>192146</v>
      </c>
      <c r="I483" s="8">
        <v>149716</v>
      </c>
      <c r="J483" s="8">
        <v>15087</v>
      </c>
      <c r="K483" s="8">
        <v>903</v>
      </c>
      <c r="L483" s="8">
        <v>858</v>
      </c>
      <c r="M483" s="8">
        <v>14</v>
      </c>
      <c r="N483" s="8">
        <v>6064</v>
      </c>
      <c r="O483" s="9">
        <f t="shared" si="7"/>
        <v>0.11262657297817201</v>
      </c>
      <c r="P483" s="6" t="s">
        <v>29</v>
      </c>
    </row>
    <row r="484" spans="1:16" x14ac:dyDescent="0.25">
      <c r="A484" s="2" t="s">
        <v>1037</v>
      </c>
      <c r="B484" s="2" t="s">
        <v>1038</v>
      </c>
      <c r="C484" s="2" t="s">
        <v>25</v>
      </c>
      <c r="D484" s="3" t="s">
        <v>145</v>
      </c>
      <c r="E484" s="3" t="s">
        <v>20</v>
      </c>
      <c r="F484" s="2" t="s">
        <v>28</v>
      </c>
      <c r="G484" s="4">
        <v>108605</v>
      </c>
      <c r="H484" s="4">
        <v>493993</v>
      </c>
      <c r="I484" s="4">
        <v>416965</v>
      </c>
      <c r="J484" s="4">
        <v>36111</v>
      </c>
      <c r="K484" s="4">
        <v>2916</v>
      </c>
      <c r="L484" s="4">
        <v>1709</v>
      </c>
      <c r="M484" s="4">
        <v>5100</v>
      </c>
      <c r="N484" s="4">
        <v>7947</v>
      </c>
      <c r="O484" s="5">
        <f t="shared" si="7"/>
        <v>0.10992769177269075</v>
      </c>
      <c r="P484" s="2" t="s">
        <v>22</v>
      </c>
    </row>
    <row r="485" spans="1:16" x14ac:dyDescent="0.25">
      <c r="A485" s="6" t="s">
        <v>1039</v>
      </c>
      <c r="B485" s="6" t="s">
        <v>1040</v>
      </c>
      <c r="C485" s="6" t="s">
        <v>32</v>
      </c>
      <c r="D485" s="7" t="s">
        <v>175</v>
      </c>
      <c r="E485" s="7" t="s">
        <v>34</v>
      </c>
      <c r="F485" s="6" t="s">
        <v>51</v>
      </c>
      <c r="G485" s="8">
        <v>139648</v>
      </c>
      <c r="H485" s="8">
        <v>26429</v>
      </c>
      <c r="I485" s="8">
        <v>22537</v>
      </c>
      <c r="J485" s="8">
        <v>1032</v>
      </c>
      <c r="K485" s="8">
        <v>97</v>
      </c>
      <c r="L485" s="8">
        <v>105</v>
      </c>
      <c r="M485" s="8">
        <v>2</v>
      </c>
      <c r="N485" s="8">
        <v>737</v>
      </c>
      <c r="O485" s="9">
        <f t="shared" si="7"/>
        <v>5.4843146825220748E-2</v>
      </c>
      <c r="P485" s="6" t="s">
        <v>22</v>
      </c>
    </row>
    <row r="486" spans="1:16" x14ac:dyDescent="0.25">
      <c r="A486" s="2" t="s">
        <v>1041</v>
      </c>
      <c r="B486" s="2" t="s">
        <v>1042</v>
      </c>
      <c r="C486" s="2" t="s">
        <v>25</v>
      </c>
      <c r="D486" s="3" t="s">
        <v>244</v>
      </c>
      <c r="E486" s="3" t="s">
        <v>20</v>
      </c>
      <c r="F486" s="2" t="s">
        <v>54</v>
      </c>
      <c r="G486" s="4">
        <v>662535</v>
      </c>
      <c r="H486" s="4">
        <v>382630</v>
      </c>
      <c r="I486" s="4">
        <v>349358</v>
      </c>
      <c r="J486" s="4">
        <v>27989</v>
      </c>
      <c r="K486" s="4">
        <v>1718</v>
      </c>
      <c r="L486" s="4">
        <v>855</v>
      </c>
      <c r="M486" s="4">
        <v>4034</v>
      </c>
      <c r="N486" s="4">
        <v>9529</v>
      </c>
      <c r="O486" s="5">
        <f t="shared" si="7"/>
        <v>9.9027358755202397E-2</v>
      </c>
      <c r="P486" s="2" t="s">
        <v>22</v>
      </c>
    </row>
    <row r="487" spans="1:16" x14ac:dyDescent="0.25">
      <c r="A487" s="6" t="s">
        <v>1043</v>
      </c>
      <c r="B487" s="6" t="s">
        <v>1044</v>
      </c>
      <c r="C487" s="6" t="s">
        <v>43</v>
      </c>
      <c r="D487" s="7" t="s">
        <v>110</v>
      </c>
      <c r="E487" s="7" t="s">
        <v>39</v>
      </c>
      <c r="F487" s="6" t="s">
        <v>107</v>
      </c>
      <c r="G487" s="8">
        <v>489319</v>
      </c>
      <c r="H487" s="8">
        <v>237866</v>
      </c>
      <c r="I487" s="8">
        <v>202850</v>
      </c>
      <c r="J487" s="8">
        <v>14971</v>
      </c>
      <c r="K487" s="8">
        <v>1560</v>
      </c>
      <c r="L487" s="8">
        <v>821</v>
      </c>
      <c r="M487" s="8">
        <v>25</v>
      </c>
      <c r="N487" s="8">
        <v>5742</v>
      </c>
      <c r="O487" s="9">
        <f t="shared" si="7"/>
        <v>8.5664283953660339E-2</v>
      </c>
      <c r="P487" s="6" t="s">
        <v>29</v>
      </c>
    </row>
    <row r="488" spans="1:16" x14ac:dyDescent="0.25">
      <c r="A488" s="2" t="s">
        <v>1045</v>
      </c>
      <c r="B488" s="2" t="s">
        <v>1046</v>
      </c>
      <c r="C488" s="2" t="s">
        <v>25</v>
      </c>
      <c r="D488" s="3" t="s">
        <v>26</v>
      </c>
      <c r="E488" s="3" t="s">
        <v>20</v>
      </c>
      <c r="F488" s="2" t="s">
        <v>65</v>
      </c>
      <c r="G488" s="4">
        <v>231712</v>
      </c>
      <c r="H488" s="4">
        <v>135913</v>
      </c>
      <c r="I488" s="4">
        <v>99839</v>
      </c>
      <c r="J488" s="4">
        <v>9588</v>
      </c>
      <c r="K488" s="4">
        <v>653</v>
      </c>
      <c r="L488" s="4">
        <v>297</v>
      </c>
      <c r="M488" s="4">
        <v>1920</v>
      </c>
      <c r="N488" s="4">
        <v>1882</v>
      </c>
      <c r="O488" s="5">
        <f t="shared" si="7"/>
        <v>0.12478089724456375</v>
      </c>
      <c r="P488" s="2" t="s">
        <v>22</v>
      </c>
    </row>
    <row r="489" spans="1:16" x14ac:dyDescent="0.25">
      <c r="A489" s="6" t="s">
        <v>1047</v>
      </c>
      <c r="B489" s="6" t="s">
        <v>1048</v>
      </c>
      <c r="C489" s="6" t="s">
        <v>43</v>
      </c>
      <c r="D489" s="7" t="s">
        <v>172</v>
      </c>
      <c r="E489" s="7" t="s">
        <v>50</v>
      </c>
      <c r="F489" s="6" t="s">
        <v>46</v>
      </c>
      <c r="G489" s="8">
        <v>475566</v>
      </c>
      <c r="H489" s="8">
        <v>148901</v>
      </c>
      <c r="I489" s="8">
        <v>120529</v>
      </c>
      <c r="J489" s="8">
        <v>5417</v>
      </c>
      <c r="K489" s="8">
        <v>182</v>
      </c>
      <c r="L489" s="8">
        <v>419</v>
      </c>
      <c r="M489" s="8">
        <v>16</v>
      </c>
      <c r="N489" s="8">
        <v>3627</v>
      </c>
      <c r="O489" s="9">
        <f t="shared" si="7"/>
        <v>5.0062640526346354E-2</v>
      </c>
      <c r="P489" s="6" t="s">
        <v>22</v>
      </c>
    </row>
    <row r="490" spans="1:16" x14ac:dyDescent="0.25">
      <c r="A490" s="2" t="s">
        <v>1049</v>
      </c>
      <c r="B490" s="2" t="s">
        <v>1050</v>
      </c>
      <c r="C490" s="2" t="s">
        <v>43</v>
      </c>
      <c r="D490" s="3" t="s">
        <v>172</v>
      </c>
      <c r="E490" s="3" t="s">
        <v>45</v>
      </c>
      <c r="F490" s="2" t="s">
        <v>70</v>
      </c>
      <c r="G490" s="4">
        <v>826547</v>
      </c>
      <c r="H490" s="4">
        <v>173420</v>
      </c>
      <c r="I490" s="4">
        <v>124116</v>
      </c>
      <c r="J490" s="4">
        <v>3866</v>
      </c>
      <c r="K490" s="4">
        <v>232</v>
      </c>
      <c r="L490" s="4">
        <v>176</v>
      </c>
      <c r="M490" s="4">
        <v>21</v>
      </c>
      <c r="N490" s="4">
        <v>2167</v>
      </c>
      <c r="O490" s="5">
        <f t="shared" si="7"/>
        <v>3.4604724612459309E-2</v>
      </c>
      <c r="P490" s="2" t="s">
        <v>29</v>
      </c>
    </row>
    <row r="491" spans="1:16" x14ac:dyDescent="0.25">
      <c r="A491" s="6" t="s">
        <v>1051</v>
      </c>
      <c r="B491" s="6" t="s">
        <v>1052</v>
      </c>
      <c r="C491" s="6" t="s">
        <v>25</v>
      </c>
      <c r="D491" s="7" t="s">
        <v>61</v>
      </c>
      <c r="E491" s="7" t="s">
        <v>20</v>
      </c>
      <c r="F491" s="6" t="s">
        <v>28</v>
      </c>
      <c r="G491" s="8">
        <v>11448</v>
      </c>
      <c r="H491" s="8">
        <v>2754</v>
      </c>
      <c r="I491" s="8">
        <v>2402</v>
      </c>
      <c r="J491" s="8">
        <v>121</v>
      </c>
      <c r="K491" s="8">
        <v>10</v>
      </c>
      <c r="L491" s="8">
        <v>11</v>
      </c>
      <c r="M491" s="8">
        <v>21</v>
      </c>
      <c r="N491" s="8">
        <v>52</v>
      </c>
      <c r="O491" s="9">
        <f t="shared" si="7"/>
        <v>6.7860116569525397E-2</v>
      </c>
      <c r="P491" s="6" t="s">
        <v>22</v>
      </c>
    </row>
    <row r="492" spans="1:16" x14ac:dyDescent="0.25">
      <c r="A492" s="2" t="s">
        <v>1053</v>
      </c>
      <c r="B492" s="2" t="s">
        <v>1054</v>
      </c>
      <c r="C492" s="2" t="s">
        <v>25</v>
      </c>
      <c r="D492" s="3" t="s">
        <v>64</v>
      </c>
      <c r="E492" s="3" t="s">
        <v>45</v>
      </c>
      <c r="F492" s="2" t="s">
        <v>146</v>
      </c>
      <c r="G492" s="4">
        <v>499984</v>
      </c>
      <c r="H492" s="4">
        <v>207289</v>
      </c>
      <c r="I492" s="4">
        <v>179652</v>
      </c>
      <c r="J492" s="4">
        <v>13131</v>
      </c>
      <c r="K492" s="4">
        <v>1302</v>
      </c>
      <c r="L492" s="4">
        <v>1614</v>
      </c>
      <c r="M492" s="4">
        <v>1478</v>
      </c>
      <c r="N492" s="4">
        <v>2204</v>
      </c>
      <c r="O492" s="5">
        <f t="shared" si="7"/>
        <v>9.7549707211720432E-2</v>
      </c>
      <c r="P492" s="2" t="s">
        <v>29</v>
      </c>
    </row>
    <row r="493" spans="1:16" x14ac:dyDescent="0.25">
      <c r="A493" s="6" t="s">
        <v>1055</v>
      </c>
      <c r="B493" s="6" t="s">
        <v>1056</v>
      </c>
      <c r="C493" s="6" t="s">
        <v>32</v>
      </c>
      <c r="D493" s="7" t="s">
        <v>33</v>
      </c>
      <c r="E493" s="7" t="s">
        <v>34</v>
      </c>
      <c r="F493" s="6" t="s">
        <v>40</v>
      </c>
      <c r="G493" s="8">
        <v>148199</v>
      </c>
      <c r="H493" s="8">
        <v>22697</v>
      </c>
      <c r="I493" s="8">
        <v>15936</v>
      </c>
      <c r="J493" s="8">
        <v>1557</v>
      </c>
      <c r="K493" s="8">
        <v>241</v>
      </c>
      <c r="L493" s="8">
        <v>99</v>
      </c>
      <c r="M493" s="8">
        <v>26</v>
      </c>
      <c r="N493" s="8">
        <v>403</v>
      </c>
      <c r="O493" s="9">
        <f t="shared" si="7"/>
        <v>0.12067018072289157</v>
      </c>
      <c r="P493" s="6" t="s">
        <v>29</v>
      </c>
    </row>
    <row r="494" spans="1:16" x14ac:dyDescent="0.25">
      <c r="A494" s="2" t="s">
        <v>1057</v>
      </c>
      <c r="B494" s="2" t="s">
        <v>1058</v>
      </c>
      <c r="C494" s="2" t="s">
        <v>18</v>
      </c>
      <c r="D494" s="3" t="s">
        <v>92</v>
      </c>
      <c r="E494" s="3" t="s">
        <v>34</v>
      </c>
      <c r="F494" s="2" t="s">
        <v>73</v>
      </c>
      <c r="G494" s="4">
        <v>826007</v>
      </c>
      <c r="H494" s="4">
        <v>1756178</v>
      </c>
      <c r="I494" s="4">
        <v>1448850</v>
      </c>
      <c r="J494" s="4">
        <v>119330</v>
      </c>
      <c r="K494" s="4">
        <v>19935</v>
      </c>
      <c r="L494" s="4">
        <v>11289</v>
      </c>
      <c r="M494" s="4">
        <v>15295</v>
      </c>
      <c r="N494" s="4">
        <v>28870</v>
      </c>
      <c r="O494" s="5">
        <f t="shared" si="7"/>
        <v>0.11446940677088725</v>
      </c>
      <c r="P494" s="2" t="s">
        <v>66</v>
      </c>
    </row>
    <row r="495" spans="1:16" x14ac:dyDescent="0.25">
      <c r="A495" s="6" t="s">
        <v>1059</v>
      </c>
      <c r="B495" s="6" t="s">
        <v>1060</v>
      </c>
      <c r="C495" s="6" t="s">
        <v>32</v>
      </c>
      <c r="D495" s="7" t="s">
        <v>175</v>
      </c>
      <c r="E495" s="7" t="s">
        <v>50</v>
      </c>
      <c r="F495" s="6" t="s">
        <v>35</v>
      </c>
      <c r="G495" s="8">
        <v>672543</v>
      </c>
      <c r="H495" s="8">
        <v>89547</v>
      </c>
      <c r="I495" s="8">
        <v>75978</v>
      </c>
      <c r="J495" s="8">
        <v>2745</v>
      </c>
      <c r="K495" s="8">
        <v>422</v>
      </c>
      <c r="L495" s="8">
        <v>270</v>
      </c>
      <c r="M495" s="8">
        <v>1</v>
      </c>
      <c r="N495" s="8">
        <v>949</v>
      </c>
      <c r="O495" s="9">
        <f t="shared" si="7"/>
        <v>4.5249940772328835E-2</v>
      </c>
      <c r="P495" s="6" t="s">
        <v>22</v>
      </c>
    </row>
    <row r="496" spans="1:16" x14ac:dyDescent="0.25">
      <c r="A496" s="2" t="s">
        <v>1061</v>
      </c>
      <c r="B496" s="2" t="s">
        <v>1062</v>
      </c>
      <c r="C496" s="2" t="s">
        <v>18</v>
      </c>
      <c r="D496" s="3" t="s">
        <v>92</v>
      </c>
      <c r="E496" s="3" t="s">
        <v>34</v>
      </c>
      <c r="F496" s="2" t="s">
        <v>58</v>
      </c>
      <c r="G496" s="4">
        <v>62744</v>
      </c>
      <c r="H496" s="4">
        <v>5414</v>
      </c>
      <c r="I496" s="4">
        <v>4813</v>
      </c>
      <c r="J496" s="4">
        <v>241</v>
      </c>
      <c r="K496" s="4">
        <v>12</v>
      </c>
      <c r="L496" s="4">
        <v>8</v>
      </c>
      <c r="M496" s="4">
        <v>37</v>
      </c>
      <c r="N496" s="4">
        <v>104</v>
      </c>
      <c r="O496" s="5">
        <f t="shared" si="7"/>
        <v>6.1915645127778932E-2</v>
      </c>
      <c r="P496" s="2" t="s">
        <v>22</v>
      </c>
    </row>
    <row r="497" spans="1:16" x14ac:dyDescent="0.25">
      <c r="A497" s="6" t="s">
        <v>1063</v>
      </c>
      <c r="B497" s="6" t="s">
        <v>1064</v>
      </c>
      <c r="C497" s="6" t="s">
        <v>25</v>
      </c>
      <c r="D497" s="7" t="s">
        <v>244</v>
      </c>
      <c r="E497" s="7" t="s">
        <v>39</v>
      </c>
      <c r="F497" s="6" t="s">
        <v>65</v>
      </c>
      <c r="G497" s="8">
        <v>168994</v>
      </c>
      <c r="H497" s="8">
        <v>103985</v>
      </c>
      <c r="I497" s="8">
        <v>77432</v>
      </c>
      <c r="J497" s="8">
        <v>6551</v>
      </c>
      <c r="K497" s="8">
        <v>647</v>
      </c>
      <c r="L497" s="8">
        <v>302</v>
      </c>
      <c r="M497" s="8">
        <v>1626</v>
      </c>
      <c r="N497" s="8">
        <v>1910</v>
      </c>
      <c r="O497" s="9">
        <f t="shared" si="7"/>
        <v>0.1178582498191962</v>
      </c>
      <c r="P497" s="6" t="s">
        <v>29</v>
      </c>
    </row>
    <row r="498" spans="1:16" x14ac:dyDescent="0.25">
      <c r="A498" s="2" t="s">
        <v>1065</v>
      </c>
      <c r="B498" s="2" t="s">
        <v>1066</v>
      </c>
      <c r="C498" s="2" t="s">
        <v>43</v>
      </c>
      <c r="D498" s="3" t="s">
        <v>69</v>
      </c>
      <c r="E498" s="3" t="s">
        <v>39</v>
      </c>
      <c r="F498" s="2" t="s">
        <v>46</v>
      </c>
      <c r="G498" s="4">
        <v>606618</v>
      </c>
      <c r="H498" s="4">
        <v>1158617</v>
      </c>
      <c r="I498" s="4">
        <v>1035593</v>
      </c>
      <c r="J498" s="4">
        <v>54893</v>
      </c>
      <c r="K498" s="4">
        <v>7413</v>
      </c>
      <c r="L498" s="4">
        <v>6176</v>
      </c>
      <c r="M498" s="4">
        <v>19</v>
      </c>
      <c r="N498" s="4">
        <v>19386</v>
      </c>
      <c r="O498" s="5">
        <f t="shared" si="7"/>
        <v>6.6146642551658807E-2</v>
      </c>
      <c r="P498" s="2" t="s">
        <v>29</v>
      </c>
    </row>
    <row r="499" spans="1:16" x14ac:dyDescent="0.25">
      <c r="A499" s="6" t="s">
        <v>1067</v>
      </c>
      <c r="B499" s="6" t="s">
        <v>1068</v>
      </c>
      <c r="C499" s="6" t="s">
        <v>25</v>
      </c>
      <c r="D499" s="7" t="s">
        <v>61</v>
      </c>
      <c r="E499" s="7" t="s">
        <v>45</v>
      </c>
      <c r="F499" s="6" t="s">
        <v>65</v>
      </c>
      <c r="G499" s="8">
        <v>482567</v>
      </c>
      <c r="H499" s="8">
        <v>219894</v>
      </c>
      <c r="I499" s="8">
        <v>181433</v>
      </c>
      <c r="J499" s="8">
        <v>9590</v>
      </c>
      <c r="K499" s="8">
        <v>1648</v>
      </c>
      <c r="L499" s="8">
        <v>490</v>
      </c>
      <c r="M499" s="8">
        <v>2149</v>
      </c>
      <c r="N499" s="8">
        <v>2905</v>
      </c>
      <c r="O499" s="9">
        <f t="shared" si="7"/>
        <v>7.6485534605060815E-2</v>
      </c>
      <c r="P499" s="6" t="s">
        <v>29</v>
      </c>
    </row>
    <row r="500" spans="1:16" x14ac:dyDescent="0.25">
      <c r="A500" s="2" t="s">
        <v>1069</v>
      </c>
      <c r="B500" s="2" t="s">
        <v>1070</v>
      </c>
      <c r="C500" s="2" t="s">
        <v>25</v>
      </c>
      <c r="D500" s="3" t="s">
        <v>26</v>
      </c>
      <c r="E500" s="3" t="s">
        <v>39</v>
      </c>
      <c r="F500" s="2" t="s">
        <v>54</v>
      </c>
      <c r="G500" s="4">
        <v>389143</v>
      </c>
      <c r="H500" s="4">
        <v>54471</v>
      </c>
      <c r="I500" s="4">
        <v>47471</v>
      </c>
      <c r="J500" s="4">
        <v>2429</v>
      </c>
      <c r="K500" s="4">
        <v>132</v>
      </c>
      <c r="L500" s="4">
        <v>114</v>
      </c>
      <c r="M500" s="4">
        <v>143</v>
      </c>
      <c r="N500" s="4">
        <v>316</v>
      </c>
      <c r="O500" s="5">
        <f t="shared" si="7"/>
        <v>5.9362558193423356E-2</v>
      </c>
      <c r="P500" s="2" t="s">
        <v>29</v>
      </c>
    </row>
    <row r="501" spans="1:16" x14ac:dyDescent="0.25">
      <c r="A501" s="6" t="s">
        <v>1071</v>
      </c>
      <c r="B501" s="6" t="s">
        <v>1072</v>
      </c>
      <c r="C501" s="6" t="s">
        <v>18</v>
      </c>
      <c r="D501" s="7" t="s">
        <v>57</v>
      </c>
      <c r="E501" s="7" t="s">
        <v>20</v>
      </c>
      <c r="F501" s="6" t="s">
        <v>58</v>
      </c>
      <c r="G501" s="8">
        <v>42109</v>
      </c>
      <c r="H501" s="8">
        <v>84894</v>
      </c>
      <c r="I501" s="8">
        <v>65535</v>
      </c>
      <c r="J501" s="8">
        <v>5511</v>
      </c>
      <c r="K501" s="8">
        <v>566</v>
      </c>
      <c r="L501" s="8">
        <v>159</v>
      </c>
      <c r="M501" s="8">
        <v>880</v>
      </c>
      <c r="N501" s="8">
        <v>1041</v>
      </c>
      <c r="O501" s="9">
        <f t="shared" si="7"/>
        <v>0.10858319981689174</v>
      </c>
      <c r="P501" s="6" t="s">
        <v>66</v>
      </c>
    </row>
    <row r="502" spans="1:16" x14ac:dyDescent="0.25">
      <c r="A502" s="2" t="s">
        <v>1073</v>
      </c>
      <c r="B502" s="2" t="s">
        <v>1074</v>
      </c>
      <c r="C502" s="2" t="s">
        <v>25</v>
      </c>
      <c r="D502" s="3" t="s">
        <v>64</v>
      </c>
      <c r="E502" s="3" t="s">
        <v>34</v>
      </c>
      <c r="F502" s="2" t="s">
        <v>54</v>
      </c>
      <c r="G502" s="4">
        <v>188346</v>
      </c>
      <c r="H502" s="4">
        <v>72466</v>
      </c>
      <c r="I502" s="4">
        <v>53411</v>
      </c>
      <c r="J502" s="4">
        <v>4368</v>
      </c>
      <c r="K502" s="4">
        <v>138</v>
      </c>
      <c r="L502" s="4">
        <v>242</v>
      </c>
      <c r="M502" s="4">
        <v>603</v>
      </c>
      <c r="N502" s="4">
        <v>749</v>
      </c>
      <c r="O502" s="5">
        <f t="shared" si="7"/>
        <v>0.1001853550766696</v>
      </c>
      <c r="P502" s="2" t="s">
        <v>29</v>
      </c>
    </row>
    <row r="503" spans="1:16" x14ac:dyDescent="0.25">
      <c r="A503" s="6" t="s">
        <v>1075</v>
      </c>
      <c r="B503" s="6" t="s">
        <v>1076</v>
      </c>
      <c r="C503" s="6" t="s">
        <v>32</v>
      </c>
      <c r="D503" s="7" t="s">
        <v>175</v>
      </c>
      <c r="E503" s="7" t="s">
        <v>45</v>
      </c>
      <c r="F503" s="6" t="s">
        <v>128</v>
      </c>
      <c r="G503" s="8">
        <v>412093</v>
      </c>
      <c r="H503" s="8">
        <v>137256</v>
      </c>
      <c r="I503" s="8">
        <v>96220</v>
      </c>
      <c r="J503" s="8">
        <v>9106</v>
      </c>
      <c r="K503" s="8">
        <v>1320</v>
      </c>
      <c r="L503" s="8">
        <v>1281</v>
      </c>
      <c r="M503" s="8">
        <v>23</v>
      </c>
      <c r="N503" s="8">
        <v>4428</v>
      </c>
      <c r="O503" s="9">
        <f t="shared" si="7"/>
        <v>0.12190812720848057</v>
      </c>
      <c r="P503" s="6" t="s">
        <v>22</v>
      </c>
    </row>
    <row r="504" spans="1:16" x14ac:dyDescent="0.25">
      <c r="A504" s="2" t="s">
        <v>1077</v>
      </c>
      <c r="B504" s="2" t="s">
        <v>1078</v>
      </c>
      <c r="C504" s="2" t="s">
        <v>18</v>
      </c>
      <c r="D504" s="3" t="s">
        <v>19</v>
      </c>
      <c r="E504" s="3" t="s">
        <v>45</v>
      </c>
      <c r="F504" s="2" t="s">
        <v>73</v>
      </c>
      <c r="G504" s="4">
        <v>68740</v>
      </c>
      <c r="H504" s="4">
        <v>40068</v>
      </c>
      <c r="I504" s="4">
        <v>35411</v>
      </c>
      <c r="J504" s="4">
        <v>2397</v>
      </c>
      <c r="K504" s="4">
        <v>332</v>
      </c>
      <c r="L504" s="4">
        <v>61</v>
      </c>
      <c r="M504" s="4">
        <v>365</v>
      </c>
      <c r="N504" s="4">
        <v>1180</v>
      </c>
      <c r="O504" s="5">
        <f t="shared" si="7"/>
        <v>8.9096608398520238E-2</v>
      </c>
      <c r="P504" s="2" t="s">
        <v>22</v>
      </c>
    </row>
    <row r="505" spans="1:16" x14ac:dyDescent="0.25">
      <c r="A505" s="6" t="s">
        <v>1079</v>
      </c>
      <c r="B505" s="6" t="s">
        <v>1080</v>
      </c>
      <c r="C505" s="6" t="s">
        <v>43</v>
      </c>
      <c r="D505" s="7" t="s">
        <v>69</v>
      </c>
      <c r="E505" s="7" t="s">
        <v>39</v>
      </c>
      <c r="F505" s="6" t="s">
        <v>70</v>
      </c>
      <c r="G505" s="8">
        <v>246197</v>
      </c>
      <c r="H505" s="8">
        <v>69734</v>
      </c>
      <c r="I505" s="8">
        <v>49043</v>
      </c>
      <c r="J505" s="8">
        <v>4131</v>
      </c>
      <c r="K505" s="8">
        <v>131</v>
      </c>
      <c r="L505" s="8">
        <v>196</v>
      </c>
      <c r="M505" s="8">
        <v>14</v>
      </c>
      <c r="N505" s="8">
        <v>486</v>
      </c>
      <c r="O505" s="9">
        <f t="shared" si="7"/>
        <v>9.1185286381338826E-2</v>
      </c>
      <c r="P505" s="6" t="s">
        <v>29</v>
      </c>
    </row>
    <row r="506" spans="1:16" x14ac:dyDescent="0.25">
      <c r="A506" s="2" t="s">
        <v>1081</v>
      </c>
      <c r="B506" s="2" t="s">
        <v>1082</v>
      </c>
      <c r="C506" s="2" t="s">
        <v>76</v>
      </c>
      <c r="D506" s="3" t="s">
        <v>86</v>
      </c>
      <c r="E506" s="3" t="s">
        <v>39</v>
      </c>
      <c r="F506" s="2" t="s">
        <v>78</v>
      </c>
      <c r="G506" s="4">
        <v>807329</v>
      </c>
      <c r="H506" s="4">
        <v>516987</v>
      </c>
      <c r="I506" s="4">
        <v>442932</v>
      </c>
      <c r="J506" s="4">
        <v>34884</v>
      </c>
      <c r="K506" s="4">
        <v>5872</v>
      </c>
      <c r="L506" s="4">
        <v>3278</v>
      </c>
      <c r="M506" s="4">
        <v>3501</v>
      </c>
      <c r="N506" s="4">
        <v>4054</v>
      </c>
      <c r="O506" s="5">
        <f t="shared" si="7"/>
        <v>0.10731895640865867</v>
      </c>
      <c r="P506" s="2" t="s">
        <v>22</v>
      </c>
    </row>
    <row r="507" spans="1:16" x14ac:dyDescent="0.25">
      <c r="A507" s="6" t="s">
        <v>1083</v>
      </c>
      <c r="B507" s="6" t="s">
        <v>1084</v>
      </c>
      <c r="C507" s="6" t="s">
        <v>25</v>
      </c>
      <c r="D507" s="7" t="s">
        <v>244</v>
      </c>
      <c r="E507" s="7" t="s">
        <v>20</v>
      </c>
      <c r="F507" s="6" t="s">
        <v>28</v>
      </c>
      <c r="G507" s="8">
        <v>701240</v>
      </c>
      <c r="H507" s="8">
        <v>190043</v>
      </c>
      <c r="I507" s="8">
        <v>171164</v>
      </c>
      <c r="J507" s="8">
        <v>8919</v>
      </c>
      <c r="K507" s="8">
        <v>951</v>
      </c>
      <c r="L507" s="8">
        <v>1038</v>
      </c>
      <c r="M507" s="8">
        <v>1343</v>
      </c>
      <c r="N507" s="8">
        <v>4967</v>
      </c>
      <c r="O507" s="9">
        <f t="shared" si="7"/>
        <v>7.1574630179243301E-2</v>
      </c>
      <c r="P507" s="6" t="s">
        <v>22</v>
      </c>
    </row>
    <row r="508" spans="1:16" x14ac:dyDescent="0.25">
      <c r="A508" s="2" t="s">
        <v>1085</v>
      </c>
      <c r="B508" s="2" t="s">
        <v>1086</v>
      </c>
      <c r="C508" s="2" t="s">
        <v>76</v>
      </c>
      <c r="D508" s="3" t="s">
        <v>103</v>
      </c>
      <c r="E508" s="3" t="s">
        <v>20</v>
      </c>
      <c r="F508" s="2" t="s">
        <v>104</v>
      </c>
      <c r="G508" s="4">
        <v>796529</v>
      </c>
      <c r="H508" s="4">
        <v>99766</v>
      </c>
      <c r="I508" s="4">
        <v>78056</v>
      </c>
      <c r="J508" s="4">
        <v>3770</v>
      </c>
      <c r="K508" s="4">
        <v>198</v>
      </c>
      <c r="L508" s="4">
        <v>175</v>
      </c>
      <c r="M508" s="4">
        <v>217</v>
      </c>
      <c r="N508" s="4">
        <v>3262</v>
      </c>
      <c r="O508" s="5">
        <f t="shared" si="7"/>
        <v>5.5857333196679307E-2</v>
      </c>
      <c r="P508" s="2" t="s">
        <v>22</v>
      </c>
    </row>
    <row r="509" spans="1:16" x14ac:dyDescent="0.25">
      <c r="A509" s="6" t="s">
        <v>1087</v>
      </c>
      <c r="B509" s="6" t="s">
        <v>1088</v>
      </c>
      <c r="C509" s="6" t="s">
        <v>25</v>
      </c>
      <c r="D509" s="7" t="s">
        <v>244</v>
      </c>
      <c r="E509" s="7" t="s">
        <v>50</v>
      </c>
      <c r="F509" s="6" t="s">
        <v>54</v>
      </c>
      <c r="G509" s="8">
        <v>548674</v>
      </c>
      <c r="H509" s="8">
        <v>173649</v>
      </c>
      <c r="I509" s="8">
        <v>132574</v>
      </c>
      <c r="J509" s="8">
        <v>3719</v>
      </c>
      <c r="K509" s="8">
        <v>584</v>
      </c>
      <c r="L509" s="8">
        <v>234</v>
      </c>
      <c r="M509" s="8">
        <v>366</v>
      </c>
      <c r="N509" s="8">
        <v>3677</v>
      </c>
      <c r="O509" s="9">
        <f t="shared" si="7"/>
        <v>3.6983118861918629E-2</v>
      </c>
      <c r="P509" s="6" t="s">
        <v>66</v>
      </c>
    </row>
    <row r="510" spans="1:16" x14ac:dyDescent="0.25">
      <c r="A510" s="2" t="s">
        <v>1089</v>
      </c>
      <c r="B510" s="2" t="s">
        <v>1090</v>
      </c>
      <c r="C510" s="2" t="s">
        <v>25</v>
      </c>
      <c r="D510" s="3" t="s">
        <v>61</v>
      </c>
      <c r="E510" s="3" t="s">
        <v>39</v>
      </c>
      <c r="F510" s="2" t="s">
        <v>28</v>
      </c>
      <c r="G510" s="4">
        <v>194961</v>
      </c>
      <c r="H510" s="4">
        <v>16268</v>
      </c>
      <c r="I510" s="4">
        <v>11638</v>
      </c>
      <c r="J510" s="4">
        <v>513</v>
      </c>
      <c r="K510" s="4">
        <v>64</v>
      </c>
      <c r="L510" s="4">
        <v>19</v>
      </c>
      <c r="M510" s="4">
        <v>46</v>
      </c>
      <c r="N510" s="4">
        <v>126</v>
      </c>
      <c r="O510" s="5">
        <f t="shared" si="7"/>
        <v>5.5164117545970101E-2</v>
      </c>
      <c r="P510" s="2" t="s">
        <v>22</v>
      </c>
    </row>
    <row r="511" spans="1:16" x14ac:dyDescent="0.25">
      <c r="A511" s="6" t="s">
        <v>1091</v>
      </c>
      <c r="B511" s="6" t="s">
        <v>1092</v>
      </c>
      <c r="C511" s="6" t="s">
        <v>76</v>
      </c>
      <c r="D511" s="7" t="s">
        <v>182</v>
      </c>
      <c r="E511" s="7" t="s">
        <v>45</v>
      </c>
      <c r="F511" s="6" t="s">
        <v>104</v>
      </c>
      <c r="G511" s="8">
        <v>329092</v>
      </c>
      <c r="H511" s="8">
        <v>63381</v>
      </c>
      <c r="I511" s="8">
        <v>46826</v>
      </c>
      <c r="J511" s="8">
        <v>2214</v>
      </c>
      <c r="K511" s="8">
        <v>161</v>
      </c>
      <c r="L511" s="8">
        <v>173</v>
      </c>
      <c r="M511" s="8">
        <v>392</v>
      </c>
      <c r="N511" s="8">
        <v>833</v>
      </c>
      <c r="O511" s="9">
        <f t="shared" si="7"/>
        <v>6.2785631913893997E-2</v>
      </c>
      <c r="P511" s="6" t="s">
        <v>29</v>
      </c>
    </row>
    <row r="512" spans="1:16" x14ac:dyDescent="0.25">
      <c r="A512" s="2" t="s">
        <v>1093</v>
      </c>
      <c r="B512" s="2" t="s">
        <v>1094</v>
      </c>
      <c r="C512" s="2" t="s">
        <v>25</v>
      </c>
      <c r="D512" s="3" t="s">
        <v>26</v>
      </c>
      <c r="E512" s="3" t="s">
        <v>39</v>
      </c>
      <c r="F512" s="2" t="s">
        <v>65</v>
      </c>
      <c r="G512" s="4">
        <v>532337</v>
      </c>
      <c r="H512" s="4">
        <v>174103</v>
      </c>
      <c r="I512" s="4">
        <v>153265</v>
      </c>
      <c r="J512" s="4">
        <v>11771</v>
      </c>
      <c r="K512" s="4">
        <v>388</v>
      </c>
      <c r="L512" s="4">
        <v>819</v>
      </c>
      <c r="M512" s="4">
        <v>2599</v>
      </c>
      <c r="N512" s="4">
        <v>4834</v>
      </c>
      <c r="O512" s="5">
        <f t="shared" si="7"/>
        <v>0.10163442403679901</v>
      </c>
      <c r="P512" s="2" t="s">
        <v>66</v>
      </c>
    </row>
    <row r="513" spans="1:16" x14ac:dyDescent="0.25">
      <c r="A513" s="6" t="s">
        <v>1095</v>
      </c>
      <c r="B513" s="6" t="s">
        <v>1096</v>
      </c>
      <c r="C513" s="6" t="s">
        <v>25</v>
      </c>
      <c r="D513" s="7" t="s">
        <v>244</v>
      </c>
      <c r="E513" s="7" t="s">
        <v>39</v>
      </c>
      <c r="F513" s="6" t="s">
        <v>65</v>
      </c>
      <c r="G513" s="8">
        <v>323204</v>
      </c>
      <c r="H513" s="8">
        <v>94968</v>
      </c>
      <c r="I513" s="8">
        <v>76523</v>
      </c>
      <c r="J513" s="8">
        <v>3798</v>
      </c>
      <c r="K513" s="8">
        <v>521</v>
      </c>
      <c r="L513" s="8">
        <v>172</v>
      </c>
      <c r="M513" s="8">
        <v>885</v>
      </c>
      <c r="N513" s="8">
        <v>486</v>
      </c>
      <c r="O513" s="9">
        <f t="shared" si="7"/>
        <v>7.0253387870313502E-2</v>
      </c>
      <c r="P513" s="6" t="s">
        <v>29</v>
      </c>
    </row>
    <row r="514" spans="1:16" x14ac:dyDescent="0.25">
      <c r="A514" s="2" t="s">
        <v>1097</v>
      </c>
      <c r="B514" s="2" t="s">
        <v>1098</v>
      </c>
      <c r="C514" s="2" t="s">
        <v>32</v>
      </c>
      <c r="D514" s="3" t="s">
        <v>121</v>
      </c>
      <c r="E514" s="3" t="s">
        <v>39</v>
      </c>
      <c r="F514" s="2" t="s">
        <v>40</v>
      </c>
      <c r="G514" s="4">
        <v>405192</v>
      </c>
      <c r="H514" s="4">
        <v>180471</v>
      </c>
      <c r="I514" s="4">
        <v>129157</v>
      </c>
      <c r="J514" s="4">
        <v>13192</v>
      </c>
      <c r="K514" s="4">
        <v>2359</v>
      </c>
      <c r="L514" s="4">
        <v>477</v>
      </c>
      <c r="M514" s="4">
        <v>36</v>
      </c>
      <c r="N514" s="4">
        <v>1781</v>
      </c>
      <c r="O514" s="5">
        <f t="shared" ref="O514:O577" si="8">IF(I514&gt;0, (J514+K514+L514+M514)/I514, 0)</f>
        <v>0.12437575973427689</v>
      </c>
      <c r="P514" s="2" t="s">
        <v>29</v>
      </c>
    </row>
    <row r="515" spans="1:16" x14ac:dyDescent="0.25">
      <c r="A515" s="6" t="s">
        <v>1099</v>
      </c>
      <c r="B515" s="6" t="s">
        <v>1100</v>
      </c>
      <c r="C515" s="6" t="s">
        <v>32</v>
      </c>
      <c r="D515" s="7" t="s">
        <v>38</v>
      </c>
      <c r="E515" s="7" t="s">
        <v>45</v>
      </c>
      <c r="F515" s="6" t="s">
        <v>128</v>
      </c>
      <c r="G515" s="8">
        <v>685024</v>
      </c>
      <c r="H515" s="8">
        <v>220374</v>
      </c>
      <c r="I515" s="8">
        <v>166011</v>
      </c>
      <c r="J515" s="8">
        <v>4863</v>
      </c>
      <c r="K515" s="8">
        <v>739</v>
      </c>
      <c r="L515" s="8">
        <v>496</v>
      </c>
      <c r="M515" s="8">
        <v>43</v>
      </c>
      <c r="N515" s="8">
        <v>1288</v>
      </c>
      <c r="O515" s="9">
        <f t="shared" si="8"/>
        <v>3.6991524658004593E-2</v>
      </c>
      <c r="P515" s="6" t="s">
        <v>29</v>
      </c>
    </row>
    <row r="516" spans="1:16" x14ac:dyDescent="0.25">
      <c r="A516" s="2" t="s">
        <v>1101</v>
      </c>
      <c r="B516" s="2" t="s">
        <v>1102</v>
      </c>
      <c r="C516" s="2" t="s">
        <v>25</v>
      </c>
      <c r="D516" s="3" t="s">
        <v>244</v>
      </c>
      <c r="E516" s="3" t="s">
        <v>20</v>
      </c>
      <c r="F516" s="2" t="s">
        <v>146</v>
      </c>
      <c r="G516" s="4">
        <v>15436</v>
      </c>
      <c r="H516" s="4">
        <v>2047</v>
      </c>
      <c r="I516" s="4">
        <v>1845</v>
      </c>
      <c r="J516" s="4">
        <v>89</v>
      </c>
      <c r="K516" s="4">
        <v>10</v>
      </c>
      <c r="L516" s="4">
        <v>12</v>
      </c>
      <c r="M516" s="4">
        <v>13</v>
      </c>
      <c r="N516" s="4">
        <v>21</v>
      </c>
      <c r="O516" s="5">
        <f t="shared" si="8"/>
        <v>6.7208672086720864E-2</v>
      </c>
      <c r="P516" s="2" t="s">
        <v>22</v>
      </c>
    </row>
    <row r="517" spans="1:16" x14ac:dyDescent="0.25">
      <c r="A517" s="6" t="s">
        <v>1103</v>
      </c>
      <c r="B517" s="6" t="s">
        <v>1104</v>
      </c>
      <c r="C517" s="6" t="s">
        <v>18</v>
      </c>
      <c r="D517" s="7" t="s">
        <v>92</v>
      </c>
      <c r="E517" s="7" t="s">
        <v>27</v>
      </c>
      <c r="F517" s="6" t="s">
        <v>73</v>
      </c>
      <c r="G517" s="8">
        <v>403882</v>
      </c>
      <c r="H517" s="8">
        <v>201271</v>
      </c>
      <c r="I517" s="8">
        <v>179696</v>
      </c>
      <c r="J517" s="8">
        <v>12812</v>
      </c>
      <c r="K517" s="8">
        <v>555</v>
      </c>
      <c r="L517" s="8">
        <v>1315</v>
      </c>
      <c r="M517" s="8">
        <v>2630</v>
      </c>
      <c r="N517" s="8">
        <v>3085</v>
      </c>
      <c r="O517" s="9">
        <f t="shared" si="8"/>
        <v>9.6340486154394084E-2</v>
      </c>
      <c r="P517" s="6" t="s">
        <v>22</v>
      </c>
    </row>
    <row r="518" spans="1:16" x14ac:dyDescent="0.25">
      <c r="A518" s="2" t="s">
        <v>1105</v>
      </c>
      <c r="B518" s="2" t="s">
        <v>1106</v>
      </c>
      <c r="C518" s="2" t="s">
        <v>32</v>
      </c>
      <c r="D518" s="3" t="s">
        <v>38</v>
      </c>
      <c r="E518" s="3" t="s">
        <v>34</v>
      </c>
      <c r="F518" s="2" t="s">
        <v>51</v>
      </c>
      <c r="G518" s="4">
        <v>518109</v>
      </c>
      <c r="H518" s="4">
        <v>939998</v>
      </c>
      <c r="I518" s="4">
        <v>744407</v>
      </c>
      <c r="J518" s="4">
        <v>42309</v>
      </c>
      <c r="K518" s="4">
        <v>3099</v>
      </c>
      <c r="L518" s="4">
        <v>3216</v>
      </c>
      <c r="M518" s="4">
        <v>11</v>
      </c>
      <c r="N518" s="4">
        <v>15265</v>
      </c>
      <c r="O518" s="5">
        <f t="shared" si="8"/>
        <v>6.5333883211737664E-2</v>
      </c>
      <c r="P518" s="2" t="s">
        <v>29</v>
      </c>
    </row>
    <row r="519" spans="1:16" x14ac:dyDescent="0.25">
      <c r="A519" s="6" t="s">
        <v>1107</v>
      </c>
      <c r="B519" s="6" t="s">
        <v>1108</v>
      </c>
      <c r="C519" s="6" t="s">
        <v>76</v>
      </c>
      <c r="D519" s="7" t="s">
        <v>182</v>
      </c>
      <c r="E519" s="7" t="s">
        <v>27</v>
      </c>
      <c r="F519" s="6" t="s">
        <v>155</v>
      </c>
      <c r="G519" s="8">
        <v>197155</v>
      </c>
      <c r="H519" s="8">
        <v>100046</v>
      </c>
      <c r="I519" s="8">
        <v>86741</v>
      </c>
      <c r="J519" s="8">
        <v>3557</v>
      </c>
      <c r="K519" s="8">
        <v>588</v>
      </c>
      <c r="L519" s="8">
        <v>260</v>
      </c>
      <c r="M519" s="8">
        <v>623</v>
      </c>
      <c r="N519" s="8">
        <v>2374</v>
      </c>
      <c r="O519" s="9">
        <f t="shared" si="8"/>
        <v>5.7965667907909753E-2</v>
      </c>
      <c r="P519" s="6" t="s">
        <v>29</v>
      </c>
    </row>
    <row r="520" spans="1:16" x14ac:dyDescent="0.25">
      <c r="A520" s="2" t="s">
        <v>1109</v>
      </c>
      <c r="B520" s="2" t="s">
        <v>1110</v>
      </c>
      <c r="C520" s="2" t="s">
        <v>32</v>
      </c>
      <c r="D520" s="3" t="s">
        <v>175</v>
      </c>
      <c r="E520" s="3" t="s">
        <v>50</v>
      </c>
      <c r="F520" s="2" t="s">
        <v>128</v>
      </c>
      <c r="G520" s="4">
        <v>361272</v>
      </c>
      <c r="H520" s="4">
        <v>923595</v>
      </c>
      <c r="I520" s="4">
        <v>783224</v>
      </c>
      <c r="J520" s="4">
        <v>24058</v>
      </c>
      <c r="K520" s="4">
        <v>942</v>
      </c>
      <c r="L520" s="4">
        <v>2832</v>
      </c>
      <c r="M520" s="4">
        <v>0</v>
      </c>
      <c r="N520" s="4">
        <v>23052</v>
      </c>
      <c r="O520" s="5">
        <f t="shared" si="8"/>
        <v>3.5535172568767044E-2</v>
      </c>
      <c r="P520" s="2" t="s">
        <v>29</v>
      </c>
    </row>
    <row r="521" spans="1:16" x14ac:dyDescent="0.25">
      <c r="A521" s="6" t="s">
        <v>1111</v>
      </c>
      <c r="B521" s="6" t="s">
        <v>1112</v>
      </c>
      <c r="C521" s="6" t="s">
        <v>76</v>
      </c>
      <c r="D521" s="7" t="s">
        <v>182</v>
      </c>
      <c r="E521" s="7" t="s">
        <v>27</v>
      </c>
      <c r="F521" s="6" t="s">
        <v>78</v>
      </c>
      <c r="G521" s="8">
        <v>512030</v>
      </c>
      <c r="H521" s="8">
        <v>139326</v>
      </c>
      <c r="I521" s="8">
        <v>107844</v>
      </c>
      <c r="J521" s="8">
        <v>8486</v>
      </c>
      <c r="K521" s="8">
        <v>691</v>
      </c>
      <c r="L521" s="8">
        <v>517</v>
      </c>
      <c r="M521" s="8">
        <v>830</v>
      </c>
      <c r="N521" s="8">
        <v>2206</v>
      </c>
      <c r="O521" s="9">
        <f t="shared" si="8"/>
        <v>9.7585401134972743E-2</v>
      </c>
      <c r="P521" s="6" t="s">
        <v>22</v>
      </c>
    </row>
    <row r="522" spans="1:16" x14ac:dyDescent="0.25">
      <c r="A522" s="2" t="s">
        <v>1113</v>
      </c>
      <c r="B522" s="2" t="s">
        <v>1114</v>
      </c>
      <c r="C522" s="2" t="s">
        <v>18</v>
      </c>
      <c r="D522" s="3" t="s">
        <v>226</v>
      </c>
      <c r="E522" s="3" t="s">
        <v>34</v>
      </c>
      <c r="F522" s="2" t="s">
        <v>58</v>
      </c>
      <c r="G522" s="4">
        <v>734729</v>
      </c>
      <c r="H522" s="4">
        <v>408648</v>
      </c>
      <c r="I522" s="4">
        <v>288362</v>
      </c>
      <c r="J522" s="4">
        <v>11186</v>
      </c>
      <c r="K522" s="4">
        <v>1225</v>
      </c>
      <c r="L522" s="4">
        <v>1606</v>
      </c>
      <c r="M522" s="4">
        <v>2240</v>
      </c>
      <c r="N522" s="4">
        <v>5090</v>
      </c>
      <c r="O522" s="5">
        <f t="shared" si="8"/>
        <v>5.6377053842045763E-2</v>
      </c>
      <c r="P522" s="2" t="s">
        <v>22</v>
      </c>
    </row>
    <row r="523" spans="1:16" x14ac:dyDescent="0.25">
      <c r="A523" s="6" t="s">
        <v>1115</v>
      </c>
      <c r="B523" s="6" t="s">
        <v>1116</v>
      </c>
      <c r="C523" s="6" t="s">
        <v>43</v>
      </c>
      <c r="D523" s="7" t="s">
        <v>69</v>
      </c>
      <c r="E523" s="7" t="s">
        <v>45</v>
      </c>
      <c r="F523" s="6" t="s">
        <v>70</v>
      </c>
      <c r="G523" s="8">
        <v>5781</v>
      </c>
      <c r="H523" s="8">
        <v>3617</v>
      </c>
      <c r="I523" s="8">
        <v>2788</v>
      </c>
      <c r="J523" s="8">
        <v>209</v>
      </c>
      <c r="K523" s="8">
        <v>33</v>
      </c>
      <c r="L523" s="8">
        <v>30</v>
      </c>
      <c r="M523" s="8">
        <v>47</v>
      </c>
      <c r="N523" s="8">
        <v>53</v>
      </c>
      <c r="O523" s="9">
        <f t="shared" si="8"/>
        <v>0.11441893830703014</v>
      </c>
      <c r="P523" s="6" t="s">
        <v>22</v>
      </c>
    </row>
    <row r="524" spans="1:16" x14ac:dyDescent="0.25">
      <c r="A524" s="2" t="s">
        <v>1117</v>
      </c>
      <c r="B524" s="2" t="s">
        <v>1118</v>
      </c>
      <c r="C524" s="2" t="s">
        <v>43</v>
      </c>
      <c r="D524" s="3" t="s">
        <v>81</v>
      </c>
      <c r="E524" s="3" t="s">
        <v>50</v>
      </c>
      <c r="F524" s="2" t="s">
        <v>46</v>
      </c>
      <c r="G524" s="4">
        <v>501750</v>
      </c>
      <c r="H524" s="4">
        <v>285268</v>
      </c>
      <c r="I524" s="4">
        <v>245770</v>
      </c>
      <c r="J524" s="4">
        <v>10735</v>
      </c>
      <c r="K524" s="4">
        <v>636</v>
      </c>
      <c r="L524" s="4">
        <v>414</v>
      </c>
      <c r="M524" s="4">
        <v>33</v>
      </c>
      <c r="N524" s="4">
        <v>8925</v>
      </c>
      <c r="O524" s="5">
        <f t="shared" si="8"/>
        <v>4.8085608495748056E-2</v>
      </c>
      <c r="P524" s="2" t="s">
        <v>29</v>
      </c>
    </row>
    <row r="525" spans="1:16" x14ac:dyDescent="0.25">
      <c r="A525" s="6" t="s">
        <v>1119</v>
      </c>
      <c r="B525" s="6" t="s">
        <v>1120</v>
      </c>
      <c r="C525" s="6" t="s">
        <v>32</v>
      </c>
      <c r="D525" s="7" t="s">
        <v>175</v>
      </c>
      <c r="E525" s="7" t="s">
        <v>50</v>
      </c>
      <c r="F525" s="6" t="s">
        <v>35</v>
      </c>
      <c r="G525" s="8">
        <v>178716</v>
      </c>
      <c r="H525" s="8">
        <v>111586</v>
      </c>
      <c r="I525" s="8">
        <v>94377</v>
      </c>
      <c r="J525" s="8">
        <v>3844</v>
      </c>
      <c r="K525" s="8">
        <v>237</v>
      </c>
      <c r="L525" s="8">
        <v>453</v>
      </c>
      <c r="M525" s="8">
        <v>42</v>
      </c>
      <c r="N525" s="8">
        <v>2900</v>
      </c>
      <c r="O525" s="9">
        <f t="shared" si="8"/>
        <v>4.8486389692403868E-2</v>
      </c>
      <c r="P525" s="6" t="s">
        <v>22</v>
      </c>
    </row>
    <row r="526" spans="1:16" x14ac:dyDescent="0.25">
      <c r="A526" s="2" t="s">
        <v>1121</v>
      </c>
      <c r="B526" s="2" t="s">
        <v>1122</v>
      </c>
      <c r="C526" s="2" t="s">
        <v>18</v>
      </c>
      <c r="D526" s="3" t="s">
        <v>57</v>
      </c>
      <c r="E526" s="3" t="s">
        <v>50</v>
      </c>
      <c r="F526" s="2" t="s">
        <v>21</v>
      </c>
      <c r="G526" s="4">
        <v>756609</v>
      </c>
      <c r="H526" s="4">
        <v>265942</v>
      </c>
      <c r="I526" s="4">
        <v>193361</v>
      </c>
      <c r="J526" s="4">
        <v>7485</v>
      </c>
      <c r="K526" s="4">
        <v>824</v>
      </c>
      <c r="L526" s="4">
        <v>855</v>
      </c>
      <c r="M526" s="4">
        <v>509</v>
      </c>
      <c r="N526" s="4">
        <v>6848</v>
      </c>
      <c r="O526" s="5">
        <f t="shared" si="8"/>
        <v>5.0025599784858377E-2</v>
      </c>
      <c r="P526" s="2" t="s">
        <v>29</v>
      </c>
    </row>
    <row r="527" spans="1:16" x14ac:dyDescent="0.25">
      <c r="A527" s="6" t="s">
        <v>1123</v>
      </c>
      <c r="B527" s="6" t="s">
        <v>1124</v>
      </c>
      <c r="C527" s="6" t="s">
        <v>18</v>
      </c>
      <c r="D527" s="7" t="s">
        <v>57</v>
      </c>
      <c r="E527" s="7" t="s">
        <v>45</v>
      </c>
      <c r="F527" s="6" t="s">
        <v>73</v>
      </c>
      <c r="G527" s="8">
        <v>774254</v>
      </c>
      <c r="H527" s="8">
        <v>350531</v>
      </c>
      <c r="I527" s="8">
        <v>288703</v>
      </c>
      <c r="J527" s="8">
        <v>25016</v>
      </c>
      <c r="K527" s="8">
        <v>3784</v>
      </c>
      <c r="L527" s="8">
        <v>1227</v>
      </c>
      <c r="M527" s="8">
        <v>1829</v>
      </c>
      <c r="N527" s="8">
        <v>2674</v>
      </c>
      <c r="O527" s="9">
        <f t="shared" si="8"/>
        <v>0.11034176991579582</v>
      </c>
      <c r="P527" s="6" t="s">
        <v>22</v>
      </c>
    </row>
    <row r="528" spans="1:16" x14ac:dyDescent="0.25">
      <c r="A528" s="2" t="s">
        <v>1125</v>
      </c>
      <c r="B528" s="2" t="s">
        <v>1126</v>
      </c>
      <c r="C528" s="2" t="s">
        <v>76</v>
      </c>
      <c r="D528" s="3" t="s">
        <v>189</v>
      </c>
      <c r="E528" s="3" t="s">
        <v>50</v>
      </c>
      <c r="F528" s="2" t="s">
        <v>155</v>
      </c>
      <c r="G528" s="4">
        <v>331094</v>
      </c>
      <c r="H528" s="4">
        <v>135365</v>
      </c>
      <c r="I528" s="4">
        <v>104011</v>
      </c>
      <c r="J528" s="4">
        <v>7499</v>
      </c>
      <c r="K528" s="4">
        <v>438</v>
      </c>
      <c r="L528" s="4">
        <v>528</v>
      </c>
      <c r="M528" s="4">
        <v>1010</v>
      </c>
      <c r="N528" s="4">
        <v>3808</v>
      </c>
      <c r="O528" s="5">
        <f t="shared" si="8"/>
        <v>9.1096134062743361E-2</v>
      </c>
      <c r="P528" s="2" t="s">
        <v>29</v>
      </c>
    </row>
    <row r="529" spans="1:16" x14ac:dyDescent="0.25">
      <c r="A529" s="6" t="s">
        <v>1127</v>
      </c>
      <c r="B529" s="6" t="s">
        <v>1128</v>
      </c>
      <c r="C529" s="6" t="s">
        <v>43</v>
      </c>
      <c r="D529" s="7" t="s">
        <v>172</v>
      </c>
      <c r="E529" s="7" t="s">
        <v>20</v>
      </c>
      <c r="F529" s="6" t="s">
        <v>70</v>
      </c>
      <c r="G529" s="8">
        <v>417015</v>
      </c>
      <c r="H529" s="8">
        <v>2225037</v>
      </c>
      <c r="I529" s="8">
        <v>1628358</v>
      </c>
      <c r="J529" s="8">
        <v>170378</v>
      </c>
      <c r="K529" s="8">
        <v>26507</v>
      </c>
      <c r="L529" s="8">
        <v>14478</v>
      </c>
      <c r="M529" s="8">
        <v>29</v>
      </c>
      <c r="N529" s="8">
        <v>20965</v>
      </c>
      <c r="O529" s="9">
        <f t="shared" si="8"/>
        <v>0.12981911840025351</v>
      </c>
      <c r="P529" s="6" t="s">
        <v>22</v>
      </c>
    </row>
    <row r="530" spans="1:16" x14ac:dyDescent="0.25">
      <c r="A530" s="2" t="s">
        <v>1129</v>
      </c>
      <c r="B530" s="2" t="s">
        <v>1130</v>
      </c>
      <c r="C530" s="2" t="s">
        <v>76</v>
      </c>
      <c r="D530" s="3" t="s">
        <v>189</v>
      </c>
      <c r="E530" s="3" t="s">
        <v>50</v>
      </c>
      <c r="F530" s="2" t="s">
        <v>78</v>
      </c>
      <c r="G530" s="4">
        <v>529281</v>
      </c>
      <c r="H530" s="4">
        <v>79590</v>
      </c>
      <c r="I530" s="4">
        <v>65763</v>
      </c>
      <c r="J530" s="4">
        <v>4605</v>
      </c>
      <c r="K530" s="4">
        <v>287</v>
      </c>
      <c r="L530" s="4">
        <v>266</v>
      </c>
      <c r="M530" s="4">
        <v>1120</v>
      </c>
      <c r="N530" s="4">
        <v>538</v>
      </c>
      <c r="O530" s="5">
        <f t="shared" si="8"/>
        <v>9.5464014719523135E-2</v>
      </c>
      <c r="P530" s="2" t="s">
        <v>29</v>
      </c>
    </row>
    <row r="531" spans="1:16" x14ac:dyDescent="0.25">
      <c r="A531" s="6" t="s">
        <v>1131</v>
      </c>
      <c r="B531" s="6" t="s">
        <v>1132</v>
      </c>
      <c r="C531" s="6" t="s">
        <v>25</v>
      </c>
      <c r="D531" s="7" t="s">
        <v>145</v>
      </c>
      <c r="E531" s="7" t="s">
        <v>20</v>
      </c>
      <c r="F531" s="6" t="s">
        <v>65</v>
      </c>
      <c r="G531" s="8">
        <v>765229</v>
      </c>
      <c r="H531" s="8">
        <v>490589</v>
      </c>
      <c r="I531" s="8">
        <v>441884</v>
      </c>
      <c r="J531" s="8">
        <v>14497</v>
      </c>
      <c r="K531" s="8">
        <v>481</v>
      </c>
      <c r="L531" s="8">
        <v>1029</v>
      </c>
      <c r="M531" s="8">
        <v>1949</v>
      </c>
      <c r="N531" s="8">
        <v>9420</v>
      </c>
      <c r="O531" s="9">
        <f t="shared" si="8"/>
        <v>4.063509880421106E-2</v>
      </c>
      <c r="P531" s="6" t="s">
        <v>22</v>
      </c>
    </row>
    <row r="532" spans="1:16" x14ac:dyDescent="0.25">
      <c r="A532" s="2" t="s">
        <v>1133</v>
      </c>
      <c r="B532" s="2" t="s">
        <v>1134</v>
      </c>
      <c r="C532" s="2" t="s">
        <v>18</v>
      </c>
      <c r="D532" s="3" t="s">
        <v>231</v>
      </c>
      <c r="E532" s="3" t="s">
        <v>45</v>
      </c>
      <c r="F532" s="2" t="s">
        <v>21</v>
      </c>
      <c r="G532" s="4">
        <v>737665</v>
      </c>
      <c r="H532" s="4">
        <v>224582</v>
      </c>
      <c r="I532" s="4">
        <v>173186</v>
      </c>
      <c r="J532" s="4">
        <v>15154</v>
      </c>
      <c r="K532" s="4">
        <v>2422</v>
      </c>
      <c r="L532" s="4">
        <v>409</v>
      </c>
      <c r="M532" s="4">
        <v>3590</v>
      </c>
      <c r="N532" s="4">
        <v>3171</v>
      </c>
      <c r="O532" s="5">
        <f t="shared" si="8"/>
        <v>0.12457704433383761</v>
      </c>
      <c r="P532" s="2" t="s">
        <v>29</v>
      </c>
    </row>
    <row r="533" spans="1:16" x14ac:dyDescent="0.25">
      <c r="A533" s="6" t="s">
        <v>1135</v>
      </c>
      <c r="B533" s="6" t="s">
        <v>1136</v>
      </c>
      <c r="C533" s="6" t="s">
        <v>32</v>
      </c>
      <c r="D533" s="7" t="s">
        <v>38</v>
      </c>
      <c r="E533" s="7" t="s">
        <v>20</v>
      </c>
      <c r="F533" s="6" t="s">
        <v>51</v>
      </c>
      <c r="G533" s="8">
        <v>231232</v>
      </c>
      <c r="H533" s="8">
        <v>44286</v>
      </c>
      <c r="I533" s="8">
        <v>31089</v>
      </c>
      <c r="J533" s="8">
        <v>2814</v>
      </c>
      <c r="K533" s="8">
        <v>327</v>
      </c>
      <c r="L533" s="8">
        <v>304</v>
      </c>
      <c r="M533" s="8">
        <v>9</v>
      </c>
      <c r="N533" s="8">
        <v>721</v>
      </c>
      <c r="O533" s="9">
        <f t="shared" si="8"/>
        <v>0.11110038920518511</v>
      </c>
      <c r="P533" s="6" t="s">
        <v>66</v>
      </c>
    </row>
    <row r="534" spans="1:16" x14ac:dyDescent="0.25">
      <c r="A534" s="2" t="s">
        <v>1137</v>
      </c>
      <c r="B534" s="2" t="s">
        <v>1138</v>
      </c>
      <c r="C534" s="2" t="s">
        <v>76</v>
      </c>
      <c r="D534" s="3" t="s">
        <v>103</v>
      </c>
      <c r="E534" s="3" t="s">
        <v>39</v>
      </c>
      <c r="F534" s="2" t="s">
        <v>155</v>
      </c>
      <c r="G534" s="4">
        <v>57521</v>
      </c>
      <c r="H534" s="4">
        <v>21501</v>
      </c>
      <c r="I534" s="4">
        <v>17857</v>
      </c>
      <c r="J534" s="4">
        <v>1681</v>
      </c>
      <c r="K534" s="4">
        <v>208</v>
      </c>
      <c r="L534" s="4">
        <v>121</v>
      </c>
      <c r="M534" s="4">
        <v>95</v>
      </c>
      <c r="N534" s="4">
        <v>262</v>
      </c>
      <c r="O534" s="5">
        <f t="shared" si="8"/>
        <v>0.11788094304754439</v>
      </c>
      <c r="P534" s="2" t="s">
        <v>22</v>
      </c>
    </row>
    <row r="535" spans="1:16" x14ac:dyDescent="0.25">
      <c r="A535" s="6" t="s">
        <v>1139</v>
      </c>
      <c r="B535" s="6" t="s">
        <v>1140</v>
      </c>
      <c r="C535" s="6" t="s">
        <v>32</v>
      </c>
      <c r="D535" s="7" t="s">
        <v>175</v>
      </c>
      <c r="E535" s="7" t="s">
        <v>39</v>
      </c>
      <c r="F535" s="6" t="s">
        <v>35</v>
      </c>
      <c r="G535" s="8">
        <v>291084</v>
      </c>
      <c r="H535" s="8">
        <v>97139</v>
      </c>
      <c r="I535" s="8">
        <v>70561</v>
      </c>
      <c r="J535" s="8">
        <v>2424</v>
      </c>
      <c r="K535" s="8">
        <v>250</v>
      </c>
      <c r="L535" s="8">
        <v>259</v>
      </c>
      <c r="M535" s="8">
        <v>32</v>
      </c>
      <c r="N535" s="8">
        <v>1141</v>
      </c>
      <c r="O535" s="9">
        <f t="shared" si="8"/>
        <v>4.2020379529768566E-2</v>
      </c>
      <c r="P535" s="6" t="s">
        <v>22</v>
      </c>
    </row>
    <row r="536" spans="1:16" x14ac:dyDescent="0.25">
      <c r="A536" s="2" t="s">
        <v>1141</v>
      </c>
      <c r="B536" s="2" t="s">
        <v>1142</v>
      </c>
      <c r="C536" s="2" t="s">
        <v>76</v>
      </c>
      <c r="D536" s="3" t="s">
        <v>189</v>
      </c>
      <c r="E536" s="3" t="s">
        <v>20</v>
      </c>
      <c r="F536" s="2" t="s">
        <v>104</v>
      </c>
      <c r="G536" s="4">
        <v>510211</v>
      </c>
      <c r="H536" s="4">
        <v>245187</v>
      </c>
      <c r="I536" s="4">
        <v>202454</v>
      </c>
      <c r="J536" s="4">
        <v>6366</v>
      </c>
      <c r="K536" s="4">
        <v>251</v>
      </c>
      <c r="L536" s="4">
        <v>879</v>
      </c>
      <c r="M536" s="4">
        <v>1330</v>
      </c>
      <c r="N536" s="4">
        <v>2585</v>
      </c>
      <c r="O536" s="5">
        <f t="shared" si="8"/>
        <v>4.3595088266964351E-2</v>
      </c>
      <c r="P536" s="2" t="s">
        <v>29</v>
      </c>
    </row>
    <row r="537" spans="1:16" x14ac:dyDescent="0.25">
      <c r="A537" s="6" t="s">
        <v>1143</v>
      </c>
      <c r="B537" s="6" t="s">
        <v>1144</v>
      </c>
      <c r="C537" s="6" t="s">
        <v>43</v>
      </c>
      <c r="D537" s="7" t="s">
        <v>172</v>
      </c>
      <c r="E537" s="7" t="s">
        <v>39</v>
      </c>
      <c r="F537" s="6" t="s">
        <v>70</v>
      </c>
      <c r="G537" s="8">
        <v>546607</v>
      </c>
      <c r="H537" s="8">
        <v>211656</v>
      </c>
      <c r="I537" s="8">
        <v>184948</v>
      </c>
      <c r="J537" s="8">
        <v>5808</v>
      </c>
      <c r="K537" s="8">
        <v>830</v>
      </c>
      <c r="L537" s="8">
        <v>845</v>
      </c>
      <c r="M537" s="8">
        <v>7</v>
      </c>
      <c r="N537" s="8">
        <v>2205</v>
      </c>
      <c r="O537" s="9">
        <f t="shared" si="8"/>
        <v>4.0497869671475228E-2</v>
      </c>
      <c r="P537" s="6" t="s">
        <v>22</v>
      </c>
    </row>
    <row r="538" spans="1:16" x14ac:dyDescent="0.25">
      <c r="A538" s="2" t="s">
        <v>1145</v>
      </c>
      <c r="B538" s="2" t="s">
        <v>1146</v>
      </c>
      <c r="C538" s="2" t="s">
        <v>18</v>
      </c>
      <c r="D538" s="3" t="s">
        <v>226</v>
      </c>
      <c r="E538" s="3" t="s">
        <v>34</v>
      </c>
      <c r="F538" s="2" t="s">
        <v>21</v>
      </c>
      <c r="G538" s="4">
        <v>605516</v>
      </c>
      <c r="H538" s="4">
        <v>104082</v>
      </c>
      <c r="I538" s="4">
        <v>78736</v>
      </c>
      <c r="J538" s="4">
        <v>6784</v>
      </c>
      <c r="K538" s="4">
        <v>289</v>
      </c>
      <c r="L538" s="4">
        <v>245</v>
      </c>
      <c r="M538" s="4">
        <v>744</v>
      </c>
      <c r="N538" s="4">
        <v>3537</v>
      </c>
      <c r="O538" s="5">
        <f t="shared" si="8"/>
        <v>0.10239280634017477</v>
      </c>
      <c r="P538" s="2" t="s">
        <v>22</v>
      </c>
    </row>
    <row r="539" spans="1:16" x14ac:dyDescent="0.25">
      <c r="A539" s="6" t="s">
        <v>1147</v>
      </c>
      <c r="B539" s="6" t="s">
        <v>1148</v>
      </c>
      <c r="C539" s="6" t="s">
        <v>76</v>
      </c>
      <c r="D539" s="7" t="s">
        <v>189</v>
      </c>
      <c r="E539" s="7" t="s">
        <v>50</v>
      </c>
      <c r="F539" s="6" t="s">
        <v>104</v>
      </c>
      <c r="G539" s="8">
        <v>149148</v>
      </c>
      <c r="H539" s="8">
        <v>71025</v>
      </c>
      <c r="I539" s="8">
        <v>63948</v>
      </c>
      <c r="J539" s="8">
        <v>5668</v>
      </c>
      <c r="K539" s="8">
        <v>685</v>
      </c>
      <c r="L539" s="8">
        <v>489</v>
      </c>
      <c r="M539" s="8">
        <v>1063</v>
      </c>
      <c r="N539" s="8">
        <v>1766</v>
      </c>
      <c r="O539" s="9">
        <f t="shared" si="8"/>
        <v>0.12361606305122913</v>
      </c>
      <c r="P539" s="6" t="s">
        <v>22</v>
      </c>
    </row>
    <row r="540" spans="1:16" x14ac:dyDescent="0.25">
      <c r="A540" s="2" t="s">
        <v>1149</v>
      </c>
      <c r="B540" s="2" t="s">
        <v>1150</v>
      </c>
      <c r="C540" s="2" t="s">
        <v>25</v>
      </c>
      <c r="D540" s="3" t="s">
        <v>64</v>
      </c>
      <c r="E540" s="3" t="s">
        <v>27</v>
      </c>
      <c r="F540" s="2" t="s">
        <v>146</v>
      </c>
      <c r="G540" s="4">
        <v>623029</v>
      </c>
      <c r="H540" s="4">
        <v>95473</v>
      </c>
      <c r="I540" s="4">
        <v>75695</v>
      </c>
      <c r="J540" s="4">
        <v>5059</v>
      </c>
      <c r="K540" s="4">
        <v>349</v>
      </c>
      <c r="L540" s="4">
        <v>528</v>
      </c>
      <c r="M540" s="4">
        <v>418</v>
      </c>
      <c r="N540" s="4">
        <v>1783</v>
      </c>
      <c r="O540" s="5">
        <f t="shared" si="8"/>
        <v>8.3942136204504927E-2</v>
      </c>
      <c r="P540" s="2" t="s">
        <v>66</v>
      </c>
    </row>
    <row r="541" spans="1:16" x14ac:dyDescent="0.25">
      <c r="A541" s="6" t="s">
        <v>1151</v>
      </c>
      <c r="B541" s="6" t="s">
        <v>1152</v>
      </c>
      <c r="C541" s="6" t="s">
        <v>43</v>
      </c>
      <c r="D541" s="7" t="s">
        <v>44</v>
      </c>
      <c r="E541" s="7" t="s">
        <v>34</v>
      </c>
      <c r="F541" s="6" t="s">
        <v>107</v>
      </c>
      <c r="G541" s="8">
        <v>770765</v>
      </c>
      <c r="H541" s="8">
        <v>339813</v>
      </c>
      <c r="I541" s="8">
        <v>252269</v>
      </c>
      <c r="J541" s="8">
        <v>14383</v>
      </c>
      <c r="K541" s="8">
        <v>1849</v>
      </c>
      <c r="L541" s="8">
        <v>1821</v>
      </c>
      <c r="M541" s="8">
        <v>38</v>
      </c>
      <c r="N541" s="8">
        <v>3371</v>
      </c>
      <c r="O541" s="9">
        <f t="shared" si="8"/>
        <v>7.1713131617440112E-2</v>
      </c>
      <c r="P541" s="6" t="s">
        <v>29</v>
      </c>
    </row>
    <row r="542" spans="1:16" x14ac:dyDescent="0.25">
      <c r="A542" s="2" t="s">
        <v>1153</v>
      </c>
      <c r="B542" s="2" t="s">
        <v>1154</v>
      </c>
      <c r="C542" s="2" t="s">
        <v>43</v>
      </c>
      <c r="D542" s="3" t="s">
        <v>44</v>
      </c>
      <c r="E542" s="3" t="s">
        <v>34</v>
      </c>
      <c r="F542" s="2" t="s">
        <v>46</v>
      </c>
      <c r="G542" s="4">
        <v>133174</v>
      </c>
      <c r="H542" s="4">
        <v>62574</v>
      </c>
      <c r="I542" s="4">
        <v>44709</v>
      </c>
      <c r="J542" s="4">
        <v>3654</v>
      </c>
      <c r="K542" s="4">
        <v>308</v>
      </c>
      <c r="L542" s="4">
        <v>231</v>
      </c>
      <c r="M542" s="4">
        <v>17</v>
      </c>
      <c r="N542" s="4">
        <v>587</v>
      </c>
      <c r="O542" s="5">
        <f t="shared" si="8"/>
        <v>9.4164485897693981E-2</v>
      </c>
      <c r="P542" s="2" t="s">
        <v>29</v>
      </c>
    </row>
    <row r="543" spans="1:16" x14ac:dyDescent="0.25">
      <c r="A543" s="6" t="s">
        <v>1155</v>
      </c>
      <c r="B543" s="6" t="s">
        <v>1156</v>
      </c>
      <c r="C543" s="6" t="s">
        <v>25</v>
      </c>
      <c r="D543" s="7" t="s">
        <v>26</v>
      </c>
      <c r="E543" s="7" t="s">
        <v>34</v>
      </c>
      <c r="F543" s="6" t="s">
        <v>54</v>
      </c>
      <c r="G543" s="8">
        <v>186767</v>
      </c>
      <c r="H543" s="8">
        <v>108145</v>
      </c>
      <c r="I543" s="8">
        <v>95242</v>
      </c>
      <c r="J543" s="8">
        <v>5339</v>
      </c>
      <c r="K543" s="8">
        <v>583</v>
      </c>
      <c r="L543" s="8">
        <v>592</v>
      </c>
      <c r="M543" s="8">
        <v>1191</v>
      </c>
      <c r="N543" s="8">
        <v>2330</v>
      </c>
      <c r="O543" s="9">
        <f t="shared" si="8"/>
        <v>8.0899183133491523E-2</v>
      </c>
      <c r="P543" s="6" t="s">
        <v>29</v>
      </c>
    </row>
    <row r="544" spans="1:16" x14ac:dyDescent="0.25">
      <c r="A544" s="2" t="s">
        <v>1157</v>
      </c>
      <c r="B544" s="2" t="s">
        <v>1158</v>
      </c>
      <c r="C544" s="2" t="s">
        <v>32</v>
      </c>
      <c r="D544" s="3" t="s">
        <v>49</v>
      </c>
      <c r="E544" s="3" t="s">
        <v>50</v>
      </c>
      <c r="F544" s="2" t="s">
        <v>35</v>
      </c>
      <c r="G544" s="4">
        <v>502525</v>
      </c>
      <c r="H544" s="4">
        <v>114407</v>
      </c>
      <c r="I544" s="4">
        <v>93011</v>
      </c>
      <c r="J544" s="4">
        <v>3355</v>
      </c>
      <c r="K544" s="4">
        <v>164</v>
      </c>
      <c r="L544" s="4">
        <v>232</v>
      </c>
      <c r="M544" s="4">
        <v>47</v>
      </c>
      <c r="N544" s="4">
        <v>1489</v>
      </c>
      <c r="O544" s="5">
        <f t="shared" si="8"/>
        <v>4.083387986367204E-2</v>
      </c>
      <c r="P544" s="2" t="s">
        <v>66</v>
      </c>
    </row>
    <row r="545" spans="1:16" x14ac:dyDescent="0.25">
      <c r="A545" s="6" t="s">
        <v>1159</v>
      </c>
      <c r="B545" s="6" t="s">
        <v>1160</v>
      </c>
      <c r="C545" s="6" t="s">
        <v>25</v>
      </c>
      <c r="D545" s="7" t="s">
        <v>61</v>
      </c>
      <c r="E545" s="7" t="s">
        <v>39</v>
      </c>
      <c r="F545" s="6" t="s">
        <v>65</v>
      </c>
      <c r="G545" s="8">
        <v>194499</v>
      </c>
      <c r="H545" s="8">
        <v>54806</v>
      </c>
      <c r="I545" s="8">
        <v>44419</v>
      </c>
      <c r="J545" s="8">
        <v>2003</v>
      </c>
      <c r="K545" s="8">
        <v>188</v>
      </c>
      <c r="L545" s="8">
        <v>285</v>
      </c>
      <c r="M545" s="8">
        <v>453</v>
      </c>
      <c r="N545" s="8">
        <v>1612</v>
      </c>
      <c r="O545" s="9">
        <f t="shared" si="8"/>
        <v>6.5940250793579319E-2</v>
      </c>
      <c r="P545" s="6" t="s">
        <v>22</v>
      </c>
    </row>
    <row r="546" spans="1:16" x14ac:dyDescent="0.25">
      <c r="A546" s="2" t="s">
        <v>1161</v>
      </c>
      <c r="B546" s="2" t="s">
        <v>1162</v>
      </c>
      <c r="C546" s="2" t="s">
        <v>18</v>
      </c>
      <c r="D546" s="3" t="s">
        <v>226</v>
      </c>
      <c r="E546" s="3" t="s">
        <v>45</v>
      </c>
      <c r="F546" s="2" t="s">
        <v>21</v>
      </c>
      <c r="G546" s="4">
        <v>82918</v>
      </c>
      <c r="H546" s="4">
        <v>51290</v>
      </c>
      <c r="I546" s="4">
        <v>42394</v>
      </c>
      <c r="J546" s="4">
        <v>1286</v>
      </c>
      <c r="K546" s="4">
        <v>93</v>
      </c>
      <c r="L546" s="4">
        <v>181</v>
      </c>
      <c r="M546" s="4">
        <v>272</v>
      </c>
      <c r="N546" s="4">
        <v>272</v>
      </c>
      <c r="O546" s="5">
        <f t="shared" si="8"/>
        <v>4.3213662310704344E-2</v>
      </c>
      <c r="P546" s="2" t="s">
        <v>66</v>
      </c>
    </row>
    <row r="547" spans="1:16" x14ac:dyDescent="0.25">
      <c r="A547" s="6" t="s">
        <v>1163</v>
      </c>
      <c r="B547" s="6" t="s">
        <v>1164</v>
      </c>
      <c r="C547" s="6" t="s">
        <v>25</v>
      </c>
      <c r="D547" s="7" t="s">
        <v>26</v>
      </c>
      <c r="E547" s="7" t="s">
        <v>39</v>
      </c>
      <c r="F547" s="6" t="s">
        <v>54</v>
      </c>
      <c r="G547" s="8">
        <v>427667</v>
      </c>
      <c r="H547" s="8">
        <v>1007509</v>
      </c>
      <c r="I547" s="8">
        <v>706872</v>
      </c>
      <c r="J547" s="8">
        <v>45840</v>
      </c>
      <c r="K547" s="8">
        <v>5049</v>
      </c>
      <c r="L547" s="8">
        <v>2973</v>
      </c>
      <c r="M547" s="8">
        <v>11407</v>
      </c>
      <c r="N547" s="8">
        <v>25021</v>
      </c>
      <c r="O547" s="9">
        <f t="shared" si="8"/>
        <v>9.2334963048472704E-2</v>
      </c>
      <c r="P547" s="6" t="s">
        <v>66</v>
      </c>
    </row>
    <row r="548" spans="1:16" x14ac:dyDescent="0.25">
      <c r="A548" s="2" t="s">
        <v>1165</v>
      </c>
      <c r="B548" s="2" t="s">
        <v>1166</v>
      </c>
      <c r="C548" s="2" t="s">
        <v>76</v>
      </c>
      <c r="D548" s="3" t="s">
        <v>189</v>
      </c>
      <c r="E548" s="3" t="s">
        <v>39</v>
      </c>
      <c r="F548" s="2" t="s">
        <v>155</v>
      </c>
      <c r="G548" s="4">
        <v>709787</v>
      </c>
      <c r="H548" s="4">
        <v>365763</v>
      </c>
      <c r="I548" s="4">
        <v>270101</v>
      </c>
      <c r="J548" s="4">
        <v>15370</v>
      </c>
      <c r="K548" s="4">
        <v>768</v>
      </c>
      <c r="L548" s="4">
        <v>1013</v>
      </c>
      <c r="M548" s="4">
        <v>924</v>
      </c>
      <c r="N548" s="4">
        <v>7265</v>
      </c>
      <c r="O548" s="5">
        <f t="shared" si="8"/>
        <v>6.6919411627502298E-2</v>
      </c>
      <c r="P548" s="2" t="s">
        <v>22</v>
      </c>
    </row>
    <row r="549" spans="1:16" x14ac:dyDescent="0.25">
      <c r="A549" s="6" t="s">
        <v>1167</v>
      </c>
      <c r="B549" s="6" t="s">
        <v>1168</v>
      </c>
      <c r="C549" s="6" t="s">
        <v>25</v>
      </c>
      <c r="D549" s="7" t="s">
        <v>61</v>
      </c>
      <c r="E549" s="7" t="s">
        <v>34</v>
      </c>
      <c r="F549" s="6" t="s">
        <v>28</v>
      </c>
      <c r="G549" s="8">
        <v>316210</v>
      </c>
      <c r="H549" s="8">
        <v>73015</v>
      </c>
      <c r="I549" s="8">
        <v>62965</v>
      </c>
      <c r="J549" s="8">
        <v>3952</v>
      </c>
      <c r="K549" s="8">
        <v>247</v>
      </c>
      <c r="L549" s="8">
        <v>235</v>
      </c>
      <c r="M549" s="8">
        <v>935</v>
      </c>
      <c r="N549" s="8">
        <v>1773</v>
      </c>
      <c r="O549" s="9">
        <f t="shared" si="8"/>
        <v>8.5269594219010564E-2</v>
      </c>
      <c r="P549" s="6" t="s">
        <v>29</v>
      </c>
    </row>
    <row r="550" spans="1:16" x14ac:dyDescent="0.25">
      <c r="A550" s="2" t="s">
        <v>1169</v>
      </c>
      <c r="B550" s="2" t="s">
        <v>1170</v>
      </c>
      <c r="C550" s="2" t="s">
        <v>32</v>
      </c>
      <c r="D550" s="3" t="s">
        <v>175</v>
      </c>
      <c r="E550" s="3" t="s">
        <v>50</v>
      </c>
      <c r="F550" s="2" t="s">
        <v>128</v>
      </c>
      <c r="G550" s="4">
        <v>647930</v>
      </c>
      <c r="H550" s="4">
        <v>162021</v>
      </c>
      <c r="I550" s="4">
        <v>113598</v>
      </c>
      <c r="J550" s="4">
        <v>11894</v>
      </c>
      <c r="K550" s="4">
        <v>688</v>
      </c>
      <c r="L550" s="4">
        <v>786</v>
      </c>
      <c r="M550" s="4">
        <v>6</v>
      </c>
      <c r="N550" s="4">
        <v>2904</v>
      </c>
      <c r="O550" s="5">
        <f t="shared" si="8"/>
        <v>0.11773094596735859</v>
      </c>
      <c r="P550" s="2" t="s">
        <v>22</v>
      </c>
    </row>
    <row r="551" spans="1:16" x14ac:dyDescent="0.25">
      <c r="A551" s="6" t="s">
        <v>1171</v>
      </c>
      <c r="B551" s="6" t="s">
        <v>1172</v>
      </c>
      <c r="C551" s="6" t="s">
        <v>32</v>
      </c>
      <c r="D551" s="7" t="s">
        <v>175</v>
      </c>
      <c r="E551" s="7" t="s">
        <v>39</v>
      </c>
      <c r="F551" s="6" t="s">
        <v>128</v>
      </c>
      <c r="G551" s="8">
        <v>165690</v>
      </c>
      <c r="H551" s="8">
        <v>36878</v>
      </c>
      <c r="I551" s="8">
        <v>29022</v>
      </c>
      <c r="J551" s="8">
        <v>1399</v>
      </c>
      <c r="K551" s="8">
        <v>131</v>
      </c>
      <c r="L551" s="8">
        <v>61</v>
      </c>
      <c r="M551" s="8">
        <v>17</v>
      </c>
      <c r="N551" s="8">
        <v>304</v>
      </c>
      <c r="O551" s="9">
        <f t="shared" si="8"/>
        <v>5.5406243539383913E-2</v>
      </c>
      <c r="P551" s="6" t="s">
        <v>22</v>
      </c>
    </row>
    <row r="552" spans="1:16" x14ac:dyDescent="0.25">
      <c r="A552" s="2" t="s">
        <v>1173</v>
      </c>
      <c r="B552" s="2" t="s">
        <v>1174</v>
      </c>
      <c r="C552" s="2" t="s">
        <v>18</v>
      </c>
      <c r="D552" s="3" t="s">
        <v>57</v>
      </c>
      <c r="E552" s="3" t="s">
        <v>34</v>
      </c>
      <c r="F552" s="2" t="s">
        <v>58</v>
      </c>
      <c r="G552" s="4">
        <v>746170</v>
      </c>
      <c r="H552" s="4">
        <v>140319</v>
      </c>
      <c r="I552" s="4">
        <v>102350</v>
      </c>
      <c r="J552" s="4">
        <v>6351</v>
      </c>
      <c r="K552" s="4">
        <v>506</v>
      </c>
      <c r="L552" s="4">
        <v>153</v>
      </c>
      <c r="M552" s="4">
        <v>1163</v>
      </c>
      <c r="N552" s="4">
        <v>4693</v>
      </c>
      <c r="O552" s="5">
        <f t="shared" si="8"/>
        <v>7.9853444064484608E-2</v>
      </c>
      <c r="P552" s="2" t="s">
        <v>66</v>
      </c>
    </row>
    <row r="553" spans="1:16" x14ac:dyDescent="0.25">
      <c r="A553" s="6" t="s">
        <v>1175</v>
      </c>
      <c r="B553" s="6" t="s">
        <v>1176</v>
      </c>
      <c r="C553" s="6" t="s">
        <v>43</v>
      </c>
      <c r="D553" s="7" t="s">
        <v>69</v>
      </c>
      <c r="E553" s="7" t="s">
        <v>45</v>
      </c>
      <c r="F553" s="6" t="s">
        <v>107</v>
      </c>
      <c r="G553" s="8">
        <v>136124</v>
      </c>
      <c r="H553" s="8">
        <v>70199</v>
      </c>
      <c r="I553" s="8">
        <v>56889</v>
      </c>
      <c r="J553" s="8">
        <v>5293</v>
      </c>
      <c r="K553" s="8">
        <v>828</v>
      </c>
      <c r="L553" s="8">
        <v>373</v>
      </c>
      <c r="M553" s="8">
        <v>7</v>
      </c>
      <c r="N553" s="8">
        <v>2367</v>
      </c>
      <c r="O553" s="9">
        <f t="shared" si="8"/>
        <v>0.11427516743131361</v>
      </c>
      <c r="P553" s="6" t="s">
        <v>29</v>
      </c>
    </row>
    <row r="554" spans="1:16" x14ac:dyDescent="0.25">
      <c r="A554" s="2" t="s">
        <v>1177</v>
      </c>
      <c r="B554" s="2" t="s">
        <v>1178</v>
      </c>
      <c r="C554" s="2" t="s">
        <v>76</v>
      </c>
      <c r="D554" s="3" t="s">
        <v>86</v>
      </c>
      <c r="E554" s="3" t="s">
        <v>34</v>
      </c>
      <c r="F554" s="2" t="s">
        <v>78</v>
      </c>
      <c r="G554" s="4">
        <v>453036</v>
      </c>
      <c r="H554" s="4">
        <v>226670</v>
      </c>
      <c r="I554" s="4">
        <v>182614</v>
      </c>
      <c r="J554" s="4">
        <v>8371</v>
      </c>
      <c r="K554" s="4">
        <v>354</v>
      </c>
      <c r="L554" s="4">
        <v>634</v>
      </c>
      <c r="M554" s="4">
        <v>1452</v>
      </c>
      <c r="N554" s="4">
        <v>6092</v>
      </c>
      <c r="O554" s="5">
        <f t="shared" si="8"/>
        <v>5.9201375579090325E-2</v>
      </c>
      <c r="P554" s="2" t="s">
        <v>22</v>
      </c>
    </row>
    <row r="555" spans="1:16" x14ac:dyDescent="0.25">
      <c r="A555" s="6" t="s">
        <v>1179</v>
      </c>
      <c r="B555" s="6" t="s">
        <v>1180</v>
      </c>
      <c r="C555" s="6" t="s">
        <v>25</v>
      </c>
      <c r="D555" s="7" t="s">
        <v>26</v>
      </c>
      <c r="E555" s="7" t="s">
        <v>20</v>
      </c>
      <c r="F555" s="6" t="s">
        <v>65</v>
      </c>
      <c r="G555" s="8">
        <v>743277</v>
      </c>
      <c r="H555" s="8">
        <v>103127</v>
      </c>
      <c r="I555" s="8">
        <v>83585</v>
      </c>
      <c r="J555" s="8">
        <v>3183</v>
      </c>
      <c r="K555" s="8">
        <v>569</v>
      </c>
      <c r="L555" s="8">
        <v>308</v>
      </c>
      <c r="M555" s="8">
        <v>563</v>
      </c>
      <c r="N555" s="8">
        <v>1225</v>
      </c>
      <c r="O555" s="9">
        <f t="shared" si="8"/>
        <v>5.5308966919901899E-2</v>
      </c>
      <c r="P555" s="6" t="s">
        <v>22</v>
      </c>
    </row>
    <row r="556" spans="1:16" x14ac:dyDescent="0.25">
      <c r="A556" s="2" t="s">
        <v>1181</v>
      </c>
      <c r="B556" s="2" t="s">
        <v>1182</v>
      </c>
      <c r="C556" s="2" t="s">
        <v>25</v>
      </c>
      <c r="D556" s="3" t="s">
        <v>26</v>
      </c>
      <c r="E556" s="3" t="s">
        <v>34</v>
      </c>
      <c r="F556" s="2" t="s">
        <v>146</v>
      </c>
      <c r="G556" s="4">
        <v>97852</v>
      </c>
      <c r="H556" s="4">
        <v>29042</v>
      </c>
      <c r="I556" s="4">
        <v>22287</v>
      </c>
      <c r="J556" s="4">
        <v>1684</v>
      </c>
      <c r="K556" s="4">
        <v>108</v>
      </c>
      <c r="L556" s="4">
        <v>107</v>
      </c>
      <c r="M556" s="4">
        <v>245</v>
      </c>
      <c r="N556" s="4">
        <v>589</v>
      </c>
      <c r="O556" s="5">
        <f t="shared" si="8"/>
        <v>9.6199578229461125E-2</v>
      </c>
      <c r="P556" s="2" t="s">
        <v>29</v>
      </c>
    </row>
    <row r="557" spans="1:16" x14ac:dyDescent="0.25">
      <c r="A557" s="6" t="s">
        <v>1183</v>
      </c>
      <c r="B557" s="6" t="s">
        <v>1184</v>
      </c>
      <c r="C557" s="6" t="s">
        <v>18</v>
      </c>
      <c r="D557" s="7" t="s">
        <v>231</v>
      </c>
      <c r="E557" s="7" t="s">
        <v>45</v>
      </c>
      <c r="F557" s="6" t="s">
        <v>58</v>
      </c>
      <c r="G557" s="8">
        <v>261465</v>
      </c>
      <c r="H557" s="8">
        <v>28004</v>
      </c>
      <c r="I557" s="8">
        <v>19606</v>
      </c>
      <c r="J557" s="8">
        <v>1669</v>
      </c>
      <c r="K557" s="8">
        <v>130</v>
      </c>
      <c r="L557" s="8">
        <v>95</v>
      </c>
      <c r="M557" s="8">
        <v>176</v>
      </c>
      <c r="N557" s="8">
        <v>649</v>
      </c>
      <c r="O557" s="9">
        <f t="shared" si="8"/>
        <v>0.10557992451290421</v>
      </c>
      <c r="P557" s="6" t="s">
        <v>22</v>
      </c>
    </row>
    <row r="558" spans="1:16" x14ac:dyDescent="0.25">
      <c r="A558" s="2" t="s">
        <v>1185</v>
      </c>
      <c r="B558" s="2" t="s">
        <v>1186</v>
      </c>
      <c r="C558" s="2" t="s">
        <v>18</v>
      </c>
      <c r="D558" s="3" t="s">
        <v>226</v>
      </c>
      <c r="E558" s="3" t="s">
        <v>34</v>
      </c>
      <c r="F558" s="2" t="s">
        <v>73</v>
      </c>
      <c r="G558" s="4">
        <v>16825</v>
      </c>
      <c r="H558" s="4">
        <v>8734</v>
      </c>
      <c r="I558" s="4">
        <v>6750</v>
      </c>
      <c r="J558" s="4">
        <v>563</v>
      </c>
      <c r="K558" s="4">
        <v>47</v>
      </c>
      <c r="L558" s="4">
        <v>68</v>
      </c>
      <c r="M558" s="4">
        <v>87</v>
      </c>
      <c r="N558" s="4">
        <v>141</v>
      </c>
      <c r="O558" s="5">
        <f t="shared" si="8"/>
        <v>0.11333333333333333</v>
      </c>
      <c r="P558" s="2" t="s">
        <v>29</v>
      </c>
    </row>
    <row r="559" spans="1:16" x14ac:dyDescent="0.25">
      <c r="A559" s="6" t="s">
        <v>1187</v>
      </c>
      <c r="B559" s="6" t="s">
        <v>1188</v>
      </c>
      <c r="C559" s="6" t="s">
        <v>76</v>
      </c>
      <c r="D559" s="7" t="s">
        <v>86</v>
      </c>
      <c r="E559" s="7" t="s">
        <v>45</v>
      </c>
      <c r="F559" s="6" t="s">
        <v>87</v>
      </c>
      <c r="G559" s="8">
        <v>45532</v>
      </c>
      <c r="H559" s="8">
        <v>27316</v>
      </c>
      <c r="I559" s="8">
        <v>24033</v>
      </c>
      <c r="J559" s="8">
        <v>862</v>
      </c>
      <c r="K559" s="8">
        <v>83</v>
      </c>
      <c r="L559" s="8">
        <v>28</v>
      </c>
      <c r="M559" s="8">
        <v>205</v>
      </c>
      <c r="N559" s="8">
        <v>643</v>
      </c>
      <c r="O559" s="9">
        <f t="shared" si="8"/>
        <v>4.9015936420754795E-2</v>
      </c>
      <c r="P559" s="6" t="s">
        <v>22</v>
      </c>
    </row>
    <row r="560" spans="1:16" x14ac:dyDescent="0.25">
      <c r="A560" s="2" t="s">
        <v>1189</v>
      </c>
      <c r="B560" s="2" t="s">
        <v>1190</v>
      </c>
      <c r="C560" s="2" t="s">
        <v>25</v>
      </c>
      <c r="D560" s="3" t="s">
        <v>145</v>
      </c>
      <c r="E560" s="3" t="s">
        <v>20</v>
      </c>
      <c r="F560" s="2" t="s">
        <v>146</v>
      </c>
      <c r="G560" s="4">
        <v>441027</v>
      </c>
      <c r="H560" s="4">
        <v>98763</v>
      </c>
      <c r="I560" s="4">
        <v>87677</v>
      </c>
      <c r="J560" s="4">
        <v>7348</v>
      </c>
      <c r="K560" s="4">
        <v>1295</v>
      </c>
      <c r="L560" s="4">
        <v>1001</v>
      </c>
      <c r="M560" s="4">
        <v>1026</v>
      </c>
      <c r="N560" s="4">
        <v>2619</v>
      </c>
      <c r="O560" s="5">
        <f t="shared" si="8"/>
        <v>0.12169668214012797</v>
      </c>
      <c r="P560" s="2" t="s">
        <v>66</v>
      </c>
    </row>
    <row r="561" spans="1:16" x14ac:dyDescent="0.25">
      <c r="A561" s="6" t="s">
        <v>1191</v>
      </c>
      <c r="B561" s="6" t="s">
        <v>1192</v>
      </c>
      <c r="C561" s="6" t="s">
        <v>43</v>
      </c>
      <c r="D561" s="7" t="s">
        <v>81</v>
      </c>
      <c r="E561" s="7" t="s">
        <v>20</v>
      </c>
      <c r="F561" s="6" t="s">
        <v>107</v>
      </c>
      <c r="G561" s="8">
        <v>289965</v>
      </c>
      <c r="H561" s="8">
        <v>44507</v>
      </c>
      <c r="I561" s="8">
        <v>40513</v>
      </c>
      <c r="J561" s="8">
        <v>1052</v>
      </c>
      <c r="K561" s="8">
        <v>185</v>
      </c>
      <c r="L561" s="8">
        <v>47</v>
      </c>
      <c r="M561" s="8">
        <v>25</v>
      </c>
      <c r="N561" s="8">
        <v>883</v>
      </c>
      <c r="O561" s="9">
        <f t="shared" si="8"/>
        <v>3.2310616345370621E-2</v>
      </c>
      <c r="P561" s="6" t="s">
        <v>22</v>
      </c>
    </row>
    <row r="562" spans="1:16" x14ac:dyDescent="0.25">
      <c r="A562" s="2" t="s">
        <v>1193</v>
      </c>
      <c r="B562" s="2" t="s">
        <v>1194</v>
      </c>
      <c r="C562" s="2" t="s">
        <v>43</v>
      </c>
      <c r="D562" s="3" t="s">
        <v>69</v>
      </c>
      <c r="E562" s="3" t="s">
        <v>27</v>
      </c>
      <c r="F562" s="2" t="s">
        <v>46</v>
      </c>
      <c r="G562" s="4">
        <v>422820</v>
      </c>
      <c r="H562" s="4">
        <v>83695</v>
      </c>
      <c r="I562" s="4">
        <v>61532</v>
      </c>
      <c r="J562" s="4">
        <v>2767</v>
      </c>
      <c r="K562" s="4">
        <v>372</v>
      </c>
      <c r="L562" s="4">
        <v>371</v>
      </c>
      <c r="M562" s="4">
        <v>50</v>
      </c>
      <c r="N562" s="4">
        <v>1706</v>
      </c>
      <c r="O562" s="5">
        <f t="shared" si="8"/>
        <v>5.7856074887863228E-2</v>
      </c>
      <c r="P562" s="2" t="s">
        <v>22</v>
      </c>
    </row>
    <row r="563" spans="1:16" x14ac:dyDescent="0.25">
      <c r="A563" s="6" t="s">
        <v>1195</v>
      </c>
      <c r="B563" s="6" t="s">
        <v>1196</v>
      </c>
      <c r="C563" s="6" t="s">
        <v>25</v>
      </c>
      <c r="D563" s="7" t="s">
        <v>244</v>
      </c>
      <c r="E563" s="7" t="s">
        <v>45</v>
      </c>
      <c r="F563" s="6" t="s">
        <v>28</v>
      </c>
      <c r="G563" s="8">
        <v>581472</v>
      </c>
      <c r="H563" s="8">
        <v>120736</v>
      </c>
      <c r="I563" s="8">
        <v>90842</v>
      </c>
      <c r="J563" s="8">
        <v>2697</v>
      </c>
      <c r="K563" s="8">
        <v>140</v>
      </c>
      <c r="L563" s="8">
        <v>363</v>
      </c>
      <c r="M563" s="8">
        <v>635</v>
      </c>
      <c r="N563" s="8">
        <v>1583</v>
      </c>
      <c r="O563" s="9">
        <f t="shared" si="8"/>
        <v>4.2216155522775807E-2</v>
      </c>
      <c r="P563" s="6" t="s">
        <v>29</v>
      </c>
    </row>
    <row r="564" spans="1:16" x14ac:dyDescent="0.25">
      <c r="A564" s="2" t="s">
        <v>1197</v>
      </c>
      <c r="B564" s="2" t="s">
        <v>1198</v>
      </c>
      <c r="C564" s="2" t="s">
        <v>43</v>
      </c>
      <c r="D564" s="3" t="s">
        <v>81</v>
      </c>
      <c r="E564" s="3" t="s">
        <v>34</v>
      </c>
      <c r="F564" s="2" t="s">
        <v>107</v>
      </c>
      <c r="G564" s="4">
        <v>366840</v>
      </c>
      <c r="H564" s="4">
        <v>232636</v>
      </c>
      <c r="I564" s="4">
        <v>167105</v>
      </c>
      <c r="J564" s="4">
        <v>14499</v>
      </c>
      <c r="K564" s="4">
        <v>1629</v>
      </c>
      <c r="L564" s="4">
        <v>1651</v>
      </c>
      <c r="M564" s="4">
        <v>26</v>
      </c>
      <c r="N564" s="4">
        <v>7432</v>
      </c>
      <c r="O564" s="5">
        <f t="shared" si="8"/>
        <v>0.10654977409413244</v>
      </c>
      <c r="P564" s="2" t="s">
        <v>22</v>
      </c>
    </row>
    <row r="565" spans="1:16" x14ac:dyDescent="0.25">
      <c r="A565" s="6" t="s">
        <v>1199</v>
      </c>
      <c r="B565" s="6" t="s">
        <v>1200</v>
      </c>
      <c r="C565" s="6" t="s">
        <v>18</v>
      </c>
      <c r="D565" s="7" t="s">
        <v>19</v>
      </c>
      <c r="E565" s="7" t="s">
        <v>45</v>
      </c>
      <c r="F565" s="6" t="s">
        <v>58</v>
      </c>
      <c r="G565" s="8">
        <v>187820</v>
      </c>
      <c r="H565" s="8">
        <v>16699</v>
      </c>
      <c r="I565" s="8">
        <v>15285</v>
      </c>
      <c r="J565" s="8">
        <v>1113</v>
      </c>
      <c r="K565" s="8">
        <v>163</v>
      </c>
      <c r="L565" s="8">
        <v>37</v>
      </c>
      <c r="M565" s="8">
        <v>221</v>
      </c>
      <c r="N565" s="8">
        <v>274</v>
      </c>
      <c r="O565" s="9">
        <f t="shared" si="8"/>
        <v>0.10035982989859339</v>
      </c>
      <c r="P565" s="6" t="s">
        <v>29</v>
      </c>
    </row>
    <row r="566" spans="1:16" x14ac:dyDescent="0.25">
      <c r="A566" s="2" t="s">
        <v>1201</v>
      </c>
      <c r="B566" s="2" t="s">
        <v>1202</v>
      </c>
      <c r="C566" s="2" t="s">
        <v>43</v>
      </c>
      <c r="D566" s="3" t="s">
        <v>44</v>
      </c>
      <c r="E566" s="3" t="s">
        <v>39</v>
      </c>
      <c r="F566" s="2" t="s">
        <v>70</v>
      </c>
      <c r="G566" s="4">
        <v>342514</v>
      </c>
      <c r="H566" s="4">
        <v>140961</v>
      </c>
      <c r="I566" s="4">
        <v>125287</v>
      </c>
      <c r="J566" s="4">
        <v>6163</v>
      </c>
      <c r="K566" s="4">
        <v>597</v>
      </c>
      <c r="L566" s="4">
        <v>707</v>
      </c>
      <c r="M566" s="4">
        <v>27</v>
      </c>
      <c r="N566" s="4">
        <v>2263</v>
      </c>
      <c r="O566" s="5">
        <f t="shared" si="8"/>
        <v>5.9814665527947834E-2</v>
      </c>
      <c r="P566" s="2" t="s">
        <v>66</v>
      </c>
    </row>
    <row r="567" spans="1:16" x14ac:dyDescent="0.25">
      <c r="A567" s="6" t="s">
        <v>1203</v>
      </c>
      <c r="B567" s="6" t="s">
        <v>1204</v>
      </c>
      <c r="C567" s="6" t="s">
        <v>25</v>
      </c>
      <c r="D567" s="7" t="s">
        <v>64</v>
      </c>
      <c r="E567" s="7" t="s">
        <v>20</v>
      </c>
      <c r="F567" s="6" t="s">
        <v>65</v>
      </c>
      <c r="G567" s="8">
        <v>767415</v>
      </c>
      <c r="H567" s="8">
        <v>184766</v>
      </c>
      <c r="I567" s="8">
        <v>135958</v>
      </c>
      <c r="J567" s="8">
        <v>5665</v>
      </c>
      <c r="K567" s="8">
        <v>504</v>
      </c>
      <c r="L567" s="8">
        <v>560</v>
      </c>
      <c r="M567" s="8">
        <v>361</v>
      </c>
      <c r="N567" s="8">
        <v>1323</v>
      </c>
      <c r="O567" s="9">
        <f t="shared" si="8"/>
        <v>5.214845761190956E-2</v>
      </c>
      <c r="P567" s="6" t="s">
        <v>22</v>
      </c>
    </row>
    <row r="568" spans="1:16" x14ac:dyDescent="0.25">
      <c r="A568" s="2" t="s">
        <v>1205</v>
      </c>
      <c r="B568" s="2" t="s">
        <v>1206</v>
      </c>
      <c r="C568" s="2" t="s">
        <v>43</v>
      </c>
      <c r="D568" s="3" t="s">
        <v>44</v>
      </c>
      <c r="E568" s="3" t="s">
        <v>45</v>
      </c>
      <c r="F568" s="2" t="s">
        <v>70</v>
      </c>
      <c r="G568" s="4">
        <v>635099</v>
      </c>
      <c r="H568" s="4">
        <v>189814</v>
      </c>
      <c r="I568" s="4">
        <v>167386</v>
      </c>
      <c r="J568" s="4">
        <v>12491</v>
      </c>
      <c r="K568" s="4">
        <v>1582</v>
      </c>
      <c r="L568" s="4">
        <v>320</v>
      </c>
      <c r="M568" s="4">
        <v>15</v>
      </c>
      <c r="N568" s="4">
        <v>5334</v>
      </c>
      <c r="O568" s="5">
        <f t="shared" si="8"/>
        <v>8.6076493852532465E-2</v>
      </c>
      <c r="P568" s="2" t="s">
        <v>22</v>
      </c>
    </row>
    <row r="569" spans="1:16" x14ac:dyDescent="0.25">
      <c r="A569" s="6" t="s">
        <v>1207</v>
      </c>
      <c r="B569" s="6" t="s">
        <v>1208</v>
      </c>
      <c r="C569" s="6" t="s">
        <v>76</v>
      </c>
      <c r="D569" s="7" t="s">
        <v>77</v>
      </c>
      <c r="E569" s="7" t="s">
        <v>27</v>
      </c>
      <c r="F569" s="6" t="s">
        <v>78</v>
      </c>
      <c r="G569" s="8">
        <v>744321</v>
      </c>
      <c r="H569" s="8">
        <v>118615</v>
      </c>
      <c r="I569" s="8">
        <v>97718</v>
      </c>
      <c r="J569" s="8">
        <v>5534</v>
      </c>
      <c r="K569" s="8">
        <v>301</v>
      </c>
      <c r="L569" s="8">
        <v>349</v>
      </c>
      <c r="M569" s="8">
        <v>447</v>
      </c>
      <c r="N569" s="8">
        <v>791</v>
      </c>
      <c r="O569" s="9">
        <f t="shared" si="8"/>
        <v>6.7858531693239729E-2</v>
      </c>
      <c r="P569" s="6" t="s">
        <v>29</v>
      </c>
    </row>
    <row r="570" spans="1:16" x14ac:dyDescent="0.25">
      <c r="A570" s="2" t="s">
        <v>1209</v>
      </c>
      <c r="B570" s="2" t="s">
        <v>1210</v>
      </c>
      <c r="C570" s="2" t="s">
        <v>76</v>
      </c>
      <c r="D570" s="3" t="s">
        <v>77</v>
      </c>
      <c r="E570" s="3" t="s">
        <v>27</v>
      </c>
      <c r="F570" s="2" t="s">
        <v>78</v>
      </c>
      <c r="G570" s="4">
        <v>110048</v>
      </c>
      <c r="H570" s="4">
        <v>61274</v>
      </c>
      <c r="I570" s="4">
        <v>42908</v>
      </c>
      <c r="J570" s="4">
        <v>2050</v>
      </c>
      <c r="K570" s="4">
        <v>131</v>
      </c>
      <c r="L570" s="4">
        <v>143</v>
      </c>
      <c r="M570" s="4">
        <v>247</v>
      </c>
      <c r="N570" s="4">
        <v>833</v>
      </c>
      <c r="O570" s="5">
        <f t="shared" si="8"/>
        <v>5.9918896243124825E-2</v>
      </c>
      <c r="P570" s="2" t="s">
        <v>66</v>
      </c>
    </row>
    <row r="571" spans="1:16" x14ac:dyDescent="0.25">
      <c r="A571" s="6" t="s">
        <v>1211</v>
      </c>
      <c r="B571" s="6" t="s">
        <v>1212</v>
      </c>
      <c r="C571" s="6" t="s">
        <v>76</v>
      </c>
      <c r="D571" s="7" t="s">
        <v>182</v>
      </c>
      <c r="E571" s="7" t="s">
        <v>20</v>
      </c>
      <c r="F571" s="6" t="s">
        <v>87</v>
      </c>
      <c r="G571" s="8">
        <v>237928</v>
      </c>
      <c r="H571" s="8">
        <v>148665</v>
      </c>
      <c r="I571" s="8">
        <v>106560</v>
      </c>
      <c r="J571" s="8">
        <v>5950</v>
      </c>
      <c r="K571" s="8">
        <v>500</v>
      </c>
      <c r="L571" s="8">
        <v>834</v>
      </c>
      <c r="M571" s="8">
        <v>398</v>
      </c>
      <c r="N571" s="8">
        <v>936</v>
      </c>
      <c r="O571" s="9">
        <f t="shared" si="8"/>
        <v>7.2090840840840845E-2</v>
      </c>
      <c r="P571" s="6" t="s">
        <v>22</v>
      </c>
    </row>
    <row r="572" spans="1:16" x14ac:dyDescent="0.25">
      <c r="A572" s="2" t="s">
        <v>1213</v>
      </c>
      <c r="B572" s="2" t="s">
        <v>1214</v>
      </c>
      <c r="C572" s="2" t="s">
        <v>25</v>
      </c>
      <c r="D572" s="3" t="s">
        <v>26</v>
      </c>
      <c r="E572" s="3" t="s">
        <v>20</v>
      </c>
      <c r="F572" s="2" t="s">
        <v>28</v>
      </c>
      <c r="G572" s="4">
        <v>657606</v>
      </c>
      <c r="H572" s="4">
        <v>183195</v>
      </c>
      <c r="I572" s="4">
        <v>139162</v>
      </c>
      <c r="J572" s="4">
        <v>9151</v>
      </c>
      <c r="K572" s="4">
        <v>781</v>
      </c>
      <c r="L572" s="4">
        <v>498</v>
      </c>
      <c r="M572" s="4">
        <v>2117</v>
      </c>
      <c r="N572" s="4">
        <v>5305</v>
      </c>
      <c r="O572" s="5">
        <f t="shared" si="8"/>
        <v>9.0161107198804269E-2</v>
      </c>
      <c r="P572" s="2" t="s">
        <v>29</v>
      </c>
    </row>
    <row r="573" spans="1:16" x14ac:dyDescent="0.25">
      <c r="A573" s="6" t="s">
        <v>1215</v>
      </c>
      <c r="B573" s="6" t="s">
        <v>1216</v>
      </c>
      <c r="C573" s="6" t="s">
        <v>25</v>
      </c>
      <c r="D573" s="7" t="s">
        <v>244</v>
      </c>
      <c r="E573" s="7" t="s">
        <v>20</v>
      </c>
      <c r="F573" s="6" t="s">
        <v>65</v>
      </c>
      <c r="G573" s="8">
        <v>470894</v>
      </c>
      <c r="H573" s="8">
        <v>248519</v>
      </c>
      <c r="I573" s="8">
        <v>218503</v>
      </c>
      <c r="J573" s="8">
        <v>6657</v>
      </c>
      <c r="K573" s="8">
        <v>626</v>
      </c>
      <c r="L573" s="8">
        <v>762</v>
      </c>
      <c r="M573" s="8">
        <v>525</v>
      </c>
      <c r="N573" s="8">
        <v>3651</v>
      </c>
      <c r="O573" s="9">
        <f t="shared" si="8"/>
        <v>3.9221429454057842E-2</v>
      </c>
      <c r="P573" s="6" t="s">
        <v>22</v>
      </c>
    </row>
    <row r="574" spans="1:16" x14ac:dyDescent="0.25">
      <c r="A574" s="2" t="s">
        <v>1217</v>
      </c>
      <c r="B574" s="2" t="s">
        <v>1218</v>
      </c>
      <c r="C574" s="2" t="s">
        <v>32</v>
      </c>
      <c r="D574" s="3" t="s">
        <v>121</v>
      </c>
      <c r="E574" s="3" t="s">
        <v>39</v>
      </c>
      <c r="F574" s="2" t="s">
        <v>35</v>
      </c>
      <c r="G574" s="4">
        <v>633473</v>
      </c>
      <c r="H574" s="4">
        <v>171085</v>
      </c>
      <c r="I574" s="4">
        <v>155291</v>
      </c>
      <c r="J574" s="4">
        <v>12882</v>
      </c>
      <c r="K574" s="4">
        <v>1126</v>
      </c>
      <c r="L574" s="4">
        <v>1177</v>
      </c>
      <c r="M574" s="4">
        <v>34</v>
      </c>
      <c r="N574" s="4">
        <v>3595</v>
      </c>
      <c r="O574" s="5">
        <f t="shared" si="8"/>
        <v>9.8003103850190926E-2</v>
      </c>
      <c r="P574" s="2" t="s">
        <v>22</v>
      </c>
    </row>
    <row r="575" spans="1:16" x14ac:dyDescent="0.25">
      <c r="A575" s="6" t="s">
        <v>1219</v>
      </c>
      <c r="B575" s="6" t="s">
        <v>1220</v>
      </c>
      <c r="C575" s="6" t="s">
        <v>43</v>
      </c>
      <c r="D575" s="7" t="s">
        <v>69</v>
      </c>
      <c r="E575" s="7" t="s">
        <v>27</v>
      </c>
      <c r="F575" s="6" t="s">
        <v>107</v>
      </c>
      <c r="G575" s="8">
        <v>816816</v>
      </c>
      <c r="H575" s="8">
        <v>413734</v>
      </c>
      <c r="I575" s="8">
        <v>297555</v>
      </c>
      <c r="J575" s="8">
        <v>17253</v>
      </c>
      <c r="K575" s="8">
        <v>1043</v>
      </c>
      <c r="L575" s="8">
        <v>2252</v>
      </c>
      <c r="M575" s="8">
        <v>23</v>
      </c>
      <c r="N575" s="8">
        <v>8999</v>
      </c>
      <c r="O575" s="9">
        <f t="shared" si="8"/>
        <v>6.913343751575339E-2</v>
      </c>
      <c r="P575" s="6" t="s">
        <v>66</v>
      </c>
    </row>
    <row r="576" spans="1:16" x14ac:dyDescent="0.25">
      <c r="A576" s="2" t="s">
        <v>1221</v>
      </c>
      <c r="B576" s="2" t="s">
        <v>1222</v>
      </c>
      <c r="C576" s="2" t="s">
        <v>18</v>
      </c>
      <c r="D576" s="3" t="s">
        <v>19</v>
      </c>
      <c r="E576" s="3" t="s">
        <v>50</v>
      </c>
      <c r="F576" s="2" t="s">
        <v>58</v>
      </c>
      <c r="G576" s="4">
        <v>153641</v>
      </c>
      <c r="H576" s="4">
        <v>60589</v>
      </c>
      <c r="I576" s="4">
        <v>45644</v>
      </c>
      <c r="J576" s="4">
        <v>4221</v>
      </c>
      <c r="K576" s="4">
        <v>162</v>
      </c>
      <c r="L576" s="4">
        <v>160</v>
      </c>
      <c r="M576" s="4">
        <v>1023</v>
      </c>
      <c r="N576" s="4">
        <v>1582</v>
      </c>
      <c r="O576" s="5">
        <f t="shared" si="8"/>
        <v>0.12194373849794059</v>
      </c>
      <c r="P576" s="2" t="s">
        <v>22</v>
      </c>
    </row>
    <row r="577" spans="1:16" x14ac:dyDescent="0.25">
      <c r="A577" s="6" t="s">
        <v>1223</v>
      </c>
      <c r="B577" s="6" t="s">
        <v>1224</v>
      </c>
      <c r="C577" s="6" t="s">
        <v>76</v>
      </c>
      <c r="D577" s="7" t="s">
        <v>77</v>
      </c>
      <c r="E577" s="7" t="s">
        <v>45</v>
      </c>
      <c r="F577" s="6" t="s">
        <v>87</v>
      </c>
      <c r="G577" s="8">
        <v>502488</v>
      </c>
      <c r="H577" s="8">
        <v>289519</v>
      </c>
      <c r="I577" s="8">
        <v>212019</v>
      </c>
      <c r="J577" s="8">
        <v>8244</v>
      </c>
      <c r="K577" s="8">
        <v>550</v>
      </c>
      <c r="L577" s="8">
        <v>178</v>
      </c>
      <c r="M577" s="8">
        <v>1782</v>
      </c>
      <c r="N577" s="8">
        <v>5065</v>
      </c>
      <c r="O577" s="9">
        <f t="shared" si="8"/>
        <v>5.072186926643367E-2</v>
      </c>
      <c r="P577" s="6" t="s">
        <v>29</v>
      </c>
    </row>
    <row r="578" spans="1:16" x14ac:dyDescent="0.25">
      <c r="A578" s="2" t="s">
        <v>1225</v>
      </c>
      <c r="B578" s="2" t="s">
        <v>1226</v>
      </c>
      <c r="C578" s="2" t="s">
        <v>43</v>
      </c>
      <c r="D578" s="3" t="s">
        <v>110</v>
      </c>
      <c r="E578" s="3" t="s">
        <v>39</v>
      </c>
      <c r="F578" s="2" t="s">
        <v>46</v>
      </c>
      <c r="G578" s="4">
        <v>760156</v>
      </c>
      <c r="H578" s="4">
        <v>399383</v>
      </c>
      <c r="I578" s="4">
        <v>280728</v>
      </c>
      <c r="J578" s="4">
        <v>10653</v>
      </c>
      <c r="K578" s="4">
        <v>415</v>
      </c>
      <c r="L578" s="4">
        <v>1102</v>
      </c>
      <c r="M578" s="4">
        <v>38</v>
      </c>
      <c r="N578" s="4">
        <v>10996</v>
      </c>
      <c r="O578" s="5">
        <f t="shared" ref="O578:O641" si="9">IF(I578&gt;0, (J578+K578+L578+M578)/I578, 0)</f>
        <v>4.348693397167365E-2</v>
      </c>
      <c r="P578" s="2" t="s">
        <v>22</v>
      </c>
    </row>
    <row r="579" spans="1:16" x14ac:dyDescent="0.25">
      <c r="A579" s="6" t="s">
        <v>1227</v>
      </c>
      <c r="B579" s="6" t="s">
        <v>1228</v>
      </c>
      <c r="C579" s="6" t="s">
        <v>32</v>
      </c>
      <c r="D579" s="7" t="s">
        <v>33</v>
      </c>
      <c r="E579" s="7" t="s">
        <v>45</v>
      </c>
      <c r="F579" s="6" t="s">
        <v>40</v>
      </c>
      <c r="G579" s="8">
        <v>602353</v>
      </c>
      <c r="H579" s="8">
        <v>291738</v>
      </c>
      <c r="I579" s="8">
        <v>263999</v>
      </c>
      <c r="J579" s="8">
        <v>10592</v>
      </c>
      <c r="K579" s="8">
        <v>463</v>
      </c>
      <c r="L579" s="8">
        <v>731</v>
      </c>
      <c r="M579" s="8">
        <v>8</v>
      </c>
      <c r="N579" s="8">
        <v>7962</v>
      </c>
      <c r="O579" s="9">
        <f t="shared" si="9"/>
        <v>4.4674411645498659E-2</v>
      </c>
      <c r="P579" s="6" t="s">
        <v>22</v>
      </c>
    </row>
    <row r="580" spans="1:16" x14ac:dyDescent="0.25">
      <c r="A580" s="2" t="s">
        <v>1229</v>
      </c>
      <c r="B580" s="2" t="s">
        <v>1230</v>
      </c>
      <c r="C580" s="2" t="s">
        <v>43</v>
      </c>
      <c r="D580" s="3" t="s">
        <v>172</v>
      </c>
      <c r="E580" s="3" t="s">
        <v>34</v>
      </c>
      <c r="F580" s="2" t="s">
        <v>107</v>
      </c>
      <c r="G580" s="4">
        <v>493690</v>
      </c>
      <c r="H580" s="4">
        <v>223167</v>
      </c>
      <c r="I580" s="4">
        <v>196832</v>
      </c>
      <c r="J580" s="4">
        <v>6670</v>
      </c>
      <c r="K580" s="4">
        <v>1003</v>
      </c>
      <c r="L580" s="4">
        <v>694</v>
      </c>
      <c r="M580" s="4">
        <v>12</v>
      </c>
      <c r="N580" s="4">
        <v>2922</v>
      </c>
      <c r="O580" s="5">
        <f t="shared" si="9"/>
        <v>4.2569297675174769E-2</v>
      </c>
      <c r="P580" s="2" t="s">
        <v>22</v>
      </c>
    </row>
    <row r="581" spans="1:16" x14ac:dyDescent="0.25">
      <c r="A581" s="6" t="s">
        <v>1231</v>
      </c>
      <c r="B581" s="6" t="s">
        <v>1232</v>
      </c>
      <c r="C581" s="6" t="s">
        <v>18</v>
      </c>
      <c r="D581" s="7" t="s">
        <v>226</v>
      </c>
      <c r="E581" s="7" t="s">
        <v>20</v>
      </c>
      <c r="F581" s="6" t="s">
        <v>58</v>
      </c>
      <c r="G581" s="8">
        <v>173166</v>
      </c>
      <c r="H581" s="8">
        <v>20300</v>
      </c>
      <c r="I581" s="8">
        <v>14259</v>
      </c>
      <c r="J581" s="8">
        <v>1513</v>
      </c>
      <c r="K581" s="8">
        <v>87</v>
      </c>
      <c r="L581" s="8">
        <v>69</v>
      </c>
      <c r="M581" s="8">
        <v>356</v>
      </c>
      <c r="N581" s="8">
        <v>247</v>
      </c>
      <c r="O581" s="9">
        <f t="shared" si="9"/>
        <v>0.14201556911424362</v>
      </c>
      <c r="P581" s="6" t="s">
        <v>22</v>
      </c>
    </row>
    <row r="582" spans="1:16" x14ac:dyDescent="0.25">
      <c r="A582" s="2" t="s">
        <v>1233</v>
      </c>
      <c r="B582" s="2" t="s">
        <v>1234</v>
      </c>
      <c r="C582" s="2" t="s">
        <v>32</v>
      </c>
      <c r="D582" s="3" t="s">
        <v>175</v>
      </c>
      <c r="E582" s="3" t="s">
        <v>34</v>
      </c>
      <c r="F582" s="2" t="s">
        <v>40</v>
      </c>
      <c r="G582" s="4">
        <v>100238</v>
      </c>
      <c r="H582" s="4">
        <v>8503</v>
      </c>
      <c r="I582" s="4">
        <v>7358</v>
      </c>
      <c r="J582" s="4">
        <v>659</v>
      </c>
      <c r="K582" s="4">
        <v>69</v>
      </c>
      <c r="L582" s="4">
        <v>40</v>
      </c>
      <c r="M582" s="4">
        <v>25</v>
      </c>
      <c r="N582" s="4">
        <v>227</v>
      </c>
      <c r="O582" s="5">
        <f t="shared" si="9"/>
        <v>0.10777385159010601</v>
      </c>
      <c r="P582" s="2" t="s">
        <v>66</v>
      </c>
    </row>
    <row r="583" spans="1:16" x14ac:dyDescent="0.25">
      <c r="A583" s="6" t="s">
        <v>1235</v>
      </c>
      <c r="B583" s="6" t="s">
        <v>1236</v>
      </c>
      <c r="C583" s="6" t="s">
        <v>32</v>
      </c>
      <c r="D583" s="7" t="s">
        <v>33</v>
      </c>
      <c r="E583" s="7" t="s">
        <v>34</v>
      </c>
      <c r="F583" s="6" t="s">
        <v>51</v>
      </c>
      <c r="G583" s="8">
        <v>27335</v>
      </c>
      <c r="H583" s="8">
        <v>8140</v>
      </c>
      <c r="I583" s="8">
        <v>7253</v>
      </c>
      <c r="J583" s="8">
        <v>181</v>
      </c>
      <c r="K583" s="8">
        <v>9</v>
      </c>
      <c r="L583" s="8">
        <v>19</v>
      </c>
      <c r="M583" s="8">
        <v>5</v>
      </c>
      <c r="N583" s="8">
        <v>256</v>
      </c>
      <c r="O583" s="9">
        <f t="shared" si="9"/>
        <v>2.9505032400386048E-2</v>
      </c>
      <c r="P583" s="6" t="s">
        <v>22</v>
      </c>
    </row>
    <row r="584" spans="1:16" x14ac:dyDescent="0.25">
      <c r="A584" s="2" t="s">
        <v>1237</v>
      </c>
      <c r="B584" s="2" t="s">
        <v>1238</v>
      </c>
      <c r="C584" s="2" t="s">
        <v>25</v>
      </c>
      <c r="D584" s="3" t="s">
        <v>64</v>
      </c>
      <c r="E584" s="3" t="s">
        <v>27</v>
      </c>
      <c r="F584" s="2" t="s">
        <v>28</v>
      </c>
      <c r="G584" s="4">
        <v>471717</v>
      </c>
      <c r="H584" s="4">
        <v>128892</v>
      </c>
      <c r="I584" s="4">
        <v>107903</v>
      </c>
      <c r="J584" s="4">
        <v>9848</v>
      </c>
      <c r="K584" s="4">
        <v>354</v>
      </c>
      <c r="L584" s="4">
        <v>1109</v>
      </c>
      <c r="M584" s="4">
        <v>1837</v>
      </c>
      <c r="N584" s="4">
        <v>1569</v>
      </c>
      <c r="O584" s="5">
        <f t="shared" si="9"/>
        <v>0.12185018025448782</v>
      </c>
      <c r="P584" s="2" t="s">
        <v>66</v>
      </c>
    </row>
    <row r="585" spans="1:16" x14ac:dyDescent="0.25">
      <c r="A585" s="6" t="s">
        <v>1239</v>
      </c>
      <c r="B585" s="6" t="s">
        <v>1240</v>
      </c>
      <c r="C585" s="6" t="s">
        <v>32</v>
      </c>
      <c r="D585" s="7" t="s">
        <v>175</v>
      </c>
      <c r="E585" s="7" t="s">
        <v>34</v>
      </c>
      <c r="F585" s="6" t="s">
        <v>51</v>
      </c>
      <c r="G585" s="8">
        <v>806041</v>
      </c>
      <c r="H585" s="8">
        <v>315861</v>
      </c>
      <c r="I585" s="8">
        <v>275404</v>
      </c>
      <c r="J585" s="8">
        <v>7969</v>
      </c>
      <c r="K585" s="8">
        <v>351</v>
      </c>
      <c r="L585" s="8">
        <v>484</v>
      </c>
      <c r="M585" s="8">
        <v>18</v>
      </c>
      <c r="N585" s="8">
        <v>3109</v>
      </c>
      <c r="O585" s="9">
        <f t="shared" si="9"/>
        <v>3.2032940698029075E-2</v>
      </c>
      <c r="P585" s="6" t="s">
        <v>22</v>
      </c>
    </row>
    <row r="586" spans="1:16" x14ac:dyDescent="0.25">
      <c r="A586" s="2" t="s">
        <v>1241</v>
      </c>
      <c r="B586" s="2" t="s">
        <v>1242</v>
      </c>
      <c r="C586" s="2" t="s">
        <v>25</v>
      </c>
      <c r="D586" s="3" t="s">
        <v>26</v>
      </c>
      <c r="E586" s="3" t="s">
        <v>50</v>
      </c>
      <c r="F586" s="2" t="s">
        <v>65</v>
      </c>
      <c r="G586" s="4">
        <v>270963</v>
      </c>
      <c r="H586" s="4">
        <v>89950</v>
      </c>
      <c r="I586" s="4">
        <v>81563</v>
      </c>
      <c r="J586" s="4">
        <v>7043</v>
      </c>
      <c r="K586" s="4">
        <v>727</v>
      </c>
      <c r="L586" s="4">
        <v>473</v>
      </c>
      <c r="M586" s="4">
        <v>755</v>
      </c>
      <c r="N586" s="4">
        <v>1553</v>
      </c>
      <c r="O586" s="5">
        <f t="shared" si="9"/>
        <v>0.11031963022448904</v>
      </c>
      <c r="P586" s="2" t="s">
        <v>29</v>
      </c>
    </row>
    <row r="587" spans="1:16" x14ac:dyDescent="0.25">
      <c r="A587" s="6" t="s">
        <v>1243</v>
      </c>
      <c r="B587" s="6" t="s">
        <v>1244</v>
      </c>
      <c r="C587" s="6" t="s">
        <v>43</v>
      </c>
      <c r="D587" s="7" t="s">
        <v>172</v>
      </c>
      <c r="E587" s="7" t="s">
        <v>50</v>
      </c>
      <c r="F587" s="6" t="s">
        <v>46</v>
      </c>
      <c r="G587" s="8">
        <v>90046</v>
      </c>
      <c r="H587" s="8">
        <v>33171</v>
      </c>
      <c r="I587" s="8">
        <v>29622</v>
      </c>
      <c r="J587" s="8">
        <v>2636</v>
      </c>
      <c r="K587" s="8">
        <v>95</v>
      </c>
      <c r="L587" s="8">
        <v>387</v>
      </c>
      <c r="M587" s="8">
        <v>3</v>
      </c>
      <c r="N587" s="8">
        <v>903</v>
      </c>
      <c r="O587" s="9">
        <f t="shared" si="9"/>
        <v>0.10536088042670988</v>
      </c>
      <c r="P587" s="6" t="s">
        <v>22</v>
      </c>
    </row>
    <row r="588" spans="1:16" x14ac:dyDescent="0.25">
      <c r="A588" s="2" t="s">
        <v>1245</v>
      </c>
      <c r="B588" s="2" t="s">
        <v>1246</v>
      </c>
      <c r="C588" s="2" t="s">
        <v>76</v>
      </c>
      <c r="D588" s="3" t="s">
        <v>103</v>
      </c>
      <c r="E588" s="3" t="s">
        <v>39</v>
      </c>
      <c r="F588" s="2" t="s">
        <v>155</v>
      </c>
      <c r="G588" s="4">
        <v>600328</v>
      </c>
      <c r="H588" s="4">
        <v>72998</v>
      </c>
      <c r="I588" s="4">
        <v>65137</v>
      </c>
      <c r="J588" s="4">
        <v>4390</v>
      </c>
      <c r="K588" s="4">
        <v>361</v>
      </c>
      <c r="L588" s="4">
        <v>355</v>
      </c>
      <c r="M588" s="4">
        <v>689</v>
      </c>
      <c r="N588" s="4">
        <v>2156</v>
      </c>
      <c r="O588" s="5">
        <f t="shared" si="9"/>
        <v>8.8966332499194001E-2</v>
      </c>
      <c r="P588" s="2" t="s">
        <v>22</v>
      </c>
    </row>
    <row r="589" spans="1:16" x14ac:dyDescent="0.25">
      <c r="A589" s="6" t="s">
        <v>1247</v>
      </c>
      <c r="B589" s="6" t="s">
        <v>1248</v>
      </c>
      <c r="C589" s="6" t="s">
        <v>32</v>
      </c>
      <c r="D589" s="7" t="s">
        <v>121</v>
      </c>
      <c r="E589" s="7" t="s">
        <v>20</v>
      </c>
      <c r="F589" s="6" t="s">
        <v>35</v>
      </c>
      <c r="G589" s="8">
        <v>347188</v>
      </c>
      <c r="H589" s="8">
        <v>95539</v>
      </c>
      <c r="I589" s="8">
        <v>77098</v>
      </c>
      <c r="J589" s="8">
        <v>5936</v>
      </c>
      <c r="K589" s="8">
        <v>602</v>
      </c>
      <c r="L589" s="8">
        <v>333</v>
      </c>
      <c r="M589" s="8">
        <v>2</v>
      </c>
      <c r="N589" s="8">
        <v>2039</v>
      </c>
      <c r="O589" s="9">
        <f t="shared" si="9"/>
        <v>8.9146281356196011E-2</v>
      </c>
      <c r="P589" s="6" t="s">
        <v>66</v>
      </c>
    </row>
    <row r="590" spans="1:16" x14ac:dyDescent="0.25">
      <c r="A590" s="2" t="s">
        <v>1249</v>
      </c>
      <c r="B590" s="2" t="s">
        <v>1250</v>
      </c>
      <c r="C590" s="2" t="s">
        <v>43</v>
      </c>
      <c r="D590" s="3" t="s">
        <v>81</v>
      </c>
      <c r="E590" s="3" t="s">
        <v>27</v>
      </c>
      <c r="F590" s="2" t="s">
        <v>46</v>
      </c>
      <c r="G590" s="4">
        <v>67931</v>
      </c>
      <c r="H590" s="4">
        <v>19431</v>
      </c>
      <c r="I590" s="4">
        <v>17784</v>
      </c>
      <c r="J590" s="4">
        <v>637</v>
      </c>
      <c r="K590" s="4">
        <v>39</v>
      </c>
      <c r="L590" s="4">
        <v>14</v>
      </c>
      <c r="M590" s="4">
        <v>48</v>
      </c>
      <c r="N590" s="4">
        <v>495</v>
      </c>
      <c r="O590" s="5">
        <f t="shared" si="9"/>
        <v>4.1497975708502027E-2</v>
      </c>
      <c r="P590" s="2" t="s">
        <v>22</v>
      </c>
    </row>
    <row r="591" spans="1:16" x14ac:dyDescent="0.25">
      <c r="A591" s="6" t="s">
        <v>1251</v>
      </c>
      <c r="B591" s="6" t="s">
        <v>1252</v>
      </c>
      <c r="C591" s="6" t="s">
        <v>76</v>
      </c>
      <c r="D591" s="7" t="s">
        <v>103</v>
      </c>
      <c r="E591" s="7" t="s">
        <v>39</v>
      </c>
      <c r="F591" s="6" t="s">
        <v>87</v>
      </c>
      <c r="G591" s="8">
        <v>315328</v>
      </c>
      <c r="H591" s="8">
        <v>106363</v>
      </c>
      <c r="I591" s="8">
        <v>86733</v>
      </c>
      <c r="J591" s="8">
        <v>6400</v>
      </c>
      <c r="K591" s="8">
        <v>441</v>
      </c>
      <c r="L591" s="8">
        <v>819</v>
      </c>
      <c r="M591" s="8">
        <v>438</v>
      </c>
      <c r="N591" s="8">
        <v>3408</v>
      </c>
      <c r="O591" s="9">
        <f t="shared" si="9"/>
        <v>9.3366999873173998E-2</v>
      </c>
      <c r="P591" s="6" t="s">
        <v>22</v>
      </c>
    </row>
    <row r="592" spans="1:16" x14ac:dyDescent="0.25">
      <c r="A592" s="2" t="s">
        <v>1253</v>
      </c>
      <c r="B592" s="2" t="s">
        <v>1254</v>
      </c>
      <c r="C592" s="2" t="s">
        <v>18</v>
      </c>
      <c r="D592" s="3" t="s">
        <v>57</v>
      </c>
      <c r="E592" s="3" t="s">
        <v>39</v>
      </c>
      <c r="F592" s="2" t="s">
        <v>58</v>
      </c>
      <c r="G592" s="4">
        <v>564019</v>
      </c>
      <c r="H592" s="4">
        <v>96781</v>
      </c>
      <c r="I592" s="4">
        <v>77046</v>
      </c>
      <c r="J592" s="4">
        <v>7234</v>
      </c>
      <c r="K592" s="4">
        <v>835</v>
      </c>
      <c r="L592" s="4">
        <v>918</v>
      </c>
      <c r="M592" s="4">
        <v>1173</v>
      </c>
      <c r="N592" s="4">
        <v>3078</v>
      </c>
      <c r="O592" s="5">
        <f t="shared" si="9"/>
        <v>0.13186927290190276</v>
      </c>
      <c r="P592" s="2" t="s">
        <v>22</v>
      </c>
    </row>
    <row r="593" spans="1:16" x14ac:dyDescent="0.25">
      <c r="A593" s="6" t="s">
        <v>1255</v>
      </c>
      <c r="B593" s="6" t="s">
        <v>1256</v>
      </c>
      <c r="C593" s="6" t="s">
        <v>25</v>
      </c>
      <c r="D593" s="7" t="s">
        <v>244</v>
      </c>
      <c r="E593" s="7" t="s">
        <v>45</v>
      </c>
      <c r="F593" s="6" t="s">
        <v>28</v>
      </c>
      <c r="G593" s="8">
        <v>17375</v>
      </c>
      <c r="H593" s="8">
        <v>5932</v>
      </c>
      <c r="I593" s="8">
        <v>4804</v>
      </c>
      <c r="J593" s="8">
        <v>231</v>
      </c>
      <c r="K593" s="8">
        <v>34</v>
      </c>
      <c r="L593" s="8">
        <v>24</v>
      </c>
      <c r="M593" s="8">
        <v>23</v>
      </c>
      <c r="N593" s="8">
        <v>158</v>
      </c>
      <c r="O593" s="9">
        <f t="shared" si="9"/>
        <v>6.4945878434637797E-2</v>
      </c>
      <c r="P593" s="6" t="s">
        <v>66</v>
      </c>
    </row>
    <row r="594" spans="1:16" x14ac:dyDescent="0.25">
      <c r="A594" s="2" t="s">
        <v>1257</v>
      </c>
      <c r="B594" s="2" t="s">
        <v>1258</v>
      </c>
      <c r="C594" s="2" t="s">
        <v>43</v>
      </c>
      <c r="D594" s="3" t="s">
        <v>81</v>
      </c>
      <c r="E594" s="3" t="s">
        <v>34</v>
      </c>
      <c r="F594" s="2" t="s">
        <v>70</v>
      </c>
      <c r="G594" s="4">
        <v>784431</v>
      </c>
      <c r="H594" s="4">
        <v>250626</v>
      </c>
      <c r="I594" s="4">
        <v>218135</v>
      </c>
      <c r="J594" s="4">
        <v>14049</v>
      </c>
      <c r="K594" s="4">
        <v>876</v>
      </c>
      <c r="L594" s="4">
        <v>664</v>
      </c>
      <c r="M594" s="4">
        <v>12</v>
      </c>
      <c r="N594" s="4">
        <v>8559</v>
      </c>
      <c r="O594" s="5">
        <f t="shared" si="9"/>
        <v>7.1519930318380817E-2</v>
      </c>
      <c r="P594" s="2" t="s">
        <v>22</v>
      </c>
    </row>
    <row r="595" spans="1:16" x14ac:dyDescent="0.25">
      <c r="A595" s="6" t="s">
        <v>1259</v>
      </c>
      <c r="B595" s="6" t="s">
        <v>1260</v>
      </c>
      <c r="C595" s="6" t="s">
        <v>76</v>
      </c>
      <c r="D595" s="7" t="s">
        <v>103</v>
      </c>
      <c r="E595" s="7" t="s">
        <v>50</v>
      </c>
      <c r="F595" s="6" t="s">
        <v>87</v>
      </c>
      <c r="G595" s="8">
        <v>735787</v>
      </c>
      <c r="H595" s="8">
        <v>477862</v>
      </c>
      <c r="I595" s="8">
        <v>377647</v>
      </c>
      <c r="J595" s="8">
        <v>19655</v>
      </c>
      <c r="K595" s="8">
        <v>2188</v>
      </c>
      <c r="L595" s="8">
        <v>1729</v>
      </c>
      <c r="M595" s="8">
        <v>3990</v>
      </c>
      <c r="N595" s="8">
        <v>4014</v>
      </c>
      <c r="O595" s="9">
        <f t="shared" si="9"/>
        <v>7.29835004647197E-2</v>
      </c>
      <c r="P595" s="6" t="s">
        <v>22</v>
      </c>
    </row>
    <row r="596" spans="1:16" x14ac:dyDescent="0.25">
      <c r="A596" s="2" t="s">
        <v>1261</v>
      </c>
      <c r="B596" s="2" t="s">
        <v>1262</v>
      </c>
      <c r="C596" s="2" t="s">
        <v>43</v>
      </c>
      <c r="D596" s="3" t="s">
        <v>44</v>
      </c>
      <c r="E596" s="3" t="s">
        <v>27</v>
      </c>
      <c r="F596" s="2" t="s">
        <v>46</v>
      </c>
      <c r="G596" s="4">
        <v>402598</v>
      </c>
      <c r="H596" s="4">
        <v>183574</v>
      </c>
      <c r="I596" s="4">
        <v>146170</v>
      </c>
      <c r="J596" s="4">
        <v>6791</v>
      </c>
      <c r="K596" s="4">
        <v>835</v>
      </c>
      <c r="L596" s="4">
        <v>952</v>
      </c>
      <c r="M596" s="4">
        <v>6</v>
      </c>
      <c r="N596" s="4">
        <v>6399</v>
      </c>
      <c r="O596" s="5">
        <f t="shared" si="9"/>
        <v>5.8726140794964764E-2</v>
      </c>
      <c r="P596" s="2" t="s">
        <v>29</v>
      </c>
    </row>
    <row r="597" spans="1:16" x14ac:dyDescent="0.25">
      <c r="A597" s="6" t="s">
        <v>1263</v>
      </c>
      <c r="B597" s="6" t="s">
        <v>1264</v>
      </c>
      <c r="C597" s="6" t="s">
        <v>43</v>
      </c>
      <c r="D597" s="7" t="s">
        <v>69</v>
      </c>
      <c r="E597" s="7" t="s">
        <v>34</v>
      </c>
      <c r="F597" s="6" t="s">
        <v>46</v>
      </c>
      <c r="G597" s="8">
        <v>788872</v>
      </c>
      <c r="H597" s="8">
        <v>480044</v>
      </c>
      <c r="I597" s="8">
        <v>402937</v>
      </c>
      <c r="J597" s="8">
        <v>24099</v>
      </c>
      <c r="K597" s="8">
        <v>3636</v>
      </c>
      <c r="L597" s="8">
        <v>2573</v>
      </c>
      <c r="M597" s="8">
        <v>26</v>
      </c>
      <c r="N597" s="8">
        <v>5451</v>
      </c>
      <c r="O597" s="9">
        <f t="shared" si="9"/>
        <v>7.5282240151686247E-2</v>
      </c>
      <c r="P597" s="6" t="s">
        <v>29</v>
      </c>
    </row>
    <row r="598" spans="1:16" x14ac:dyDescent="0.25">
      <c r="A598" s="2" t="s">
        <v>1265</v>
      </c>
      <c r="B598" s="2" t="s">
        <v>1266</v>
      </c>
      <c r="C598" s="2" t="s">
        <v>32</v>
      </c>
      <c r="D598" s="3" t="s">
        <v>175</v>
      </c>
      <c r="E598" s="3" t="s">
        <v>50</v>
      </c>
      <c r="F598" s="2" t="s">
        <v>35</v>
      </c>
      <c r="G598" s="4">
        <v>435493</v>
      </c>
      <c r="H598" s="4">
        <v>194913</v>
      </c>
      <c r="I598" s="4">
        <v>168220</v>
      </c>
      <c r="J598" s="4">
        <v>3987</v>
      </c>
      <c r="K598" s="4">
        <v>343</v>
      </c>
      <c r="L598" s="4">
        <v>195</v>
      </c>
      <c r="M598" s="4">
        <v>18</v>
      </c>
      <c r="N598" s="4">
        <v>2539</v>
      </c>
      <c r="O598" s="5">
        <f t="shared" si="9"/>
        <v>2.700630127214362E-2</v>
      </c>
      <c r="P598" s="2" t="s">
        <v>29</v>
      </c>
    </row>
    <row r="599" spans="1:16" x14ac:dyDescent="0.25">
      <c r="A599" s="6" t="s">
        <v>1267</v>
      </c>
      <c r="B599" s="6" t="s">
        <v>1268</v>
      </c>
      <c r="C599" s="6" t="s">
        <v>76</v>
      </c>
      <c r="D599" s="7" t="s">
        <v>182</v>
      </c>
      <c r="E599" s="7" t="s">
        <v>34</v>
      </c>
      <c r="F599" s="6" t="s">
        <v>87</v>
      </c>
      <c r="G599" s="8">
        <v>30021</v>
      </c>
      <c r="H599" s="8">
        <v>8808</v>
      </c>
      <c r="I599" s="8">
        <v>7171</v>
      </c>
      <c r="J599" s="8">
        <v>567</v>
      </c>
      <c r="K599" s="8">
        <v>44</v>
      </c>
      <c r="L599" s="8">
        <v>23</v>
      </c>
      <c r="M599" s="8">
        <v>93</v>
      </c>
      <c r="N599" s="8">
        <v>157</v>
      </c>
      <c r="O599" s="9">
        <f t="shared" si="9"/>
        <v>0.10138056059127039</v>
      </c>
      <c r="P599" s="6" t="s">
        <v>22</v>
      </c>
    </row>
    <row r="600" spans="1:16" x14ac:dyDescent="0.25">
      <c r="A600" s="2" t="s">
        <v>1269</v>
      </c>
      <c r="B600" s="2" t="s">
        <v>1270</v>
      </c>
      <c r="C600" s="2" t="s">
        <v>32</v>
      </c>
      <c r="D600" s="3" t="s">
        <v>175</v>
      </c>
      <c r="E600" s="3" t="s">
        <v>27</v>
      </c>
      <c r="F600" s="2" t="s">
        <v>35</v>
      </c>
      <c r="G600" s="4">
        <v>137630</v>
      </c>
      <c r="H600" s="4">
        <v>41637</v>
      </c>
      <c r="I600" s="4">
        <v>30737</v>
      </c>
      <c r="J600" s="4">
        <v>3091</v>
      </c>
      <c r="K600" s="4">
        <v>332</v>
      </c>
      <c r="L600" s="4">
        <v>237</v>
      </c>
      <c r="M600" s="4">
        <v>6</v>
      </c>
      <c r="N600" s="4">
        <v>1095</v>
      </c>
      <c r="O600" s="5">
        <f t="shared" si="9"/>
        <v>0.11926993525718189</v>
      </c>
      <c r="P600" s="2" t="s">
        <v>22</v>
      </c>
    </row>
    <row r="601" spans="1:16" x14ac:dyDescent="0.25">
      <c r="A601" s="6" t="s">
        <v>1271</v>
      </c>
      <c r="B601" s="6" t="s">
        <v>1272</v>
      </c>
      <c r="C601" s="6" t="s">
        <v>32</v>
      </c>
      <c r="D601" s="7" t="s">
        <v>38</v>
      </c>
      <c r="E601" s="7" t="s">
        <v>27</v>
      </c>
      <c r="F601" s="6" t="s">
        <v>51</v>
      </c>
      <c r="G601" s="8">
        <v>340565</v>
      </c>
      <c r="H601" s="8">
        <v>45350</v>
      </c>
      <c r="I601" s="8">
        <v>31860</v>
      </c>
      <c r="J601" s="8">
        <v>3002</v>
      </c>
      <c r="K601" s="8">
        <v>158</v>
      </c>
      <c r="L601" s="8">
        <v>301</v>
      </c>
      <c r="M601" s="8">
        <v>34</v>
      </c>
      <c r="N601" s="8">
        <v>1479</v>
      </c>
      <c r="O601" s="9">
        <f t="shared" si="9"/>
        <v>0.10969868173258004</v>
      </c>
      <c r="P601" s="6" t="s">
        <v>22</v>
      </c>
    </row>
    <row r="602" spans="1:16" x14ac:dyDescent="0.25">
      <c r="A602" s="2" t="s">
        <v>1273</v>
      </c>
      <c r="B602" s="2" t="s">
        <v>1274</v>
      </c>
      <c r="C602" s="2" t="s">
        <v>25</v>
      </c>
      <c r="D602" s="3" t="s">
        <v>26</v>
      </c>
      <c r="E602" s="3" t="s">
        <v>45</v>
      </c>
      <c r="F602" s="2" t="s">
        <v>28</v>
      </c>
      <c r="G602" s="4">
        <v>198117</v>
      </c>
      <c r="H602" s="4">
        <v>117247</v>
      </c>
      <c r="I602" s="4">
        <v>87072</v>
      </c>
      <c r="J602" s="4">
        <v>8257</v>
      </c>
      <c r="K602" s="4">
        <v>1147</v>
      </c>
      <c r="L602" s="4">
        <v>1031</v>
      </c>
      <c r="M602" s="4">
        <v>1037</v>
      </c>
      <c r="N602" s="4">
        <v>1502</v>
      </c>
      <c r="O602" s="5">
        <f t="shared" si="9"/>
        <v>0.13175303197353913</v>
      </c>
      <c r="P602" s="2" t="s">
        <v>22</v>
      </c>
    </row>
    <row r="603" spans="1:16" x14ac:dyDescent="0.25">
      <c r="A603" s="6" t="s">
        <v>1275</v>
      </c>
      <c r="B603" s="6" t="s">
        <v>1276</v>
      </c>
      <c r="C603" s="6" t="s">
        <v>43</v>
      </c>
      <c r="D603" s="7" t="s">
        <v>81</v>
      </c>
      <c r="E603" s="7" t="s">
        <v>34</v>
      </c>
      <c r="F603" s="6" t="s">
        <v>46</v>
      </c>
      <c r="G603" s="8">
        <v>627340</v>
      </c>
      <c r="H603" s="8">
        <v>100905</v>
      </c>
      <c r="I603" s="8">
        <v>90492</v>
      </c>
      <c r="J603" s="8">
        <v>2579</v>
      </c>
      <c r="K603" s="8">
        <v>268</v>
      </c>
      <c r="L603" s="8">
        <v>172</v>
      </c>
      <c r="M603" s="8">
        <v>13</v>
      </c>
      <c r="N603" s="8">
        <v>1687</v>
      </c>
      <c r="O603" s="9">
        <f t="shared" si="9"/>
        <v>3.3505724262918271E-2</v>
      </c>
      <c r="P603" s="6" t="s">
        <v>22</v>
      </c>
    </row>
    <row r="604" spans="1:16" x14ac:dyDescent="0.25">
      <c r="A604" s="2" t="s">
        <v>1277</v>
      </c>
      <c r="B604" s="2" t="s">
        <v>1278</v>
      </c>
      <c r="C604" s="2" t="s">
        <v>76</v>
      </c>
      <c r="D604" s="3" t="s">
        <v>86</v>
      </c>
      <c r="E604" s="3" t="s">
        <v>45</v>
      </c>
      <c r="F604" s="2" t="s">
        <v>104</v>
      </c>
      <c r="G604" s="4">
        <v>395982</v>
      </c>
      <c r="H604" s="4">
        <v>174677</v>
      </c>
      <c r="I604" s="4">
        <v>153345</v>
      </c>
      <c r="J604" s="4">
        <v>5378</v>
      </c>
      <c r="K604" s="4">
        <v>169</v>
      </c>
      <c r="L604" s="4">
        <v>232</v>
      </c>
      <c r="M604" s="4">
        <v>879</v>
      </c>
      <c r="N604" s="4">
        <v>4052</v>
      </c>
      <c r="O604" s="5">
        <f t="shared" si="9"/>
        <v>4.341843555381656E-2</v>
      </c>
      <c r="P604" s="2" t="s">
        <v>22</v>
      </c>
    </row>
    <row r="605" spans="1:16" x14ac:dyDescent="0.25">
      <c r="A605" s="6" t="s">
        <v>1279</v>
      </c>
      <c r="B605" s="6" t="s">
        <v>1280</v>
      </c>
      <c r="C605" s="6" t="s">
        <v>43</v>
      </c>
      <c r="D605" s="7" t="s">
        <v>172</v>
      </c>
      <c r="E605" s="7" t="s">
        <v>34</v>
      </c>
      <c r="F605" s="6" t="s">
        <v>70</v>
      </c>
      <c r="G605" s="8">
        <v>549593</v>
      </c>
      <c r="H605" s="8">
        <v>334236</v>
      </c>
      <c r="I605" s="8">
        <v>278533</v>
      </c>
      <c r="J605" s="8">
        <v>17432</v>
      </c>
      <c r="K605" s="8">
        <v>1877</v>
      </c>
      <c r="L605" s="8">
        <v>2073</v>
      </c>
      <c r="M605" s="8">
        <v>13</v>
      </c>
      <c r="N605" s="8">
        <v>10363</v>
      </c>
      <c r="O605" s="9">
        <f t="shared" si="9"/>
        <v>7.6813160379560055E-2</v>
      </c>
      <c r="P605" s="6" t="s">
        <v>22</v>
      </c>
    </row>
    <row r="606" spans="1:16" x14ac:dyDescent="0.25">
      <c r="A606" s="2" t="s">
        <v>1281</v>
      </c>
      <c r="B606" s="2" t="s">
        <v>1282</v>
      </c>
      <c r="C606" s="2" t="s">
        <v>25</v>
      </c>
      <c r="D606" s="3" t="s">
        <v>145</v>
      </c>
      <c r="E606" s="3" t="s">
        <v>45</v>
      </c>
      <c r="F606" s="2" t="s">
        <v>146</v>
      </c>
      <c r="G606" s="4">
        <v>283089</v>
      </c>
      <c r="H606" s="4">
        <v>54796</v>
      </c>
      <c r="I606" s="4">
        <v>42559</v>
      </c>
      <c r="J606" s="4">
        <v>2909</v>
      </c>
      <c r="K606" s="4">
        <v>215</v>
      </c>
      <c r="L606" s="4">
        <v>339</v>
      </c>
      <c r="M606" s="4">
        <v>433</v>
      </c>
      <c r="N606" s="4">
        <v>1116</v>
      </c>
      <c r="O606" s="5">
        <f t="shared" si="9"/>
        <v>9.1543504311661458E-2</v>
      </c>
      <c r="P606" s="2" t="s">
        <v>22</v>
      </c>
    </row>
    <row r="607" spans="1:16" x14ac:dyDescent="0.25">
      <c r="A607" s="6" t="s">
        <v>1283</v>
      </c>
      <c r="B607" s="6" t="s">
        <v>1284</v>
      </c>
      <c r="C607" s="6" t="s">
        <v>18</v>
      </c>
      <c r="D607" s="7" t="s">
        <v>57</v>
      </c>
      <c r="E607" s="7" t="s">
        <v>34</v>
      </c>
      <c r="F607" s="6" t="s">
        <v>73</v>
      </c>
      <c r="G607" s="8">
        <v>834181</v>
      </c>
      <c r="H607" s="8">
        <v>214887</v>
      </c>
      <c r="I607" s="8">
        <v>160151</v>
      </c>
      <c r="J607" s="8">
        <v>13607</v>
      </c>
      <c r="K607" s="8">
        <v>1292</v>
      </c>
      <c r="L607" s="8">
        <v>1061</v>
      </c>
      <c r="M607" s="8">
        <v>2303</v>
      </c>
      <c r="N607" s="8">
        <v>2825</v>
      </c>
      <c r="O607" s="9">
        <f t="shared" si="9"/>
        <v>0.1140361284038189</v>
      </c>
      <c r="P607" s="6" t="s">
        <v>22</v>
      </c>
    </row>
    <row r="608" spans="1:16" x14ac:dyDescent="0.25">
      <c r="A608" s="2" t="s">
        <v>1285</v>
      </c>
      <c r="B608" s="2" t="s">
        <v>1286</v>
      </c>
      <c r="C608" s="2" t="s">
        <v>25</v>
      </c>
      <c r="D608" s="3" t="s">
        <v>61</v>
      </c>
      <c r="E608" s="3" t="s">
        <v>50</v>
      </c>
      <c r="F608" s="2" t="s">
        <v>28</v>
      </c>
      <c r="G608" s="4">
        <v>665932</v>
      </c>
      <c r="H608" s="4">
        <v>223859</v>
      </c>
      <c r="I608" s="4">
        <v>203886</v>
      </c>
      <c r="J608" s="4">
        <v>7876</v>
      </c>
      <c r="K608" s="4">
        <v>720</v>
      </c>
      <c r="L608" s="4">
        <v>775</v>
      </c>
      <c r="M608" s="4">
        <v>1775</v>
      </c>
      <c r="N608" s="4">
        <v>7501</v>
      </c>
      <c r="O608" s="5">
        <f t="shared" si="9"/>
        <v>5.4667804557448768E-2</v>
      </c>
      <c r="P608" s="2" t="s">
        <v>22</v>
      </c>
    </row>
    <row r="609" spans="1:16" x14ac:dyDescent="0.25">
      <c r="A609" s="6" t="s">
        <v>1287</v>
      </c>
      <c r="B609" s="6" t="s">
        <v>1288</v>
      </c>
      <c r="C609" s="6" t="s">
        <v>18</v>
      </c>
      <c r="D609" s="7" t="s">
        <v>57</v>
      </c>
      <c r="E609" s="7" t="s">
        <v>20</v>
      </c>
      <c r="F609" s="6" t="s">
        <v>58</v>
      </c>
      <c r="G609" s="8">
        <v>259734</v>
      </c>
      <c r="H609" s="8">
        <v>118039</v>
      </c>
      <c r="I609" s="8">
        <v>86393</v>
      </c>
      <c r="J609" s="8">
        <v>4587</v>
      </c>
      <c r="K609" s="8">
        <v>144</v>
      </c>
      <c r="L609" s="8">
        <v>502</v>
      </c>
      <c r="M609" s="8">
        <v>886</v>
      </c>
      <c r="N609" s="8">
        <v>1347</v>
      </c>
      <c r="O609" s="9">
        <f t="shared" si="9"/>
        <v>7.0827497598185032E-2</v>
      </c>
      <c r="P609" s="6" t="s">
        <v>22</v>
      </c>
    </row>
    <row r="610" spans="1:16" x14ac:dyDescent="0.25">
      <c r="A610" s="2" t="s">
        <v>1289</v>
      </c>
      <c r="B610" s="2" t="s">
        <v>1290</v>
      </c>
      <c r="C610" s="2" t="s">
        <v>32</v>
      </c>
      <c r="D610" s="3" t="s">
        <v>38</v>
      </c>
      <c r="E610" s="3" t="s">
        <v>27</v>
      </c>
      <c r="F610" s="2" t="s">
        <v>51</v>
      </c>
      <c r="G610" s="4">
        <v>555374</v>
      </c>
      <c r="H610" s="4">
        <v>222008</v>
      </c>
      <c r="I610" s="4">
        <v>185096</v>
      </c>
      <c r="J610" s="4">
        <v>16206</v>
      </c>
      <c r="K610" s="4">
        <v>2576</v>
      </c>
      <c r="L610" s="4">
        <v>481</v>
      </c>
      <c r="M610" s="4">
        <v>41</v>
      </c>
      <c r="N610" s="4">
        <v>3918</v>
      </c>
      <c r="O610" s="5">
        <f t="shared" si="9"/>
        <v>0.10429182694385616</v>
      </c>
      <c r="P610" s="2" t="s">
        <v>29</v>
      </c>
    </row>
    <row r="611" spans="1:16" x14ac:dyDescent="0.25">
      <c r="A611" s="6" t="s">
        <v>1291</v>
      </c>
      <c r="B611" s="6" t="s">
        <v>1292</v>
      </c>
      <c r="C611" s="6" t="s">
        <v>76</v>
      </c>
      <c r="D611" s="7" t="s">
        <v>182</v>
      </c>
      <c r="E611" s="7" t="s">
        <v>39</v>
      </c>
      <c r="F611" s="6" t="s">
        <v>87</v>
      </c>
      <c r="G611" s="8">
        <v>290245</v>
      </c>
      <c r="H611" s="8">
        <v>43749</v>
      </c>
      <c r="I611" s="8">
        <v>36412</v>
      </c>
      <c r="J611" s="8">
        <v>2426</v>
      </c>
      <c r="K611" s="8">
        <v>158</v>
      </c>
      <c r="L611" s="8">
        <v>55</v>
      </c>
      <c r="M611" s="8">
        <v>129</v>
      </c>
      <c r="N611" s="8">
        <v>1246</v>
      </c>
      <c r="O611" s="9">
        <f t="shared" si="9"/>
        <v>7.6018894869823134E-2</v>
      </c>
      <c r="P611" s="6" t="s">
        <v>22</v>
      </c>
    </row>
    <row r="612" spans="1:16" x14ac:dyDescent="0.25">
      <c r="A612" s="2" t="s">
        <v>1293</v>
      </c>
      <c r="B612" s="2" t="s">
        <v>1294</v>
      </c>
      <c r="C612" s="2" t="s">
        <v>32</v>
      </c>
      <c r="D612" s="3" t="s">
        <v>175</v>
      </c>
      <c r="E612" s="3" t="s">
        <v>27</v>
      </c>
      <c r="F612" s="2" t="s">
        <v>128</v>
      </c>
      <c r="G612" s="4">
        <v>356278</v>
      </c>
      <c r="H612" s="4">
        <v>42606</v>
      </c>
      <c r="I612" s="4">
        <v>37602</v>
      </c>
      <c r="J612" s="4">
        <v>1913</v>
      </c>
      <c r="K612" s="4">
        <v>143</v>
      </c>
      <c r="L612" s="4">
        <v>117</v>
      </c>
      <c r="M612" s="4">
        <v>22</v>
      </c>
      <c r="N612" s="4">
        <v>724</v>
      </c>
      <c r="O612" s="5">
        <f t="shared" si="9"/>
        <v>5.8374554544971015E-2</v>
      </c>
      <c r="P612" s="2" t="s">
        <v>22</v>
      </c>
    </row>
    <row r="613" spans="1:16" x14ac:dyDescent="0.25">
      <c r="A613" s="6" t="s">
        <v>1295</v>
      </c>
      <c r="B613" s="6" t="s">
        <v>1296</v>
      </c>
      <c r="C613" s="6" t="s">
        <v>32</v>
      </c>
      <c r="D613" s="7" t="s">
        <v>38</v>
      </c>
      <c r="E613" s="7" t="s">
        <v>45</v>
      </c>
      <c r="F613" s="6" t="s">
        <v>35</v>
      </c>
      <c r="G613" s="8">
        <v>519800</v>
      </c>
      <c r="H613" s="8">
        <v>328137</v>
      </c>
      <c r="I613" s="8">
        <v>290557</v>
      </c>
      <c r="J613" s="8">
        <v>25024</v>
      </c>
      <c r="K613" s="8">
        <v>1136</v>
      </c>
      <c r="L613" s="8">
        <v>1229</v>
      </c>
      <c r="M613" s="8">
        <v>0</v>
      </c>
      <c r="N613" s="8">
        <v>3006</v>
      </c>
      <c r="O613" s="9">
        <f t="shared" si="9"/>
        <v>9.4263776126543158E-2</v>
      </c>
      <c r="P613" s="6" t="s">
        <v>66</v>
      </c>
    </row>
    <row r="614" spans="1:16" x14ac:dyDescent="0.25">
      <c r="A614" s="2" t="s">
        <v>1297</v>
      </c>
      <c r="B614" s="2" t="s">
        <v>1298</v>
      </c>
      <c r="C614" s="2" t="s">
        <v>25</v>
      </c>
      <c r="D614" s="3" t="s">
        <v>64</v>
      </c>
      <c r="E614" s="3" t="s">
        <v>34</v>
      </c>
      <c r="F614" s="2" t="s">
        <v>146</v>
      </c>
      <c r="G614" s="4">
        <v>761782</v>
      </c>
      <c r="H614" s="4">
        <v>221115</v>
      </c>
      <c r="I614" s="4">
        <v>202918</v>
      </c>
      <c r="J614" s="4">
        <v>16815</v>
      </c>
      <c r="K614" s="4">
        <v>2693</v>
      </c>
      <c r="L614" s="4">
        <v>903</v>
      </c>
      <c r="M614" s="4">
        <v>3480</v>
      </c>
      <c r="N614" s="4">
        <v>1840</v>
      </c>
      <c r="O614" s="5">
        <f t="shared" si="9"/>
        <v>0.11773721404705349</v>
      </c>
      <c r="P614" s="2" t="s">
        <v>66</v>
      </c>
    </row>
    <row r="615" spans="1:16" x14ac:dyDescent="0.25">
      <c r="A615" s="6" t="s">
        <v>1299</v>
      </c>
      <c r="B615" s="6" t="s">
        <v>1300</v>
      </c>
      <c r="C615" s="6" t="s">
        <v>43</v>
      </c>
      <c r="D615" s="7" t="s">
        <v>69</v>
      </c>
      <c r="E615" s="7" t="s">
        <v>50</v>
      </c>
      <c r="F615" s="6" t="s">
        <v>107</v>
      </c>
      <c r="G615" s="8">
        <v>181112</v>
      </c>
      <c r="H615" s="8">
        <v>74721</v>
      </c>
      <c r="I615" s="8">
        <v>54380</v>
      </c>
      <c r="J615" s="8">
        <v>5358</v>
      </c>
      <c r="K615" s="8">
        <v>765</v>
      </c>
      <c r="L615" s="8">
        <v>725</v>
      </c>
      <c r="M615" s="8">
        <v>26</v>
      </c>
      <c r="N615" s="8">
        <v>1801</v>
      </c>
      <c r="O615" s="9">
        <f t="shared" si="9"/>
        <v>0.12640676719382127</v>
      </c>
      <c r="P615" s="6" t="s">
        <v>29</v>
      </c>
    </row>
    <row r="616" spans="1:16" x14ac:dyDescent="0.25">
      <c r="A616" s="2" t="s">
        <v>1301</v>
      </c>
      <c r="B616" s="2" t="s">
        <v>1302</v>
      </c>
      <c r="C616" s="2" t="s">
        <v>32</v>
      </c>
      <c r="D616" s="3" t="s">
        <v>121</v>
      </c>
      <c r="E616" s="3" t="s">
        <v>50</v>
      </c>
      <c r="F616" s="2" t="s">
        <v>40</v>
      </c>
      <c r="G616" s="4">
        <v>812675</v>
      </c>
      <c r="H616" s="4">
        <v>169624</v>
      </c>
      <c r="I616" s="4">
        <v>147329</v>
      </c>
      <c r="J616" s="4">
        <v>10632</v>
      </c>
      <c r="K616" s="4">
        <v>881</v>
      </c>
      <c r="L616" s="4">
        <v>1367</v>
      </c>
      <c r="M616" s="4">
        <v>15</v>
      </c>
      <c r="N616" s="4">
        <v>4204</v>
      </c>
      <c r="O616" s="5">
        <f t="shared" si="9"/>
        <v>8.7525198704939286E-2</v>
      </c>
      <c r="P616" s="2" t="s">
        <v>29</v>
      </c>
    </row>
    <row r="617" spans="1:16" x14ac:dyDescent="0.25">
      <c r="A617" s="6" t="s">
        <v>1303</v>
      </c>
      <c r="B617" s="6" t="s">
        <v>1304</v>
      </c>
      <c r="C617" s="6" t="s">
        <v>32</v>
      </c>
      <c r="D617" s="7" t="s">
        <v>175</v>
      </c>
      <c r="E617" s="7" t="s">
        <v>20</v>
      </c>
      <c r="F617" s="6" t="s">
        <v>128</v>
      </c>
      <c r="G617" s="8">
        <v>705569</v>
      </c>
      <c r="H617" s="8">
        <v>385629</v>
      </c>
      <c r="I617" s="8">
        <v>311311</v>
      </c>
      <c r="J617" s="8">
        <v>15589</v>
      </c>
      <c r="K617" s="8">
        <v>2371</v>
      </c>
      <c r="L617" s="8">
        <v>1855</v>
      </c>
      <c r="M617" s="8">
        <v>32</v>
      </c>
      <c r="N617" s="8">
        <v>11859</v>
      </c>
      <c r="O617" s="9">
        <f t="shared" si="9"/>
        <v>6.3752967289944784E-2</v>
      </c>
      <c r="P617" s="6" t="s">
        <v>29</v>
      </c>
    </row>
    <row r="618" spans="1:16" x14ac:dyDescent="0.25">
      <c r="A618" s="2" t="s">
        <v>1305</v>
      </c>
      <c r="B618" s="2" t="s">
        <v>1306</v>
      </c>
      <c r="C618" s="2" t="s">
        <v>25</v>
      </c>
      <c r="D618" s="3" t="s">
        <v>61</v>
      </c>
      <c r="E618" s="3" t="s">
        <v>34</v>
      </c>
      <c r="F618" s="2" t="s">
        <v>146</v>
      </c>
      <c r="G618" s="4">
        <v>231912</v>
      </c>
      <c r="H618" s="4">
        <v>69522</v>
      </c>
      <c r="I618" s="4">
        <v>61939</v>
      </c>
      <c r="J618" s="4">
        <v>3532</v>
      </c>
      <c r="K618" s="4">
        <v>519</v>
      </c>
      <c r="L618" s="4">
        <v>156</v>
      </c>
      <c r="M618" s="4">
        <v>372</v>
      </c>
      <c r="N618" s="4">
        <v>690</v>
      </c>
      <c r="O618" s="5">
        <f t="shared" si="9"/>
        <v>7.3927573903356525E-2</v>
      </c>
      <c r="P618" s="2" t="s">
        <v>22</v>
      </c>
    </row>
    <row r="619" spans="1:16" x14ac:dyDescent="0.25">
      <c r="A619" s="6" t="s">
        <v>1307</v>
      </c>
      <c r="B619" s="6" t="s">
        <v>1308</v>
      </c>
      <c r="C619" s="6" t="s">
        <v>25</v>
      </c>
      <c r="D619" s="7" t="s">
        <v>26</v>
      </c>
      <c r="E619" s="7" t="s">
        <v>34</v>
      </c>
      <c r="F619" s="6" t="s">
        <v>54</v>
      </c>
      <c r="G619" s="8">
        <v>254748</v>
      </c>
      <c r="H619" s="8">
        <v>910421</v>
      </c>
      <c r="I619" s="8">
        <v>643020</v>
      </c>
      <c r="J619" s="8">
        <v>54364</v>
      </c>
      <c r="K619" s="8">
        <v>5322</v>
      </c>
      <c r="L619" s="8">
        <v>2964</v>
      </c>
      <c r="M619" s="8">
        <v>12796</v>
      </c>
      <c r="N619" s="8">
        <v>6848</v>
      </c>
      <c r="O619" s="9">
        <f t="shared" si="9"/>
        <v>0.11733072066187678</v>
      </c>
      <c r="P619" s="6" t="s">
        <v>22</v>
      </c>
    </row>
    <row r="620" spans="1:16" x14ac:dyDescent="0.25">
      <c r="A620" s="2" t="s">
        <v>1309</v>
      </c>
      <c r="B620" s="2" t="s">
        <v>1310</v>
      </c>
      <c r="C620" s="2" t="s">
        <v>43</v>
      </c>
      <c r="D620" s="3" t="s">
        <v>110</v>
      </c>
      <c r="E620" s="3" t="s">
        <v>34</v>
      </c>
      <c r="F620" s="2" t="s">
        <v>46</v>
      </c>
      <c r="G620" s="4">
        <v>288330</v>
      </c>
      <c r="H620" s="4">
        <v>31141</v>
      </c>
      <c r="I620" s="4">
        <v>26813</v>
      </c>
      <c r="J620" s="4">
        <v>1412</v>
      </c>
      <c r="K620" s="4">
        <v>104</v>
      </c>
      <c r="L620" s="4">
        <v>102</v>
      </c>
      <c r="M620" s="4">
        <v>38</v>
      </c>
      <c r="N620" s="4">
        <v>413</v>
      </c>
      <c r="O620" s="5">
        <f t="shared" si="9"/>
        <v>6.1761086040353561E-2</v>
      </c>
      <c r="P620" s="2" t="s">
        <v>29</v>
      </c>
    </row>
    <row r="621" spans="1:16" x14ac:dyDescent="0.25">
      <c r="A621" s="6" t="s">
        <v>1311</v>
      </c>
      <c r="B621" s="6" t="s">
        <v>1312</v>
      </c>
      <c r="C621" s="6" t="s">
        <v>76</v>
      </c>
      <c r="D621" s="7" t="s">
        <v>86</v>
      </c>
      <c r="E621" s="7" t="s">
        <v>34</v>
      </c>
      <c r="F621" s="6" t="s">
        <v>155</v>
      </c>
      <c r="G621" s="8">
        <v>123283</v>
      </c>
      <c r="H621" s="8">
        <v>12370</v>
      </c>
      <c r="I621" s="8">
        <v>9308</v>
      </c>
      <c r="J621" s="8">
        <v>642</v>
      </c>
      <c r="K621" s="8">
        <v>45</v>
      </c>
      <c r="L621" s="8">
        <v>86</v>
      </c>
      <c r="M621" s="8">
        <v>121</v>
      </c>
      <c r="N621" s="8">
        <v>211</v>
      </c>
      <c r="O621" s="9">
        <f t="shared" si="9"/>
        <v>9.6046411688869793E-2</v>
      </c>
      <c r="P621" s="6" t="s">
        <v>22</v>
      </c>
    </row>
    <row r="622" spans="1:16" x14ac:dyDescent="0.25">
      <c r="A622" s="2" t="s">
        <v>1313</v>
      </c>
      <c r="B622" s="2" t="s">
        <v>1314</v>
      </c>
      <c r="C622" s="2" t="s">
        <v>18</v>
      </c>
      <c r="D622" s="3" t="s">
        <v>57</v>
      </c>
      <c r="E622" s="3" t="s">
        <v>20</v>
      </c>
      <c r="F622" s="2" t="s">
        <v>21</v>
      </c>
      <c r="G622" s="4">
        <v>826395</v>
      </c>
      <c r="H622" s="4">
        <v>366119</v>
      </c>
      <c r="I622" s="4">
        <v>304314</v>
      </c>
      <c r="J622" s="4">
        <v>23443</v>
      </c>
      <c r="K622" s="4">
        <v>1034</v>
      </c>
      <c r="L622" s="4">
        <v>2002</v>
      </c>
      <c r="M622" s="4">
        <v>4456</v>
      </c>
      <c r="N622" s="4">
        <v>7067</v>
      </c>
      <c r="O622" s="5">
        <f t="shared" si="9"/>
        <v>0.10165486964122585</v>
      </c>
      <c r="P622" s="2" t="s">
        <v>22</v>
      </c>
    </row>
    <row r="623" spans="1:16" x14ac:dyDescent="0.25">
      <c r="A623" s="6" t="s">
        <v>1315</v>
      </c>
      <c r="B623" s="6" t="s">
        <v>1316</v>
      </c>
      <c r="C623" s="6" t="s">
        <v>76</v>
      </c>
      <c r="D623" s="7" t="s">
        <v>86</v>
      </c>
      <c r="E623" s="7" t="s">
        <v>20</v>
      </c>
      <c r="F623" s="6" t="s">
        <v>78</v>
      </c>
      <c r="G623" s="8">
        <v>479828</v>
      </c>
      <c r="H623" s="8">
        <v>41869</v>
      </c>
      <c r="I623" s="8">
        <v>33249</v>
      </c>
      <c r="J623" s="8">
        <v>889</v>
      </c>
      <c r="K623" s="8">
        <v>156</v>
      </c>
      <c r="L623" s="8">
        <v>119</v>
      </c>
      <c r="M623" s="8">
        <v>74</v>
      </c>
      <c r="N623" s="8">
        <v>1164</v>
      </c>
      <c r="O623" s="9">
        <f t="shared" si="9"/>
        <v>3.7234202532406988E-2</v>
      </c>
      <c r="P623" s="6" t="s">
        <v>22</v>
      </c>
    </row>
    <row r="624" spans="1:16" x14ac:dyDescent="0.25">
      <c r="A624" s="2" t="s">
        <v>1317</v>
      </c>
      <c r="B624" s="2" t="s">
        <v>1318</v>
      </c>
      <c r="C624" s="2" t="s">
        <v>32</v>
      </c>
      <c r="D624" s="3" t="s">
        <v>49</v>
      </c>
      <c r="E624" s="3" t="s">
        <v>39</v>
      </c>
      <c r="F624" s="2" t="s">
        <v>128</v>
      </c>
      <c r="G624" s="4">
        <v>49871</v>
      </c>
      <c r="H624" s="4">
        <v>20115</v>
      </c>
      <c r="I624" s="4">
        <v>17777</v>
      </c>
      <c r="J624" s="4">
        <v>1036</v>
      </c>
      <c r="K624" s="4">
        <v>57</v>
      </c>
      <c r="L624" s="4">
        <v>40</v>
      </c>
      <c r="M624" s="4">
        <v>6</v>
      </c>
      <c r="N624" s="4">
        <v>160</v>
      </c>
      <c r="O624" s="5">
        <f t="shared" si="9"/>
        <v>6.407155313044946E-2</v>
      </c>
      <c r="P624" s="2" t="s">
        <v>29</v>
      </c>
    </row>
    <row r="625" spans="1:16" x14ac:dyDescent="0.25">
      <c r="A625" s="6" t="s">
        <v>1319</v>
      </c>
      <c r="B625" s="6" t="s">
        <v>1320</v>
      </c>
      <c r="C625" s="6" t="s">
        <v>18</v>
      </c>
      <c r="D625" s="7" t="s">
        <v>92</v>
      </c>
      <c r="E625" s="7" t="s">
        <v>50</v>
      </c>
      <c r="F625" s="6" t="s">
        <v>73</v>
      </c>
      <c r="G625" s="8">
        <v>512625</v>
      </c>
      <c r="H625" s="8">
        <v>175055</v>
      </c>
      <c r="I625" s="8">
        <v>136118</v>
      </c>
      <c r="J625" s="8">
        <v>10960</v>
      </c>
      <c r="K625" s="8">
        <v>1794</v>
      </c>
      <c r="L625" s="8">
        <v>1322</v>
      </c>
      <c r="M625" s="8">
        <v>2426</v>
      </c>
      <c r="N625" s="8">
        <v>5613</v>
      </c>
      <c r="O625" s="9">
        <f t="shared" si="9"/>
        <v>0.12123304779676457</v>
      </c>
      <c r="P625" s="6" t="s">
        <v>22</v>
      </c>
    </row>
    <row r="626" spans="1:16" x14ac:dyDescent="0.25">
      <c r="A626" s="2" t="s">
        <v>1321</v>
      </c>
      <c r="B626" s="2" t="s">
        <v>1322</v>
      </c>
      <c r="C626" s="2" t="s">
        <v>76</v>
      </c>
      <c r="D626" s="3" t="s">
        <v>86</v>
      </c>
      <c r="E626" s="3" t="s">
        <v>39</v>
      </c>
      <c r="F626" s="2" t="s">
        <v>155</v>
      </c>
      <c r="G626" s="4">
        <v>693896</v>
      </c>
      <c r="H626" s="4">
        <v>196789</v>
      </c>
      <c r="I626" s="4">
        <v>148331</v>
      </c>
      <c r="J626" s="4">
        <v>12685</v>
      </c>
      <c r="K626" s="4">
        <v>2232</v>
      </c>
      <c r="L626" s="4">
        <v>846</v>
      </c>
      <c r="M626" s="4">
        <v>2522</v>
      </c>
      <c r="N626" s="4">
        <v>2128</v>
      </c>
      <c r="O626" s="5">
        <f t="shared" si="9"/>
        <v>0.12327160202520039</v>
      </c>
      <c r="P626" s="2" t="s">
        <v>66</v>
      </c>
    </row>
    <row r="627" spans="1:16" x14ac:dyDescent="0.25">
      <c r="A627" s="6" t="s">
        <v>1323</v>
      </c>
      <c r="B627" s="6" t="s">
        <v>1324</v>
      </c>
      <c r="C627" s="6" t="s">
        <v>43</v>
      </c>
      <c r="D627" s="7" t="s">
        <v>69</v>
      </c>
      <c r="E627" s="7" t="s">
        <v>27</v>
      </c>
      <c r="F627" s="6" t="s">
        <v>70</v>
      </c>
      <c r="G627" s="8">
        <v>280696</v>
      </c>
      <c r="H627" s="8">
        <v>78269</v>
      </c>
      <c r="I627" s="8">
        <v>61521</v>
      </c>
      <c r="J627" s="8">
        <v>3525</v>
      </c>
      <c r="K627" s="8">
        <v>631</v>
      </c>
      <c r="L627" s="8">
        <v>212</v>
      </c>
      <c r="M627" s="8">
        <v>2</v>
      </c>
      <c r="N627" s="8">
        <v>1752</v>
      </c>
      <c r="O627" s="9">
        <f t="shared" si="9"/>
        <v>7.1032655516002671E-2</v>
      </c>
      <c r="P627" s="6" t="s">
        <v>29</v>
      </c>
    </row>
    <row r="628" spans="1:16" x14ac:dyDescent="0.25">
      <c r="A628" s="2" t="s">
        <v>1325</v>
      </c>
      <c r="B628" s="2" t="s">
        <v>1326</v>
      </c>
      <c r="C628" s="2" t="s">
        <v>32</v>
      </c>
      <c r="D628" s="3" t="s">
        <v>33</v>
      </c>
      <c r="E628" s="3" t="s">
        <v>50</v>
      </c>
      <c r="F628" s="2" t="s">
        <v>40</v>
      </c>
      <c r="G628" s="4">
        <v>118043</v>
      </c>
      <c r="H628" s="4">
        <v>43013</v>
      </c>
      <c r="I628" s="4">
        <v>31501</v>
      </c>
      <c r="J628" s="4">
        <v>2617</v>
      </c>
      <c r="K628" s="4">
        <v>283</v>
      </c>
      <c r="L628" s="4">
        <v>150</v>
      </c>
      <c r="M628" s="4">
        <v>35</v>
      </c>
      <c r="N628" s="4">
        <v>1072</v>
      </c>
      <c r="O628" s="5">
        <f t="shared" si="9"/>
        <v>9.7933398939716199E-2</v>
      </c>
      <c r="P628" s="2" t="s">
        <v>22</v>
      </c>
    </row>
    <row r="629" spans="1:16" x14ac:dyDescent="0.25">
      <c r="A629" s="6" t="s">
        <v>1327</v>
      </c>
      <c r="B629" s="6" t="s">
        <v>1328</v>
      </c>
      <c r="C629" s="6" t="s">
        <v>76</v>
      </c>
      <c r="D629" s="7" t="s">
        <v>182</v>
      </c>
      <c r="E629" s="7" t="s">
        <v>34</v>
      </c>
      <c r="F629" s="6" t="s">
        <v>155</v>
      </c>
      <c r="G629" s="8">
        <v>299265</v>
      </c>
      <c r="H629" s="8">
        <v>44997</v>
      </c>
      <c r="I629" s="8">
        <v>34525</v>
      </c>
      <c r="J629" s="8">
        <v>2061</v>
      </c>
      <c r="K629" s="8">
        <v>265</v>
      </c>
      <c r="L629" s="8">
        <v>41</v>
      </c>
      <c r="M629" s="8">
        <v>206</v>
      </c>
      <c r="N629" s="8">
        <v>697</v>
      </c>
      <c r="O629" s="9">
        <f t="shared" si="9"/>
        <v>7.4525706010137582E-2</v>
      </c>
      <c r="P629" s="6" t="s">
        <v>22</v>
      </c>
    </row>
    <row r="630" spans="1:16" x14ac:dyDescent="0.25">
      <c r="A630" s="2" t="s">
        <v>1329</v>
      </c>
      <c r="B630" s="2" t="s">
        <v>1330</v>
      </c>
      <c r="C630" s="2" t="s">
        <v>43</v>
      </c>
      <c r="D630" s="3" t="s">
        <v>44</v>
      </c>
      <c r="E630" s="3" t="s">
        <v>34</v>
      </c>
      <c r="F630" s="2" t="s">
        <v>107</v>
      </c>
      <c r="G630" s="4">
        <v>286316</v>
      </c>
      <c r="H630" s="4">
        <v>142539</v>
      </c>
      <c r="I630" s="4">
        <v>118129</v>
      </c>
      <c r="J630" s="4">
        <v>3541</v>
      </c>
      <c r="K630" s="4">
        <v>222</v>
      </c>
      <c r="L630" s="4">
        <v>288</v>
      </c>
      <c r="M630" s="4">
        <v>22</v>
      </c>
      <c r="N630" s="4">
        <v>1776</v>
      </c>
      <c r="O630" s="5">
        <f t="shared" si="9"/>
        <v>3.4479255728906533E-2</v>
      </c>
      <c r="P630" s="2" t="s">
        <v>29</v>
      </c>
    </row>
    <row r="631" spans="1:16" x14ac:dyDescent="0.25">
      <c r="A631" s="6" t="s">
        <v>1331</v>
      </c>
      <c r="B631" s="6" t="s">
        <v>1332</v>
      </c>
      <c r="C631" s="6" t="s">
        <v>76</v>
      </c>
      <c r="D631" s="7" t="s">
        <v>103</v>
      </c>
      <c r="E631" s="7" t="s">
        <v>50</v>
      </c>
      <c r="F631" s="6" t="s">
        <v>78</v>
      </c>
      <c r="G631" s="8">
        <v>184220</v>
      </c>
      <c r="H631" s="8">
        <v>86028</v>
      </c>
      <c r="I631" s="8">
        <v>75443</v>
      </c>
      <c r="J631" s="8">
        <v>2438</v>
      </c>
      <c r="K631" s="8">
        <v>353</v>
      </c>
      <c r="L631" s="8">
        <v>128</v>
      </c>
      <c r="M631" s="8">
        <v>324</v>
      </c>
      <c r="N631" s="8">
        <v>945</v>
      </c>
      <c r="O631" s="9">
        <f t="shared" si="9"/>
        <v>4.2986095462799731E-2</v>
      </c>
      <c r="P631" s="6" t="s">
        <v>22</v>
      </c>
    </row>
    <row r="632" spans="1:16" x14ac:dyDescent="0.25">
      <c r="A632" s="2" t="s">
        <v>1333</v>
      </c>
      <c r="B632" s="2" t="s">
        <v>1334</v>
      </c>
      <c r="C632" s="2" t="s">
        <v>32</v>
      </c>
      <c r="D632" s="3" t="s">
        <v>33</v>
      </c>
      <c r="E632" s="3" t="s">
        <v>20</v>
      </c>
      <c r="F632" s="2" t="s">
        <v>35</v>
      </c>
      <c r="G632" s="4">
        <v>822911</v>
      </c>
      <c r="H632" s="4">
        <v>270761</v>
      </c>
      <c r="I632" s="4">
        <v>220899</v>
      </c>
      <c r="J632" s="4">
        <v>16691</v>
      </c>
      <c r="K632" s="4">
        <v>1762</v>
      </c>
      <c r="L632" s="4">
        <v>1820</v>
      </c>
      <c r="M632" s="4">
        <v>22</v>
      </c>
      <c r="N632" s="4">
        <v>5158</v>
      </c>
      <c r="O632" s="5">
        <f t="shared" si="9"/>
        <v>9.1874567109855629E-2</v>
      </c>
      <c r="P632" s="2" t="s">
        <v>22</v>
      </c>
    </row>
    <row r="633" spans="1:16" x14ac:dyDescent="0.25">
      <c r="A633" s="6" t="s">
        <v>1335</v>
      </c>
      <c r="B633" s="6" t="s">
        <v>1336</v>
      </c>
      <c r="C633" s="6" t="s">
        <v>43</v>
      </c>
      <c r="D633" s="7" t="s">
        <v>81</v>
      </c>
      <c r="E633" s="7" t="s">
        <v>39</v>
      </c>
      <c r="F633" s="6" t="s">
        <v>70</v>
      </c>
      <c r="G633" s="8">
        <v>795072</v>
      </c>
      <c r="H633" s="8">
        <v>474581</v>
      </c>
      <c r="I633" s="8">
        <v>357540</v>
      </c>
      <c r="J633" s="8">
        <v>24076</v>
      </c>
      <c r="K633" s="8">
        <v>1181</v>
      </c>
      <c r="L633" s="8">
        <v>2181</v>
      </c>
      <c r="M633" s="8">
        <v>36</v>
      </c>
      <c r="N633" s="8">
        <v>14870</v>
      </c>
      <c r="O633" s="9">
        <f t="shared" si="9"/>
        <v>7.6841751971807357E-2</v>
      </c>
      <c r="P633" s="6" t="s">
        <v>22</v>
      </c>
    </row>
    <row r="634" spans="1:16" x14ac:dyDescent="0.25">
      <c r="A634" s="2" t="s">
        <v>1337</v>
      </c>
      <c r="B634" s="2" t="s">
        <v>1338</v>
      </c>
      <c r="C634" s="2" t="s">
        <v>76</v>
      </c>
      <c r="D634" s="3" t="s">
        <v>182</v>
      </c>
      <c r="E634" s="3" t="s">
        <v>27</v>
      </c>
      <c r="F634" s="2" t="s">
        <v>104</v>
      </c>
      <c r="G634" s="4">
        <v>59486</v>
      </c>
      <c r="H634" s="4">
        <v>13919</v>
      </c>
      <c r="I634" s="4">
        <v>10071</v>
      </c>
      <c r="J634" s="4">
        <v>774</v>
      </c>
      <c r="K634" s="4">
        <v>118</v>
      </c>
      <c r="L634" s="4">
        <v>72</v>
      </c>
      <c r="M634" s="4">
        <v>145</v>
      </c>
      <c r="N634" s="4">
        <v>430</v>
      </c>
      <c r="O634" s="5">
        <f t="shared" si="9"/>
        <v>0.11011816105649885</v>
      </c>
      <c r="P634" s="2" t="s">
        <v>22</v>
      </c>
    </row>
    <row r="635" spans="1:16" x14ac:dyDescent="0.25">
      <c r="A635" s="6" t="s">
        <v>1339</v>
      </c>
      <c r="B635" s="6" t="s">
        <v>1340</v>
      </c>
      <c r="C635" s="6" t="s">
        <v>76</v>
      </c>
      <c r="D635" s="7" t="s">
        <v>86</v>
      </c>
      <c r="E635" s="7" t="s">
        <v>27</v>
      </c>
      <c r="F635" s="6" t="s">
        <v>155</v>
      </c>
      <c r="G635" s="8">
        <v>591851</v>
      </c>
      <c r="H635" s="8">
        <v>214441</v>
      </c>
      <c r="I635" s="8">
        <v>192334</v>
      </c>
      <c r="J635" s="8">
        <v>12519</v>
      </c>
      <c r="K635" s="8">
        <v>666</v>
      </c>
      <c r="L635" s="8">
        <v>1272</v>
      </c>
      <c r="M635" s="8">
        <v>2426</v>
      </c>
      <c r="N635" s="8">
        <v>7097</v>
      </c>
      <c r="O635" s="9">
        <f t="shared" si="9"/>
        <v>8.7779591751848351E-2</v>
      </c>
      <c r="P635" s="6" t="s">
        <v>29</v>
      </c>
    </row>
    <row r="636" spans="1:16" x14ac:dyDescent="0.25">
      <c r="A636" s="2" t="s">
        <v>1341</v>
      </c>
      <c r="B636" s="2" t="s">
        <v>1342</v>
      </c>
      <c r="C636" s="2" t="s">
        <v>76</v>
      </c>
      <c r="D636" s="3" t="s">
        <v>77</v>
      </c>
      <c r="E636" s="3" t="s">
        <v>20</v>
      </c>
      <c r="F636" s="2" t="s">
        <v>87</v>
      </c>
      <c r="G636" s="4">
        <v>547573</v>
      </c>
      <c r="H636" s="4">
        <v>107569</v>
      </c>
      <c r="I636" s="4">
        <v>75881</v>
      </c>
      <c r="J636" s="4">
        <v>5415</v>
      </c>
      <c r="K636" s="4">
        <v>479</v>
      </c>
      <c r="L636" s="4">
        <v>760</v>
      </c>
      <c r="M636" s="4">
        <v>595</v>
      </c>
      <c r="N636" s="4">
        <v>2098</v>
      </c>
      <c r="O636" s="5">
        <f t="shared" si="9"/>
        <v>9.5531160633096565E-2</v>
      </c>
      <c r="P636" s="2" t="s">
        <v>22</v>
      </c>
    </row>
    <row r="637" spans="1:16" x14ac:dyDescent="0.25">
      <c r="A637" s="6" t="s">
        <v>1343</v>
      </c>
      <c r="B637" s="6" t="s">
        <v>1344</v>
      </c>
      <c r="C637" s="6" t="s">
        <v>43</v>
      </c>
      <c r="D637" s="7" t="s">
        <v>69</v>
      </c>
      <c r="E637" s="7" t="s">
        <v>45</v>
      </c>
      <c r="F637" s="6" t="s">
        <v>107</v>
      </c>
      <c r="G637" s="8">
        <v>131680</v>
      </c>
      <c r="H637" s="8">
        <v>58285</v>
      </c>
      <c r="I637" s="8">
        <v>42616</v>
      </c>
      <c r="J637" s="8">
        <v>3769</v>
      </c>
      <c r="K637" s="8">
        <v>249</v>
      </c>
      <c r="L637" s="8">
        <v>326</v>
      </c>
      <c r="M637" s="8">
        <v>44</v>
      </c>
      <c r="N637" s="8">
        <v>1247</v>
      </c>
      <c r="O637" s="9">
        <f t="shared" si="9"/>
        <v>0.10296602215130467</v>
      </c>
      <c r="P637" s="6" t="s">
        <v>22</v>
      </c>
    </row>
    <row r="638" spans="1:16" x14ac:dyDescent="0.25">
      <c r="A638" s="2" t="s">
        <v>1345</v>
      </c>
      <c r="B638" s="2" t="s">
        <v>1346</v>
      </c>
      <c r="C638" s="2" t="s">
        <v>43</v>
      </c>
      <c r="D638" s="3" t="s">
        <v>69</v>
      </c>
      <c r="E638" s="3" t="s">
        <v>50</v>
      </c>
      <c r="F638" s="2" t="s">
        <v>107</v>
      </c>
      <c r="G638" s="4">
        <v>291048</v>
      </c>
      <c r="H638" s="4">
        <v>139022</v>
      </c>
      <c r="I638" s="4">
        <v>111505</v>
      </c>
      <c r="J638" s="4">
        <v>9566</v>
      </c>
      <c r="K638" s="4">
        <v>499</v>
      </c>
      <c r="L638" s="4">
        <v>543</v>
      </c>
      <c r="M638" s="4">
        <v>7</v>
      </c>
      <c r="N638" s="4">
        <v>3048</v>
      </c>
      <c r="O638" s="5">
        <f t="shared" si="9"/>
        <v>9.5197524774673775E-2</v>
      </c>
      <c r="P638" s="2" t="s">
        <v>22</v>
      </c>
    </row>
    <row r="639" spans="1:16" x14ac:dyDescent="0.25">
      <c r="A639" s="6" t="s">
        <v>1347</v>
      </c>
      <c r="B639" s="6" t="s">
        <v>1348</v>
      </c>
      <c r="C639" s="6" t="s">
        <v>43</v>
      </c>
      <c r="D639" s="7" t="s">
        <v>69</v>
      </c>
      <c r="E639" s="7" t="s">
        <v>34</v>
      </c>
      <c r="F639" s="6" t="s">
        <v>46</v>
      </c>
      <c r="G639" s="8">
        <v>148570</v>
      </c>
      <c r="H639" s="8">
        <v>73118</v>
      </c>
      <c r="I639" s="8">
        <v>51329</v>
      </c>
      <c r="J639" s="8">
        <v>2156</v>
      </c>
      <c r="K639" s="8">
        <v>226</v>
      </c>
      <c r="L639" s="8">
        <v>284</v>
      </c>
      <c r="M639" s="8">
        <v>13</v>
      </c>
      <c r="N639" s="8">
        <v>1130</v>
      </c>
      <c r="O639" s="9">
        <f t="shared" si="9"/>
        <v>5.2192717567067351E-2</v>
      </c>
      <c r="P639" s="6" t="s">
        <v>29</v>
      </c>
    </row>
    <row r="640" spans="1:16" x14ac:dyDescent="0.25">
      <c r="A640" s="2" t="s">
        <v>1349</v>
      </c>
      <c r="B640" s="2" t="s">
        <v>1350</v>
      </c>
      <c r="C640" s="2" t="s">
        <v>25</v>
      </c>
      <c r="D640" s="3" t="s">
        <v>244</v>
      </c>
      <c r="E640" s="3" t="s">
        <v>45</v>
      </c>
      <c r="F640" s="2" t="s">
        <v>28</v>
      </c>
      <c r="G640" s="4">
        <v>484301</v>
      </c>
      <c r="H640" s="4">
        <v>255912</v>
      </c>
      <c r="I640" s="4">
        <v>223332</v>
      </c>
      <c r="J640" s="4">
        <v>15228</v>
      </c>
      <c r="K640" s="4">
        <v>2566</v>
      </c>
      <c r="L640" s="4">
        <v>439</v>
      </c>
      <c r="M640" s="4">
        <v>3317</v>
      </c>
      <c r="N640" s="4">
        <v>4993</v>
      </c>
      <c r="O640" s="5">
        <f t="shared" si="9"/>
        <v>9.6493113391721744E-2</v>
      </c>
      <c r="P640" s="2" t="s">
        <v>66</v>
      </c>
    </row>
    <row r="641" spans="1:16" x14ac:dyDescent="0.25">
      <c r="A641" s="6" t="s">
        <v>1351</v>
      </c>
      <c r="B641" s="6" t="s">
        <v>1352</v>
      </c>
      <c r="C641" s="6" t="s">
        <v>43</v>
      </c>
      <c r="D641" s="7" t="s">
        <v>172</v>
      </c>
      <c r="E641" s="7" t="s">
        <v>50</v>
      </c>
      <c r="F641" s="6" t="s">
        <v>70</v>
      </c>
      <c r="G641" s="8">
        <v>734163</v>
      </c>
      <c r="H641" s="8">
        <v>458456</v>
      </c>
      <c r="I641" s="8">
        <v>379871</v>
      </c>
      <c r="J641" s="8">
        <v>31997</v>
      </c>
      <c r="K641" s="8">
        <v>1284</v>
      </c>
      <c r="L641" s="8">
        <v>762</v>
      </c>
      <c r="M641" s="8">
        <v>46</v>
      </c>
      <c r="N641" s="8">
        <v>4481</v>
      </c>
      <c r="O641" s="9">
        <f t="shared" si="9"/>
        <v>8.9738358548033414E-2</v>
      </c>
      <c r="P641" s="6" t="s">
        <v>22</v>
      </c>
    </row>
    <row r="642" spans="1:16" x14ac:dyDescent="0.25">
      <c r="A642" s="2" t="s">
        <v>1353</v>
      </c>
      <c r="B642" s="2" t="s">
        <v>1354</v>
      </c>
      <c r="C642" s="2" t="s">
        <v>32</v>
      </c>
      <c r="D642" s="3" t="s">
        <v>38</v>
      </c>
      <c r="E642" s="3" t="s">
        <v>20</v>
      </c>
      <c r="F642" s="2" t="s">
        <v>51</v>
      </c>
      <c r="G642" s="4">
        <v>113053</v>
      </c>
      <c r="H642" s="4">
        <v>20256</v>
      </c>
      <c r="I642" s="4">
        <v>17547</v>
      </c>
      <c r="J642" s="4">
        <v>915</v>
      </c>
      <c r="K642" s="4">
        <v>36</v>
      </c>
      <c r="L642" s="4">
        <v>91</v>
      </c>
      <c r="M642" s="4">
        <v>7</v>
      </c>
      <c r="N642" s="4">
        <v>124</v>
      </c>
      <c r="O642" s="5">
        <f t="shared" ref="O642:O705" si="10">IF(I642&gt;0, (J642+K642+L642+M642)/I642, 0)</f>
        <v>5.9782298968484644E-2</v>
      </c>
      <c r="P642" s="2" t="s">
        <v>29</v>
      </c>
    </row>
    <row r="643" spans="1:16" x14ac:dyDescent="0.25">
      <c r="A643" s="6" t="s">
        <v>1355</v>
      </c>
      <c r="B643" s="6" t="s">
        <v>1356</v>
      </c>
      <c r="C643" s="6" t="s">
        <v>76</v>
      </c>
      <c r="D643" s="7" t="s">
        <v>86</v>
      </c>
      <c r="E643" s="7" t="s">
        <v>50</v>
      </c>
      <c r="F643" s="6" t="s">
        <v>87</v>
      </c>
      <c r="G643" s="8">
        <v>735167</v>
      </c>
      <c r="H643" s="8">
        <v>114637</v>
      </c>
      <c r="I643" s="8">
        <v>94716</v>
      </c>
      <c r="J643" s="8">
        <v>3666</v>
      </c>
      <c r="K643" s="8">
        <v>248</v>
      </c>
      <c r="L643" s="8">
        <v>281</v>
      </c>
      <c r="M643" s="8">
        <v>393</v>
      </c>
      <c r="N643" s="8">
        <v>1265</v>
      </c>
      <c r="O643" s="9">
        <f t="shared" si="10"/>
        <v>4.8439545588918449E-2</v>
      </c>
      <c r="P643" s="6" t="s">
        <v>22</v>
      </c>
    </row>
    <row r="644" spans="1:16" x14ac:dyDescent="0.25">
      <c r="A644" s="2" t="s">
        <v>1357</v>
      </c>
      <c r="B644" s="2" t="s">
        <v>1358</v>
      </c>
      <c r="C644" s="2" t="s">
        <v>25</v>
      </c>
      <c r="D644" s="3" t="s">
        <v>145</v>
      </c>
      <c r="E644" s="3" t="s">
        <v>27</v>
      </c>
      <c r="F644" s="2" t="s">
        <v>54</v>
      </c>
      <c r="G644" s="4">
        <v>662175</v>
      </c>
      <c r="H644" s="4">
        <v>89286</v>
      </c>
      <c r="I644" s="4">
        <v>78411</v>
      </c>
      <c r="J644" s="4">
        <v>6571</v>
      </c>
      <c r="K644" s="4">
        <v>551</v>
      </c>
      <c r="L644" s="4">
        <v>479</v>
      </c>
      <c r="M644" s="4">
        <v>1046</v>
      </c>
      <c r="N644" s="4">
        <v>639</v>
      </c>
      <c r="O644" s="5">
        <f t="shared" si="10"/>
        <v>0.11027789468314395</v>
      </c>
      <c r="P644" s="2" t="s">
        <v>22</v>
      </c>
    </row>
    <row r="645" spans="1:16" x14ac:dyDescent="0.25">
      <c r="A645" s="6" t="s">
        <v>1359</v>
      </c>
      <c r="B645" s="6" t="s">
        <v>1360</v>
      </c>
      <c r="C645" s="6" t="s">
        <v>32</v>
      </c>
      <c r="D645" s="7" t="s">
        <v>49</v>
      </c>
      <c r="E645" s="7" t="s">
        <v>20</v>
      </c>
      <c r="F645" s="6" t="s">
        <v>35</v>
      </c>
      <c r="G645" s="8">
        <v>527679</v>
      </c>
      <c r="H645" s="8">
        <v>228238</v>
      </c>
      <c r="I645" s="8">
        <v>202618</v>
      </c>
      <c r="J645" s="8">
        <v>15542</v>
      </c>
      <c r="K645" s="8">
        <v>1489</v>
      </c>
      <c r="L645" s="8">
        <v>1574</v>
      </c>
      <c r="M645" s="8">
        <v>4</v>
      </c>
      <c r="N645" s="8">
        <v>5038</v>
      </c>
      <c r="O645" s="9">
        <f t="shared" si="10"/>
        <v>9.1842778035515105E-2</v>
      </c>
      <c r="P645" s="6" t="s">
        <v>22</v>
      </c>
    </row>
    <row r="646" spans="1:16" x14ac:dyDescent="0.25">
      <c r="A646" s="2" t="s">
        <v>1361</v>
      </c>
      <c r="B646" s="2" t="s">
        <v>1362</v>
      </c>
      <c r="C646" s="2" t="s">
        <v>32</v>
      </c>
      <c r="D646" s="3" t="s">
        <v>49</v>
      </c>
      <c r="E646" s="3" t="s">
        <v>34</v>
      </c>
      <c r="F646" s="2" t="s">
        <v>40</v>
      </c>
      <c r="G646" s="4">
        <v>26137</v>
      </c>
      <c r="H646" s="4">
        <v>16104</v>
      </c>
      <c r="I646" s="4">
        <v>12163</v>
      </c>
      <c r="J646" s="4">
        <v>1001</v>
      </c>
      <c r="K646" s="4">
        <v>40</v>
      </c>
      <c r="L646" s="4">
        <v>133</v>
      </c>
      <c r="M646" s="4">
        <v>18</v>
      </c>
      <c r="N646" s="4">
        <v>116</v>
      </c>
      <c r="O646" s="5">
        <f t="shared" si="10"/>
        <v>9.8002137630518793E-2</v>
      </c>
      <c r="P646" s="2" t="s">
        <v>22</v>
      </c>
    </row>
    <row r="647" spans="1:16" x14ac:dyDescent="0.25">
      <c r="A647" s="6" t="s">
        <v>1363</v>
      </c>
      <c r="B647" s="6" t="s">
        <v>1364</v>
      </c>
      <c r="C647" s="6" t="s">
        <v>43</v>
      </c>
      <c r="D647" s="7" t="s">
        <v>110</v>
      </c>
      <c r="E647" s="7" t="s">
        <v>39</v>
      </c>
      <c r="F647" s="6" t="s">
        <v>107</v>
      </c>
      <c r="G647" s="8">
        <v>61899</v>
      </c>
      <c r="H647" s="8">
        <v>36417</v>
      </c>
      <c r="I647" s="8">
        <v>29265</v>
      </c>
      <c r="J647" s="8">
        <v>2732</v>
      </c>
      <c r="K647" s="8">
        <v>189</v>
      </c>
      <c r="L647" s="8">
        <v>65</v>
      </c>
      <c r="M647" s="8">
        <v>21</v>
      </c>
      <c r="N647" s="8">
        <v>642</v>
      </c>
      <c r="O647" s="9">
        <f t="shared" si="10"/>
        <v>0.10275072612335555</v>
      </c>
      <c r="P647" s="6" t="s">
        <v>22</v>
      </c>
    </row>
    <row r="648" spans="1:16" x14ac:dyDescent="0.25">
      <c r="A648" s="2" t="s">
        <v>1365</v>
      </c>
      <c r="B648" s="2" t="s">
        <v>1366</v>
      </c>
      <c r="C648" s="2" t="s">
        <v>43</v>
      </c>
      <c r="D648" s="3" t="s">
        <v>110</v>
      </c>
      <c r="E648" s="3" t="s">
        <v>45</v>
      </c>
      <c r="F648" s="2" t="s">
        <v>70</v>
      </c>
      <c r="G648" s="4">
        <v>249562</v>
      </c>
      <c r="H648" s="4">
        <v>134570</v>
      </c>
      <c r="I648" s="4">
        <v>120971</v>
      </c>
      <c r="J648" s="4">
        <v>8368</v>
      </c>
      <c r="K648" s="4">
        <v>1211</v>
      </c>
      <c r="L648" s="4">
        <v>205</v>
      </c>
      <c r="M648" s="4">
        <v>4</v>
      </c>
      <c r="N648" s="4">
        <v>4507</v>
      </c>
      <c r="O648" s="5">
        <f t="shared" si="10"/>
        <v>8.0911954104702782E-2</v>
      </c>
      <c r="P648" s="2" t="s">
        <v>22</v>
      </c>
    </row>
    <row r="649" spans="1:16" x14ac:dyDescent="0.25">
      <c r="A649" s="6" t="s">
        <v>1367</v>
      </c>
      <c r="B649" s="6" t="s">
        <v>1368</v>
      </c>
      <c r="C649" s="6" t="s">
        <v>32</v>
      </c>
      <c r="D649" s="7" t="s">
        <v>49</v>
      </c>
      <c r="E649" s="7" t="s">
        <v>50</v>
      </c>
      <c r="F649" s="6" t="s">
        <v>128</v>
      </c>
      <c r="G649" s="8">
        <v>111616</v>
      </c>
      <c r="H649" s="8">
        <v>422379</v>
      </c>
      <c r="I649" s="8">
        <v>328212</v>
      </c>
      <c r="J649" s="8">
        <v>20551</v>
      </c>
      <c r="K649" s="8">
        <v>3025</v>
      </c>
      <c r="L649" s="8">
        <v>2752</v>
      </c>
      <c r="M649" s="8">
        <v>14</v>
      </c>
      <c r="N649" s="8">
        <v>2383</v>
      </c>
      <c r="O649" s="9">
        <f t="shared" si="10"/>
        <v>8.0259100825076479E-2</v>
      </c>
      <c r="P649" s="6" t="s">
        <v>22</v>
      </c>
    </row>
    <row r="650" spans="1:16" x14ac:dyDescent="0.25">
      <c r="A650" s="2" t="s">
        <v>1369</v>
      </c>
      <c r="B650" s="2" t="s">
        <v>1370</v>
      </c>
      <c r="C650" s="2" t="s">
        <v>32</v>
      </c>
      <c r="D650" s="3" t="s">
        <v>175</v>
      </c>
      <c r="E650" s="3" t="s">
        <v>27</v>
      </c>
      <c r="F650" s="2" t="s">
        <v>35</v>
      </c>
      <c r="G650" s="4">
        <v>57173</v>
      </c>
      <c r="H650" s="4">
        <v>16867</v>
      </c>
      <c r="I650" s="4">
        <v>13401</v>
      </c>
      <c r="J650" s="4">
        <v>769</v>
      </c>
      <c r="K650" s="4">
        <v>38</v>
      </c>
      <c r="L650" s="4">
        <v>59</v>
      </c>
      <c r="M650" s="4">
        <v>39</v>
      </c>
      <c r="N650" s="4">
        <v>581</v>
      </c>
      <c r="O650" s="5">
        <f t="shared" si="10"/>
        <v>6.7532273710917093E-2</v>
      </c>
      <c r="P650" s="2" t="s">
        <v>22</v>
      </c>
    </row>
    <row r="651" spans="1:16" x14ac:dyDescent="0.25">
      <c r="A651" s="6" t="s">
        <v>1371</v>
      </c>
      <c r="B651" s="6" t="s">
        <v>1372</v>
      </c>
      <c r="C651" s="6" t="s">
        <v>76</v>
      </c>
      <c r="D651" s="7" t="s">
        <v>86</v>
      </c>
      <c r="E651" s="7" t="s">
        <v>20</v>
      </c>
      <c r="F651" s="6" t="s">
        <v>87</v>
      </c>
      <c r="G651" s="8">
        <v>619710</v>
      </c>
      <c r="H651" s="8">
        <v>2081478</v>
      </c>
      <c r="I651" s="8">
        <v>1863825</v>
      </c>
      <c r="J651" s="8">
        <v>140688</v>
      </c>
      <c r="K651" s="8">
        <v>16208</v>
      </c>
      <c r="L651" s="8">
        <v>20937</v>
      </c>
      <c r="M651" s="8">
        <v>7453</v>
      </c>
      <c r="N651" s="8">
        <v>55356</v>
      </c>
      <c r="O651" s="9">
        <f t="shared" si="10"/>
        <v>9.941169369441874E-2</v>
      </c>
      <c r="P651" s="6" t="s">
        <v>29</v>
      </c>
    </row>
    <row r="652" spans="1:16" x14ac:dyDescent="0.25">
      <c r="A652" s="2" t="s">
        <v>1373</v>
      </c>
      <c r="B652" s="2" t="s">
        <v>1374</v>
      </c>
      <c r="C652" s="2" t="s">
        <v>25</v>
      </c>
      <c r="D652" s="3" t="s">
        <v>244</v>
      </c>
      <c r="E652" s="3" t="s">
        <v>34</v>
      </c>
      <c r="F652" s="2" t="s">
        <v>28</v>
      </c>
      <c r="G652" s="4">
        <v>369152</v>
      </c>
      <c r="H652" s="4">
        <v>216892</v>
      </c>
      <c r="I652" s="4">
        <v>158013</v>
      </c>
      <c r="J652" s="4">
        <v>9514</v>
      </c>
      <c r="K652" s="4">
        <v>1223</v>
      </c>
      <c r="L652" s="4">
        <v>1002</v>
      </c>
      <c r="M652" s="4">
        <v>621</v>
      </c>
      <c r="N652" s="4">
        <v>7190</v>
      </c>
      <c r="O652" s="5">
        <f t="shared" si="10"/>
        <v>7.8221412162290449E-2</v>
      </c>
      <c r="P652" s="2" t="s">
        <v>22</v>
      </c>
    </row>
    <row r="653" spans="1:16" x14ac:dyDescent="0.25">
      <c r="A653" s="6" t="s">
        <v>1375</v>
      </c>
      <c r="B653" s="6" t="s">
        <v>1376</v>
      </c>
      <c r="C653" s="6" t="s">
        <v>25</v>
      </c>
      <c r="D653" s="7" t="s">
        <v>26</v>
      </c>
      <c r="E653" s="7" t="s">
        <v>45</v>
      </c>
      <c r="F653" s="6" t="s">
        <v>28</v>
      </c>
      <c r="G653" s="8">
        <v>387257</v>
      </c>
      <c r="H653" s="8">
        <v>95586</v>
      </c>
      <c r="I653" s="8">
        <v>72045</v>
      </c>
      <c r="J653" s="8">
        <v>7033</v>
      </c>
      <c r="K653" s="8">
        <v>547</v>
      </c>
      <c r="L653" s="8">
        <v>635</v>
      </c>
      <c r="M653" s="8">
        <v>498</v>
      </c>
      <c r="N653" s="8">
        <v>1471</v>
      </c>
      <c r="O653" s="9">
        <f t="shared" si="10"/>
        <v>0.12093830244985773</v>
      </c>
      <c r="P653" s="6" t="s">
        <v>22</v>
      </c>
    </row>
    <row r="654" spans="1:16" x14ac:dyDescent="0.25">
      <c r="A654" s="2" t="s">
        <v>1377</v>
      </c>
      <c r="B654" s="2" t="s">
        <v>1378</v>
      </c>
      <c r="C654" s="2" t="s">
        <v>25</v>
      </c>
      <c r="D654" s="3" t="s">
        <v>64</v>
      </c>
      <c r="E654" s="3" t="s">
        <v>27</v>
      </c>
      <c r="F654" s="2" t="s">
        <v>146</v>
      </c>
      <c r="G654" s="4">
        <v>322251</v>
      </c>
      <c r="H654" s="4">
        <v>64494</v>
      </c>
      <c r="I654" s="4">
        <v>55431</v>
      </c>
      <c r="J654" s="4">
        <v>4338</v>
      </c>
      <c r="K654" s="4">
        <v>153</v>
      </c>
      <c r="L654" s="4">
        <v>219</v>
      </c>
      <c r="M654" s="4">
        <v>598</v>
      </c>
      <c r="N654" s="4">
        <v>1801</v>
      </c>
      <c r="O654" s="5">
        <f t="shared" si="10"/>
        <v>9.5758690985188799E-2</v>
      </c>
      <c r="P654" s="2" t="s">
        <v>66</v>
      </c>
    </row>
    <row r="655" spans="1:16" x14ac:dyDescent="0.25">
      <c r="A655" s="6" t="s">
        <v>1379</v>
      </c>
      <c r="B655" s="6" t="s">
        <v>1380</v>
      </c>
      <c r="C655" s="6" t="s">
        <v>18</v>
      </c>
      <c r="D655" s="7" t="s">
        <v>231</v>
      </c>
      <c r="E655" s="7" t="s">
        <v>27</v>
      </c>
      <c r="F655" s="6" t="s">
        <v>58</v>
      </c>
      <c r="G655" s="8">
        <v>317505</v>
      </c>
      <c r="H655" s="8">
        <v>40691</v>
      </c>
      <c r="I655" s="8">
        <v>36133</v>
      </c>
      <c r="J655" s="8">
        <v>1751</v>
      </c>
      <c r="K655" s="8">
        <v>57</v>
      </c>
      <c r="L655" s="8">
        <v>122</v>
      </c>
      <c r="M655" s="8">
        <v>243</v>
      </c>
      <c r="N655" s="8">
        <v>477</v>
      </c>
      <c r="O655" s="9">
        <f t="shared" si="10"/>
        <v>6.0138931170951759E-2</v>
      </c>
      <c r="P655" s="6" t="s">
        <v>22</v>
      </c>
    </row>
    <row r="656" spans="1:16" x14ac:dyDescent="0.25">
      <c r="A656" s="2" t="s">
        <v>1381</v>
      </c>
      <c r="B656" s="2" t="s">
        <v>1382</v>
      </c>
      <c r="C656" s="2" t="s">
        <v>18</v>
      </c>
      <c r="D656" s="3" t="s">
        <v>226</v>
      </c>
      <c r="E656" s="3" t="s">
        <v>27</v>
      </c>
      <c r="F656" s="2" t="s">
        <v>58</v>
      </c>
      <c r="G656" s="4">
        <v>29754</v>
      </c>
      <c r="H656" s="4">
        <v>15176</v>
      </c>
      <c r="I656" s="4">
        <v>13703</v>
      </c>
      <c r="J656" s="4">
        <v>1129</v>
      </c>
      <c r="K656" s="4">
        <v>171</v>
      </c>
      <c r="L656" s="4">
        <v>109</v>
      </c>
      <c r="M656" s="4">
        <v>227</v>
      </c>
      <c r="N656" s="4">
        <v>231</v>
      </c>
      <c r="O656" s="5">
        <f t="shared" si="10"/>
        <v>0.11938991461723709</v>
      </c>
      <c r="P656" s="2" t="s">
        <v>29</v>
      </c>
    </row>
    <row r="657" spans="1:16" x14ac:dyDescent="0.25">
      <c r="A657" s="6" t="s">
        <v>1383</v>
      </c>
      <c r="B657" s="6" t="s">
        <v>1384</v>
      </c>
      <c r="C657" s="6" t="s">
        <v>76</v>
      </c>
      <c r="D657" s="7" t="s">
        <v>77</v>
      </c>
      <c r="E657" s="7" t="s">
        <v>27</v>
      </c>
      <c r="F657" s="6" t="s">
        <v>104</v>
      </c>
      <c r="G657" s="8">
        <v>758834</v>
      </c>
      <c r="H657" s="8">
        <v>185025</v>
      </c>
      <c r="I657" s="8">
        <v>148384</v>
      </c>
      <c r="J657" s="8">
        <v>10057</v>
      </c>
      <c r="K657" s="8">
        <v>1159</v>
      </c>
      <c r="L657" s="8">
        <v>879</v>
      </c>
      <c r="M657" s="8">
        <v>829</v>
      </c>
      <c r="N657" s="8">
        <v>3041</v>
      </c>
      <c r="O657" s="9">
        <f t="shared" si="10"/>
        <v>8.7098339443605774E-2</v>
      </c>
      <c r="P657" s="6" t="s">
        <v>29</v>
      </c>
    </row>
    <row r="658" spans="1:16" x14ac:dyDescent="0.25">
      <c r="A658" s="2" t="s">
        <v>1385</v>
      </c>
      <c r="B658" s="2" t="s">
        <v>1386</v>
      </c>
      <c r="C658" s="2" t="s">
        <v>18</v>
      </c>
      <c r="D658" s="3" t="s">
        <v>231</v>
      </c>
      <c r="E658" s="3" t="s">
        <v>34</v>
      </c>
      <c r="F658" s="2" t="s">
        <v>21</v>
      </c>
      <c r="G658" s="4">
        <v>811307</v>
      </c>
      <c r="H658" s="4">
        <v>220994</v>
      </c>
      <c r="I658" s="4">
        <v>156572</v>
      </c>
      <c r="J658" s="4">
        <v>8056</v>
      </c>
      <c r="K658" s="4">
        <v>566</v>
      </c>
      <c r="L658" s="4">
        <v>423</v>
      </c>
      <c r="M658" s="4">
        <v>1454</v>
      </c>
      <c r="N658" s="4">
        <v>6220</v>
      </c>
      <c r="O658" s="5">
        <f t="shared" si="10"/>
        <v>6.7055412206524792E-2</v>
      </c>
      <c r="P658" s="2" t="s">
        <v>22</v>
      </c>
    </row>
    <row r="659" spans="1:16" x14ac:dyDescent="0.25">
      <c r="A659" s="6" t="s">
        <v>1387</v>
      </c>
      <c r="B659" s="6" t="s">
        <v>1388</v>
      </c>
      <c r="C659" s="6" t="s">
        <v>18</v>
      </c>
      <c r="D659" s="7" t="s">
        <v>19</v>
      </c>
      <c r="E659" s="7" t="s">
        <v>39</v>
      </c>
      <c r="F659" s="6" t="s">
        <v>58</v>
      </c>
      <c r="G659" s="8">
        <v>20605</v>
      </c>
      <c r="H659" s="8">
        <v>7126</v>
      </c>
      <c r="I659" s="8">
        <v>5741</v>
      </c>
      <c r="J659" s="8">
        <v>503</v>
      </c>
      <c r="K659" s="8">
        <v>31</v>
      </c>
      <c r="L659" s="8">
        <v>13</v>
      </c>
      <c r="M659" s="8">
        <v>119</v>
      </c>
      <c r="N659" s="8">
        <v>94</v>
      </c>
      <c r="O659" s="9">
        <f t="shared" si="10"/>
        <v>0.11600766417000523</v>
      </c>
      <c r="P659" s="6" t="s">
        <v>29</v>
      </c>
    </row>
    <row r="660" spans="1:16" x14ac:dyDescent="0.25">
      <c r="A660" s="2" t="s">
        <v>1389</v>
      </c>
      <c r="B660" s="2" t="s">
        <v>1390</v>
      </c>
      <c r="C660" s="2" t="s">
        <v>18</v>
      </c>
      <c r="D660" s="3" t="s">
        <v>231</v>
      </c>
      <c r="E660" s="3" t="s">
        <v>50</v>
      </c>
      <c r="F660" s="2" t="s">
        <v>58</v>
      </c>
      <c r="G660" s="4">
        <v>135902</v>
      </c>
      <c r="H660" s="4">
        <v>24389</v>
      </c>
      <c r="I660" s="4">
        <v>20592</v>
      </c>
      <c r="J660" s="4">
        <v>828</v>
      </c>
      <c r="K660" s="4">
        <v>106</v>
      </c>
      <c r="L660" s="4">
        <v>36</v>
      </c>
      <c r="M660" s="4">
        <v>125</v>
      </c>
      <c r="N660" s="4">
        <v>444</v>
      </c>
      <c r="O660" s="5">
        <f t="shared" si="10"/>
        <v>5.3175990675990673E-2</v>
      </c>
      <c r="P660" s="2" t="s">
        <v>22</v>
      </c>
    </row>
    <row r="661" spans="1:16" x14ac:dyDescent="0.25">
      <c r="A661" s="6" t="s">
        <v>1391</v>
      </c>
      <c r="B661" s="6" t="s">
        <v>1392</v>
      </c>
      <c r="C661" s="6" t="s">
        <v>18</v>
      </c>
      <c r="D661" s="7" t="s">
        <v>231</v>
      </c>
      <c r="E661" s="7" t="s">
        <v>34</v>
      </c>
      <c r="F661" s="6" t="s">
        <v>73</v>
      </c>
      <c r="G661" s="8">
        <v>372998</v>
      </c>
      <c r="H661" s="8">
        <v>39350</v>
      </c>
      <c r="I661" s="8">
        <v>30572</v>
      </c>
      <c r="J661" s="8">
        <v>969</v>
      </c>
      <c r="K661" s="8">
        <v>93</v>
      </c>
      <c r="L661" s="8">
        <v>83</v>
      </c>
      <c r="M661" s="8">
        <v>94</v>
      </c>
      <c r="N661" s="8">
        <v>581</v>
      </c>
      <c r="O661" s="9">
        <f t="shared" si="10"/>
        <v>4.0527279863927776E-2</v>
      </c>
      <c r="P661" s="6" t="s">
        <v>22</v>
      </c>
    </row>
    <row r="662" spans="1:16" x14ac:dyDescent="0.25">
      <c r="A662" s="2" t="s">
        <v>1393</v>
      </c>
      <c r="B662" s="2" t="s">
        <v>1394</v>
      </c>
      <c r="C662" s="2" t="s">
        <v>32</v>
      </c>
      <c r="D662" s="3" t="s">
        <v>38</v>
      </c>
      <c r="E662" s="3" t="s">
        <v>20</v>
      </c>
      <c r="F662" s="2" t="s">
        <v>128</v>
      </c>
      <c r="G662" s="4">
        <v>344902</v>
      </c>
      <c r="H662" s="4">
        <v>98422</v>
      </c>
      <c r="I662" s="4">
        <v>88326</v>
      </c>
      <c r="J662" s="4">
        <v>4181</v>
      </c>
      <c r="K662" s="4">
        <v>716</v>
      </c>
      <c r="L662" s="4">
        <v>243</v>
      </c>
      <c r="M662" s="4">
        <v>1</v>
      </c>
      <c r="N662" s="4">
        <v>965</v>
      </c>
      <c r="O662" s="5">
        <f t="shared" si="10"/>
        <v>5.8204832099268619E-2</v>
      </c>
      <c r="P662" s="2" t="s">
        <v>22</v>
      </c>
    </row>
    <row r="663" spans="1:16" x14ac:dyDescent="0.25">
      <c r="A663" s="6" t="s">
        <v>1395</v>
      </c>
      <c r="B663" s="6" t="s">
        <v>1396</v>
      </c>
      <c r="C663" s="6" t="s">
        <v>43</v>
      </c>
      <c r="D663" s="7" t="s">
        <v>44</v>
      </c>
      <c r="E663" s="7" t="s">
        <v>50</v>
      </c>
      <c r="F663" s="6" t="s">
        <v>107</v>
      </c>
      <c r="G663" s="8">
        <v>753037</v>
      </c>
      <c r="H663" s="8">
        <v>278370</v>
      </c>
      <c r="I663" s="8">
        <v>238514</v>
      </c>
      <c r="J663" s="8">
        <v>21266</v>
      </c>
      <c r="K663" s="8">
        <v>1846</v>
      </c>
      <c r="L663" s="8">
        <v>2036</v>
      </c>
      <c r="M663" s="8">
        <v>42</v>
      </c>
      <c r="N663" s="8">
        <v>7456</v>
      </c>
      <c r="O663" s="9">
        <f t="shared" si="10"/>
        <v>0.10561224917614899</v>
      </c>
      <c r="P663" s="6" t="s">
        <v>22</v>
      </c>
    </row>
    <row r="664" spans="1:16" x14ac:dyDescent="0.25">
      <c r="A664" s="2" t="s">
        <v>1397</v>
      </c>
      <c r="B664" s="2" t="s">
        <v>1398</v>
      </c>
      <c r="C664" s="2" t="s">
        <v>25</v>
      </c>
      <c r="D664" s="3" t="s">
        <v>61</v>
      </c>
      <c r="E664" s="3" t="s">
        <v>27</v>
      </c>
      <c r="F664" s="2" t="s">
        <v>65</v>
      </c>
      <c r="G664" s="4">
        <v>567648</v>
      </c>
      <c r="H664" s="4">
        <v>319659</v>
      </c>
      <c r="I664" s="4">
        <v>279895</v>
      </c>
      <c r="J664" s="4">
        <v>18037</v>
      </c>
      <c r="K664" s="4">
        <v>2324</v>
      </c>
      <c r="L664" s="4">
        <v>1580</v>
      </c>
      <c r="M664" s="4">
        <v>2045</v>
      </c>
      <c r="N664" s="4">
        <v>3468</v>
      </c>
      <c r="O664" s="5">
        <f t="shared" si="10"/>
        <v>8.5696421872487896E-2</v>
      </c>
      <c r="P664" s="2" t="s">
        <v>22</v>
      </c>
    </row>
    <row r="665" spans="1:16" x14ac:dyDescent="0.25">
      <c r="A665" s="6" t="s">
        <v>1399</v>
      </c>
      <c r="B665" s="6" t="s">
        <v>1400</v>
      </c>
      <c r="C665" s="6" t="s">
        <v>18</v>
      </c>
      <c r="D665" s="7" t="s">
        <v>19</v>
      </c>
      <c r="E665" s="7" t="s">
        <v>39</v>
      </c>
      <c r="F665" s="6" t="s">
        <v>58</v>
      </c>
      <c r="G665" s="8">
        <v>787032</v>
      </c>
      <c r="H665" s="8">
        <v>373880</v>
      </c>
      <c r="I665" s="8">
        <v>321991</v>
      </c>
      <c r="J665" s="8">
        <v>27223</v>
      </c>
      <c r="K665" s="8">
        <v>2294</v>
      </c>
      <c r="L665" s="8">
        <v>1790</v>
      </c>
      <c r="M665" s="8">
        <v>4114</v>
      </c>
      <c r="N665" s="8">
        <v>12128</v>
      </c>
      <c r="O665" s="9">
        <f t="shared" si="10"/>
        <v>0.11000618029696482</v>
      </c>
      <c r="P665" s="6" t="s">
        <v>29</v>
      </c>
    </row>
    <row r="666" spans="1:16" x14ac:dyDescent="0.25">
      <c r="A666" s="2" t="s">
        <v>1401</v>
      </c>
      <c r="B666" s="2" t="s">
        <v>1402</v>
      </c>
      <c r="C666" s="2" t="s">
        <v>32</v>
      </c>
      <c r="D666" s="3" t="s">
        <v>49</v>
      </c>
      <c r="E666" s="3" t="s">
        <v>27</v>
      </c>
      <c r="F666" s="2" t="s">
        <v>51</v>
      </c>
      <c r="G666" s="4">
        <v>566231</v>
      </c>
      <c r="H666" s="4">
        <v>338765</v>
      </c>
      <c r="I666" s="4">
        <v>280716</v>
      </c>
      <c r="J666" s="4">
        <v>9583</v>
      </c>
      <c r="K666" s="4">
        <v>661</v>
      </c>
      <c r="L666" s="4">
        <v>549</v>
      </c>
      <c r="M666" s="4">
        <v>20</v>
      </c>
      <c r="N666" s="4">
        <v>2892</v>
      </c>
      <c r="O666" s="5">
        <f t="shared" si="10"/>
        <v>3.8519357642599637E-2</v>
      </c>
      <c r="P666" s="2" t="s">
        <v>22</v>
      </c>
    </row>
    <row r="667" spans="1:16" x14ac:dyDescent="0.25">
      <c r="A667" s="6" t="s">
        <v>1403</v>
      </c>
      <c r="B667" s="6" t="s">
        <v>1404</v>
      </c>
      <c r="C667" s="6" t="s">
        <v>25</v>
      </c>
      <c r="D667" s="7" t="s">
        <v>64</v>
      </c>
      <c r="E667" s="7" t="s">
        <v>39</v>
      </c>
      <c r="F667" s="6" t="s">
        <v>54</v>
      </c>
      <c r="G667" s="8">
        <v>177372</v>
      </c>
      <c r="H667" s="8">
        <v>40817</v>
      </c>
      <c r="I667" s="8">
        <v>34959</v>
      </c>
      <c r="J667" s="8">
        <v>1967</v>
      </c>
      <c r="K667" s="8">
        <v>88</v>
      </c>
      <c r="L667" s="8">
        <v>261</v>
      </c>
      <c r="M667" s="8">
        <v>426</v>
      </c>
      <c r="N667" s="8">
        <v>233</v>
      </c>
      <c r="O667" s="9">
        <f t="shared" si="10"/>
        <v>7.8434737835750445E-2</v>
      </c>
      <c r="P667" s="6" t="s">
        <v>22</v>
      </c>
    </row>
    <row r="668" spans="1:16" x14ac:dyDescent="0.25">
      <c r="A668" s="2" t="s">
        <v>1405</v>
      </c>
      <c r="B668" s="2" t="s">
        <v>1406</v>
      </c>
      <c r="C668" s="2" t="s">
        <v>43</v>
      </c>
      <c r="D668" s="3" t="s">
        <v>69</v>
      </c>
      <c r="E668" s="3" t="s">
        <v>39</v>
      </c>
      <c r="F668" s="2" t="s">
        <v>46</v>
      </c>
      <c r="G668" s="4">
        <v>136144</v>
      </c>
      <c r="H668" s="4">
        <v>54111</v>
      </c>
      <c r="I668" s="4">
        <v>41370</v>
      </c>
      <c r="J668" s="4">
        <v>2175</v>
      </c>
      <c r="K668" s="4">
        <v>334</v>
      </c>
      <c r="L668" s="4">
        <v>138</v>
      </c>
      <c r="M668" s="4">
        <v>38</v>
      </c>
      <c r="N668" s="4">
        <v>1271</v>
      </c>
      <c r="O668" s="5">
        <f t="shared" si="10"/>
        <v>6.4902102973168965E-2</v>
      </c>
      <c r="P668" s="2" t="s">
        <v>66</v>
      </c>
    </row>
    <row r="669" spans="1:16" x14ac:dyDescent="0.25">
      <c r="A669" s="6" t="s">
        <v>1407</v>
      </c>
      <c r="B669" s="6" t="s">
        <v>1408</v>
      </c>
      <c r="C669" s="6" t="s">
        <v>18</v>
      </c>
      <c r="D669" s="7" t="s">
        <v>57</v>
      </c>
      <c r="E669" s="7" t="s">
        <v>39</v>
      </c>
      <c r="F669" s="6" t="s">
        <v>73</v>
      </c>
      <c r="G669" s="8">
        <v>474100</v>
      </c>
      <c r="H669" s="8">
        <v>155667</v>
      </c>
      <c r="I669" s="8">
        <v>125306</v>
      </c>
      <c r="J669" s="8">
        <v>4370</v>
      </c>
      <c r="K669" s="8">
        <v>251</v>
      </c>
      <c r="L669" s="8">
        <v>522</v>
      </c>
      <c r="M669" s="8">
        <v>1019</v>
      </c>
      <c r="N669" s="8">
        <v>5152</v>
      </c>
      <c r="O669" s="9">
        <f t="shared" si="10"/>
        <v>4.9175618086923209E-2</v>
      </c>
      <c r="P669" s="6" t="s">
        <v>22</v>
      </c>
    </row>
    <row r="670" spans="1:16" x14ac:dyDescent="0.25">
      <c r="A670" s="2" t="s">
        <v>1409</v>
      </c>
      <c r="B670" s="2" t="s">
        <v>1410</v>
      </c>
      <c r="C670" s="2" t="s">
        <v>18</v>
      </c>
      <c r="D670" s="3" t="s">
        <v>57</v>
      </c>
      <c r="E670" s="3" t="s">
        <v>39</v>
      </c>
      <c r="F670" s="2" t="s">
        <v>58</v>
      </c>
      <c r="G670" s="4">
        <v>462391</v>
      </c>
      <c r="H670" s="4">
        <v>227424</v>
      </c>
      <c r="I670" s="4">
        <v>206466</v>
      </c>
      <c r="J670" s="4">
        <v>5870</v>
      </c>
      <c r="K670" s="4">
        <v>437</v>
      </c>
      <c r="L670" s="4">
        <v>377</v>
      </c>
      <c r="M670" s="4">
        <v>955</v>
      </c>
      <c r="N670" s="4">
        <v>7259</v>
      </c>
      <c r="O670" s="5">
        <f t="shared" si="10"/>
        <v>3.6998827894181123E-2</v>
      </c>
      <c r="P670" s="2" t="s">
        <v>22</v>
      </c>
    </row>
    <row r="671" spans="1:16" x14ac:dyDescent="0.25">
      <c r="A671" s="6" t="s">
        <v>1411</v>
      </c>
      <c r="B671" s="6" t="s">
        <v>1412</v>
      </c>
      <c r="C671" s="6" t="s">
        <v>32</v>
      </c>
      <c r="D671" s="7" t="s">
        <v>38</v>
      </c>
      <c r="E671" s="7" t="s">
        <v>20</v>
      </c>
      <c r="F671" s="6" t="s">
        <v>51</v>
      </c>
      <c r="G671" s="8">
        <v>46471</v>
      </c>
      <c r="H671" s="8">
        <v>23176</v>
      </c>
      <c r="I671" s="8">
        <v>17297</v>
      </c>
      <c r="J671" s="8">
        <v>1185</v>
      </c>
      <c r="K671" s="8">
        <v>137</v>
      </c>
      <c r="L671" s="8">
        <v>118</v>
      </c>
      <c r="M671" s="8">
        <v>6</v>
      </c>
      <c r="N671" s="8">
        <v>357</v>
      </c>
      <c r="O671" s="9">
        <f t="shared" si="10"/>
        <v>8.3598311845984846E-2</v>
      </c>
      <c r="P671" s="6" t="s">
        <v>22</v>
      </c>
    </row>
    <row r="672" spans="1:16" x14ac:dyDescent="0.25">
      <c r="A672" s="2" t="s">
        <v>1413</v>
      </c>
      <c r="B672" s="2" t="s">
        <v>1414</v>
      </c>
      <c r="C672" s="2" t="s">
        <v>25</v>
      </c>
      <c r="D672" s="3" t="s">
        <v>64</v>
      </c>
      <c r="E672" s="3" t="s">
        <v>50</v>
      </c>
      <c r="F672" s="2" t="s">
        <v>28</v>
      </c>
      <c r="G672" s="4">
        <v>638115</v>
      </c>
      <c r="H672" s="4">
        <v>387319</v>
      </c>
      <c r="I672" s="4">
        <v>294865</v>
      </c>
      <c r="J672" s="4">
        <v>9976</v>
      </c>
      <c r="K672" s="4">
        <v>1125</v>
      </c>
      <c r="L672" s="4">
        <v>859</v>
      </c>
      <c r="M672" s="4">
        <v>835</v>
      </c>
      <c r="N672" s="4">
        <v>8889</v>
      </c>
      <c r="O672" s="5">
        <f t="shared" si="10"/>
        <v>4.3392739050073764E-2</v>
      </c>
      <c r="P672" s="2" t="s">
        <v>22</v>
      </c>
    </row>
    <row r="673" spans="1:16" x14ac:dyDescent="0.25">
      <c r="A673" s="6" t="s">
        <v>1415</v>
      </c>
      <c r="B673" s="6" t="s">
        <v>1416</v>
      </c>
      <c r="C673" s="6" t="s">
        <v>25</v>
      </c>
      <c r="D673" s="7" t="s">
        <v>145</v>
      </c>
      <c r="E673" s="7" t="s">
        <v>39</v>
      </c>
      <c r="F673" s="6" t="s">
        <v>54</v>
      </c>
      <c r="G673" s="8">
        <v>389991</v>
      </c>
      <c r="H673" s="8">
        <v>240557</v>
      </c>
      <c r="I673" s="8">
        <v>190961</v>
      </c>
      <c r="J673" s="8">
        <v>11231</v>
      </c>
      <c r="K673" s="8">
        <v>549</v>
      </c>
      <c r="L673" s="8">
        <v>887</v>
      </c>
      <c r="M673" s="8">
        <v>2623</v>
      </c>
      <c r="N673" s="8">
        <v>6371</v>
      </c>
      <c r="O673" s="9">
        <f t="shared" si="10"/>
        <v>8.0068705128272272E-2</v>
      </c>
      <c r="P673" s="6" t="s">
        <v>66</v>
      </c>
    </row>
    <row r="674" spans="1:16" x14ac:dyDescent="0.25">
      <c r="A674" s="2" t="s">
        <v>1417</v>
      </c>
      <c r="B674" s="2" t="s">
        <v>1418</v>
      </c>
      <c r="C674" s="2" t="s">
        <v>32</v>
      </c>
      <c r="D674" s="3" t="s">
        <v>38</v>
      </c>
      <c r="E674" s="3" t="s">
        <v>34</v>
      </c>
      <c r="F674" s="2" t="s">
        <v>51</v>
      </c>
      <c r="G674" s="4">
        <v>294479</v>
      </c>
      <c r="H674" s="4">
        <v>43106</v>
      </c>
      <c r="I674" s="4">
        <v>37795</v>
      </c>
      <c r="J674" s="4">
        <v>2787</v>
      </c>
      <c r="K674" s="4">
        <v>176</v>
      </c>
      <c r="L674" s="4">
        <v>82</v>
      </c>
      <c r="M674" s="4">
        <v>10</v>
      </c>
      <c r="N674" s="4">
        <v>871</v>
      </c>
      <c r="O674" s="5">
        <f t="shared" si="10"/>
        <v>8.0830797724566736E-2</v>
      </c>
      <c r="P674" s="2" t="s">
        <v>22</v>
      </c>
    </row>
    <row r="675" spans="1:16" x14ac:dyDescent="0.25">
      <c r="A675" s="6" t="s">
        <v>1419</v>
      </c>
      <c r="B675" s="6" t="s">
        <v>1420</v>
      </c>
      <c r="C675" s="6" t="s">
        <v>76</v>
      </c>
      <c r="D675" s="7" t="s">
        <v>103</v>
      </c>
      <c r="E675" s="7" t="s">
        <v>34</v>
      </c>
      <c r="F675" s="6" t="s">
        <v>104</v>
      </c>
      <c r="G675" s="8">
        <v>107817</v>
      </c>
      <c r="H675" s="8">
        <v>57433</v>
      </c>
      <c r="I675" s="8">
        <v>42608</v>
      </c>
      <c r="J675" s="8">
        <v>3072</v>
      </c>
      <c r="K675" s="8">
        <v>478</v>
      </c>
      <c r="L675" s="8">
        <v>311</v>
      </c>
      <c r="M675" s="8">
        <v>736</v>
      </c>
      <c r="N675" s="8">
        <v>1367</v>
      </c>
      <c r="O675" s="9">
        <f t="shared" si="10"/>
        <v>0.10789053698835899</v>
      </c>
      <c r="P675" s="6" t="s">
        <v>22</v>
      </c>
    </row>
    <row r="676" spans="1:16" x14ac:dyDescent="0.25">
      <c r="A676" s="2" t="s">
        <v>1421</v>
      </c>
      <c r="B676" s="2" t="s">
        <v>1422</v>
      </c>
      <c r="C676" s="2" t="s">
        <v>25</v>
      </c>
      <c r="D676" s="3" t="s">
        <v>244</v>
      </c>
      <c r="E676" s="3" t="s">
        <v>39</v>
      </c>
      <c r="F676" s="2" t="s">
        <v>146</v>
      </c>
      <c r="G676" s="4">
        <v>510542</v>
      </c>
      <c r="H676" s="4">
        <v>254316</v>
      </c>
      <c r="I676" s="4">
        <v>185394</v>
      </c>
      <c r="J676" s="4">
        <v>14772</v>
      </c>
      <c r="K676" s="4">
        <v>639</v>
      </c>
      <c r="L676" s="4">
        <v>1286</v>
      </c>
      <c r="M676" s="4">
        <v>2875</v>
      </c>
      <c r="N676" s="4">
        <v>2905</v>
      </c>
      <c r="O676" s="5">
        <f t="shared" si="10"/>
        <v>0.10556975953914366</v>
      </c>
      <c r="P676" s="2" t="s">
        <v>22</v>
      </c>
    </row>
    <row r="677" spans="1:16" x14ac:dyDescent="0.25">
      <c r="A677" s="6" t="s">
        <v>1423</v>
      </c>
      <c r="B677" s="6" t="s">
        <v>1424</v>
      </c>
      <c r="C677" s="6" t="s">
        <v>25</v>
      </c>
      <c r="D677" s="7" t="s">
        <v>145</v>
      </c>
      <c r="E677" s="7" t="s">
        <v>39</v>
      </c>
      <c r="F677" s="6" t="s">
        <v>28</v>
      </c>
      <c r="G677" s="8">
        <v>645673</v>
      </c>
      <c r="H677" s="8">
        <v>266548</v>
      </c>
      <c r="I677" s="8">
        <v>207031</v>
      </c>
      <c r="J677" s="8">
        <v>13814</v>
      </c>
      <c r="K677" s="8">
        <v>2391</v>
      </c>
      <c r="L677" s="8">
        <v>1852</v>
      </c>
      <c r="M677" s="8">
        <v>3013</v>
      </c>
      <c r="N677" s="8">
        <v>8329</v>
      </c>
      <c r="O677" s="9">
        <f t="shared" si="10"/>
        <v>0.10177219836642822</v>
      </c>
      <c r="P677" s="6" t="s">
        <v>29</v>
      </c>
    </row>
    <row r="678" spans="1:16" x14ac:dyDescent="0.25">
      <c r="A678" s="2" t="s">
        <v>1425</v>
      </c>
      <c r="B678" s="2" t="s">
        <v>1426</v>
      </c>
      <c r="C678" s="2" t="s">
        <v>18</v>
      </c>
      <c r="D678" s="3" t="s">
        <v>92</v>
      </c>
      <c r="E678" s="3" t="s">
        <v>39</v>
      </c>
      <c r="F678" s="2" t="s">
        <v>58</v>
      </c>
      <c r="G678" s="4">
        <v>103722</v>
      </c>
      <c r="H678" s="4">
        <v>65227</v>
      </c>
      <c r="I678" s="4">
        <v>56621</v>
      </c>
      <c r="J678" s="4">
        <v>2946</v>
      </c>
      <c r="K678" s="4">
        <v>285</v>
      </c>
      <c r="L678" s="4">
        <v>153</v>
      </c>
      <c r="M678" s="4">
        <v>397</v>
      </c>
      <c r="N678" s="4">
        <v>670</v>
      </c>
      <c r="O678" s="5">
        <f t="shared" si="10"/>
        <v>6.6777344094947108E-2</v>
      </c>
      <c r="P678" s="2" t="s">
        <v>66</v>
      </c>
    </row>
    <row r="679" spans="1:16" x14ac:dyDescent="0.25">
      <c r="A679" s="6" t="s">
        <v>1427</v>
      </c>
      <c r="B679" s="6" t="s">
        <v>1428</v>
      </c>
      <c r="C679" s="6" t="s">
        <v>32</v>
      </c>
      <c r="D679" s="7" t="s">
        <v>49</v>
      </c>
      <c r="E679" s="7" t="s">
        <v>39</v>
      </c>
      <c r="F679" s="6" t="s">
        <v>35</v>
      </c>
      <c r="G679" s="8">
        <v>632755</v>
      </c>
      <c r="H679" s="8">
        <v>135327</v>
      </c>
      <c r="I679" s="8">
        <v>102705</v>
      </c>
      <c r="J679" s="8">
        <v>4453</v>
      </c>
      <c r="K679" s="8">
        <v>702</v>
      </c>
      <c r="L679" s="8">
        <v>325</v>
      </c>
      <c r="M679" s="8">
        <v>35</v>
      </c>
      <c r="N679" s="8">
        <v>3809</v>
      </c>
      <c r="O679" s="9">
        <f t="shared" si="10"/>
        <v>5.3697483082615259E-2</v>
      </c>
      <c r="P679" s="6" t="s">
        <v>22</v>
      </c>
    </row>
    <row r="680" spans="1:16" x14ac:dyDescent="0.25">
      <c r="A680" s="2" t="s">
        <v>1429</v>
      </c>
      <c r="B680" s="2" t="s">
        <v>1430</v>
      </c>
      <c r="C680" s="2" t="s">
        <v>32</v>
      </c>
      <c r="D680" s="3" t="s">
        <v>121</v>
      </c>
      <c r="E680" s="3" t="s">
        <v>39</v>
      </c>
      <c r="F680" s="2" t="s">
        <v>40</v>
      </c>
      <c r="G680" s="4">
        <v>59787</v>
      </c>
      <c r="H680" s="4">
        <v>29598</v>
      </c>
      <c r="I680" s="4">
        <v>24861</v>
      </c>
      <c r="J680" s="4">
        <v>672</v>
      </c>
      <c r="K680" s="4">
        <v>65</v>
      </c>
      <c r="L680" s="4">
        <v>32</v>
      </c>
      <c r="M680" s="4">
        <v>10</v>
      </c>
      <c r="N680" s="4">
        <v>623</v>
      </c>
      <c r="O680" s="5">
        <f t="shared" si="10"/>
        <v>3.13342182534894E-2</v>
      </c>
      <c r="P680" s="2" t="s">
        <v>29</v>
      </c>
    </row>
    <row r="681" spans="1:16" x14ac:dyDescent="0.25">
      <c r="A681" s="6" t="s">
        <v>1431</v>
      </c>
      <c r="B681" s="6" t="s">
        <v>1432</v>
      </c>
      <c r="C681" s="6" t="s">
        <v>25</v>
      </c>
      <c r="D681" s="7" t="s">
        <v>61</v>
      </c>
      <c r="E681" s="7" t="s">
        <v>27</v>
      </c>
      <c r="F681" s="6" t="s">
        <v>54</v>
      </c>
      <c r="G681" s="8">
        <v>759811</v>
      </c>
      <c r="H681" s="8">
        <v>2436217</v>
      </c>
      <c r="I681" s="8">
        <v>2083064</v>
      </c>
      <c r="J681" s="8">
        <v>182067</v>
      </c>
      <c r="K681" s="8">
        <v>26404</v>
      </c>
      <c r="L681" s="8">
        <v>16727</v>
      </c>
      <c r="M681" s="8">
        <v>32951</v>
      </c>
      <c r="N681" s="8">
        <v>50087</v>
      </c>
      <c r="O681" s="9">
        <f t="shared" si="10"/>
        <v>0.12392754135254606</v>
      </c>
      <c r="P681" s="6" t="s">
        <v>22</v>
      </c>
    </row>
    <row r="682" spans="1:16" x14ac:dyDescent="0.25">
      <c r="A682" s="2" t="s">
        <v>1433</v>
      </c>
      <c r="B682" s="2" t="s">
        <v>1434</v>
      </c>
      <c r="C682" s="2" t="s">
        <v>32</v>
      </c>
      <c r="D682" s="3" t="s">
        <v>49</v>
      </c>
      <c r="E682" s="3" t="s">
        <v>50</v>
      </c>
      <c r="F682" s="2" t="s">
        <v>51</v>
      </c>
      <c r="G682" s="4">
        <v>394541</v>
      </c>
      <c r="H682" s="4">
        <v>80052</v>
      </c>
      <c r="I682" s="4">
        <v>60416</v>
      </c>
      <c r="J682" s="4">
        <v>1666</v>
      </c>
      <c r="K682" s="4">
        <v>261</v>
      </c>
      <c r="L682" s="4">
        <v>196</v>
      </c>
      <c r="M682" s="4">
        <v>33</v>
      </c>
      <c r="N682" s="4">
        <v>646</v>
      </c>
      <c r="O682" s="5">
        <f t="shared" si="10"/>
        <v>3.5685911016949151E-2</v>
      </c>
      <c r="P682" s="2" t="s">
        <v>22</v>
      </c>
    </row>
    <row r="683" spans="1:16" x14ac:dyDescent="0.25">
      <c r="A683" s="6" t="s">
        <v>1435</v>
      </c>
      <c r="B683" s="6" t="s">
        <v>1436</v>
      </c>
      <c r="C683" s="6" t="s">
        <v>18</v>
      </c>
      <c r="D683" s="7" t="s">
        <v>226</v>
      </c>
      <c r="E683" s="7" t="s">
        <v>20</v>
      </c>
      <c r="F683" s="6" t="s">
        <v>73</v>
      </c>
      <c r="G683" s="8">
        <v>812432</v>
      </c>
      <c r="H683" s="8">
        <v>80636</v>
      </c>
      <c r="I683" s="8">
        <v>58638</v>
      </c>
      <c r="J683" s="8">
        <v>5406</v>
      </c>
      <c r="K683" s="8">
        <v>693</v>
      </c>
      <c r="L683" s="8">
        <v>200</v>
      </c>
      <c r="M683" s="8">
        <v>1070</v>
      </c>
      <c r="N683" s="8">
        <v>1056</v>
      </c>
      <c r="O683" s="9">
        <f t="shared" si="10"/>
        <v>0.12566936116511476</v>
      </c>
      <c r="P683" s="6" t="s">
        <v>22</v>
      </c>
    </row>
    <row r="684" spans="1:16" x14ac:dyDescent="0.25">
      <c r="A684" s="2" t="s">
        <v>1437</v>
      </c>
      <c r="B684" s="2" t="s">
        <v>1438</v>
      </c>
      <c r="C684" s="2" t="s">
        <v>32</v>
      </c>
      <c r="D684" s="3" t="s">
        <v>175</v>
      </c>
      <c r="E684" s="3" t="s">
        <v>34</v>
      </c>
      <c r="F684" s="2" t="s">
        <v>51</v>
      </c>
      <c r="G684" s="4">
        <v>102698</v>
      </c>
      <c r="H684" s="4">
        <v>54614</v>
      </c>
      <c r="I684" s="4">
        <v>48219</v>
      </c>
      <c r="J684" s="4">
        <v>3908</v>
      </c>
      <c r="K684" s="4">
        <v>577</v>
      </c>
      <c r="L684" s="4">
        <v>294</v>
      </c>
      <c r="M684" s="4">
        <v>47</v>
      </c>
      <c r="N684" s="4">
        <v>311</v>
      </c>
      <c r="O684" s="5">
        <f t="shared" si="10"/>
        <v>0.10008502872311745</v>
      </c>
      <c r="P684" s="2" t="s">
        <v>22</v>
      </c>
    </row>
    <row r="685" spans="1:16" x14ac:dyDescent="0.25">
      <c r="A685" s="6" t="s">
        <v>1439</v>
      </c>
      <c r="B685" s="6" t="s">
        <v>1440</v>
      </c>
      <c r="C685" s="6" t="s">
        <v>43</v>
      </c>
      <c r="D685" s="7" t="s">
        <v>69</v>
      </c>
      <c r="E685" s="7" t="s">
        <v>39</v>
      </c>
      <c r="F685" s="6" t="s">
        <v>46</v>
      </c>
      <c r="G685" s="8">
        <v>452899</v>
      </c>
      <c r="H685" s="8">
        <v>285835</v>
      </c>
      <c r="I685" s="8">
        <v>217601</v>
      </c>
      <c r="J685" s="8">
        <v>10594</v>
      </c>
      <c r="K685" s="8">
        <v>1434</v>
      </c>
      <c r="L685" s="8">
        <v>909</v>
      </c>
      <c r="M685" s="8">
        <v>24</v>
      </c>
      <c r="N685" s="8">
        <v>1576</v>
      </c>
      <c r="O685" s="9">
        <f t="shared" si="10"/>
        <v>5.9563145389956849E-2</v>
      </c>
      <c r="P685" s="6" t="s">
        <v>22</v>
      </c>
    </row>
    <row r="686" spans="1:16" x14ac:dyDescent="0.25">
      <c r="A686" s="2" t="s">
        <v>1441</v>
      </c>
      <c r="B686" s="2" t="s">
        <v>1442</v>
      </c>
      <c r="C686" s="2" t="s">
        <v>76</v>
      </c>
      <c r="D686" s="3" t="s">
        <v>182</v>
      </c>
      <c r="E686" s="3" t="s">
        <v>20</v>
      </c>
      <c r="F686" s="2" t="s">
        <v>87</v>
      </c>
      <c r="G686" s="4">
        <v>419150</v>
      </c>
      <c r="H686" s="4">
        <v>140347</v>
      </c>
      <c r="I686" s="4">
        <v>115631</v>
      </c>
      <c r="J686" s="4">
        <v>8219</v>
      </c>
      <c r="K686" s="4">
        <v>656</v>
      </c>
      <c r="L686" s="4">
        <v>1029</v>
      </c>
      <c r="M686" s="4">
        <v>2014</v>
      </c>
      <c r="N686" s="4">
        <v>1103</v>
      </c>
      <c r="O686" s="5">
        <f t="shared" si="10"/>
        <v>0.1030692461364167</v>
      </c>
      <c r="P686" s="2" t="s">
        <v>22</v>
      </c>
    </row>
    <row r="687" spans="1:16" x14ac:dyDescent="0.25">
      <c r="A687" s="6" t="s">
        <v>1443</v>
      </c>
      <c r="B687" s="6" t="s">
        <v>1444</v>
      </c>
      <c r="C687" s="6" t="s">
        <v>76</v>
      </c>
      <c r="D687" s="7" t="s">
        <v>86</v>
      </c>
      <c r="E687" s="7" t="s">
        <v>39</v>
      </c>
      <c r="F687" s="6" t="s">
        <v>104</v>
      </c>
      <c r="G687" s="8">
        <v>551330</v>
      </c>
      <c r="H687" s="8">
        <v>222177</v>
      </c>
      <c r="I687" s="8">
        <v>158404</v>
      </c>
      <c r="J687" s="8">
        <v>11021</v>
      </c>
      <c r="K687" s="8">
        <v>1011</v>
      </c>
      <c r="L687" s="8">
        <v>1281</v>
      </c>
      <c r="M687" s="8">
        <v>2390</v>
      </c>
      <c r="N687" s="8">
        <v>1354</v>
      </c>
      <c r="O687" s="9">
        <f t="shared" si="10"/>
        <v>9.9132597661675204E-2</v>
      </c>
      <c r="P687" s="6" t="s">
        <v>29</v>
      </c>
    </row>
    <row r="688" spans="1:16" x14ac:dyDescent="0.25">
      <c r="A688" s="2" t="s">
        <v>1445</v>
      </c>
      <c r="B688" s="2" t="s">
        <v>1446</v>
      </c>
      <c r="C688" s="2" t="s">
        <v>18</v>
      </c>
      <c r="D688" s="3" t="s">
        <v>19</v>
      </c>
      <c r="E688" s="3" t="s">
        <v>27</v>
      </c>
      <c r="F688" s="2" t="s">
        <v>58</v>
      </c>
      <c r="G688" s="4">
        <v>574591</v>
      </c>
      <c r="H688" s="4">
        <v>360211</v>
      </c>
      <c r="I688" s="4">
        <v>277652</v>
      </c>
      <c r="J688" s="4">
        <v>22524</v>
      </c>
      <c r="K688" s="4">
        <v>2413</v>
      </c>
      <c r="L688" s="4">
        <v>2964</v>
      </c>
      <c r="M688" s="4">
        <v>5598</v>
      </c>
      <c r="N688" s="4">
        <v>2681</v>
      </c>
      <c r="O688" s="5">
        <f t="shared" si="10"/>
        <v>0.12065103078674023</v>
      </c>
      <c r="P688" s="2" t="s">
        <v>22</v>
      </c>
    </row>
    <row r="689" spans="1:16" x14ac:dyDescent="0.25">
      <c r="A689" s="6" t="s">
        <v>1447</v>
      </c>
      <c r="B689" s="6" t="s">
        <v>1448</v>
      </c>
      <c r="C689" s="6" t="s">
        <v>76</v>
      </c>
      <c r="D689" s="7" t="s">
        <v>86</v>
      </c>
      <c r="E689" s="7" t="s">
        <v>27</v>
      </c>
      <c r="F689" s="6" t="s">
        <v>87</v>
      </c>
      <c r="G689" s="8">
        <v>176770</v>
      </c>
      <c r="H689" s="8">
        <v>101776</v>
      </c>
      <c r="I689" s="8">
        <v>72117</v>
      </c>
      <c r="J689" s="8">
        <v>4625</v>
      </c>
      <c r="K689" s="8">
        <v>257</v>
      </c>
      <c r="L689" s="8">
        <v>575</v>
      </c>
      <c r="M689" s="8">
        <v>681</v>
      </c>
      <c r="N689" s="8">
        <v>2795</v>
      </c>
      <c r="O689" s="9">
        <f t="shared" si="10"/>
        <v>8.5111693498065646E-2</v>
      </c>
      <c r="P689" s="6" t="s">
        <v>22</v>
      </c>
    </row>
    <row r="690" spans="1:16" x14ac:dyDescent="0.25">
      <c r="A690" s="2" t="s">
        <v>1449</v>
      </c>
      <c r="B690" s="2" t="s">
        <v>1450</v>
      </c>
      <c r="C690" s="2" t="s">
        <v>32</v>
      </c>
      <c r="D690" s="3" t="s">
        <v>38</v>
      </c>
      <c r="E690" s="3" t="s">
        <v>45</v>
      </c>
      <c r="F690" s="2" t="s">
        <v>40</v>
      </c>
      <c r="G690" s="4">
        <v>550360</v>
      </c>
      <c r="H690" s="4">
        <v>323083</v>
      </c>
      <c r="I690" s="4">
        <v>272374</v>
      </c>
      <c r="J690" s="4">
        <v>9204</v>
      </c>
      <c r="K690" s="4">
        <v>998</v>
      </c>
      <c r="L690" s="4">
        <v>428</v>
      </c>
      <c r="M690" s="4">
        <v>39</v>
      </c>
      <c r="N690" s="4">
        <v>10842</v>
      </c>
      <c r="O690" s="5">
        <f t="shared" si="10"/>
        <v>3.9170405398459472E-2</v>
      </c>
      <c r="P690" s="2" t="s">
        <v>22</v>
      </c>
    </row>
    <row r="691" spans="1:16" x14ac:dyDescent="0.25">
      <c r="A691" s="6" t="s">
        <v>1451</v>
      </c>
      <c r="B691" s="6" t="s">
        <v>1452</v>
      </c>
      <c r="C691" s="6" t="s">
        <v>25</v>
      </c>
      <c r="D691" s="7" t="s">
        <v>244</v>
      </c>
      <c r="E691" s="7" t="s">
        <v>45</v>
      </c>
      <c r="F691" s="6" t="s">
        <v>146</v>
      </c>
      <c r="G691" s="8">
        <v>174716</v>
      </c>
      <c r="H691" s="8">
        <v>96576</v>
      </c>
      <c r="I691" s="8">
        <v>74353</v>
      </c>
      <c r="J691" s="8">
        <v>2970</v>
      </c>
      <c r="K691" s="8">
        <v>298</v>
      </c>
      <c r="L691" s="8">
        <v>442</v>
      </c>
      <c r="M691" s="8">
        <v>151</v>
      </c>
      <c r="N691" s="8">
        <v>2515</v>
      </c>
      <c r="O691" s="9">
        <f t="shared" si="10"/>
        <v>5.1927965246862939E-2</v>
      </c>
      <c r="P691" s="6" t="s">
        <v>22</v>
      </c>
    </row>
    <row r="692" spans="1:16" x14ac:dyDescent="0.25">
      <c r="A692" s="2" t="s">
        <v>1453</v>
      </c>
      <c r="B692" s="2" t="s">
        <v>1454</v>
      </c>
      <c r="C692" s="2" t="s">
        <v>76</v>
      </c>
      <c r="D692" s="3" t="s">
        <v>77</v>
      </c>
      <c r="E692" s="3" t="s">
        <v>27</v>
      </c>
      <c r="F692" s="2" t="s">
        <v>104</v>
      </c>
      <c r="G692" s="4">
        <v>625830</v>
      </c>
      <c r="H692" s="4">
        <v>175081</v>
      </c>
      <c r="I692" s="4">
        <v>156581</v>
      </c>
      <c r="J692" s="4">
        <v>7125</v>
      </c>
      <c r="K692" s="4">
        <v>228</v>
      </c>
      <c r="L692" s="4">
        <v>320</v>
      </c>
      <c r="M692" s="4">
        <v>761</v>
      </c>
      <c r="N692" s="4">
        <v>5663</v>
      </c>
      <c r="O692" s="5">
        <f t="shared" si="10"/>
        <v>5.3863495570982432E-2</v>
      </c>
      <c r="P692" s="2" t="s">
        <v>22</v>
      </c>
    </row>
    <row r="693" spans="1:16" x14ac:dyDescent="0.25">
      <c r="A693" s="6" t="s">
        <v>1455</v>
      </c>
      <c r="B693" s="6" t="s">
        <v>1456</v>
      </c>
      <c r="C693" s="6" t="s">
        <v>32</v>
      </c>
      <c r="D693" s="7" t="s">
        <v>38</v>
      </c>
      <c r="E693" s="7" t="s">
        <v>27</v>
      </c>
      <c r="F693" s="6" t="s">
        <v>51</v>
      </c>
      <c r="G693" s="8">
        <v>83739</v>
      </c>
      <c r="H693" s="8">
        <v>11614</v>
      </c>
      <c r="I693" s="8">
        <v>8845</v>
      </c>
      <c r="J693" s="8">
        <v>415</v>
      </c>
      <c r="K693" s="8">
        <v>18</v>
      </c>
      <c r="L693" s="8">
        <v>51</v>
      </c>
      <c r="M693" s="8">
        <v>37</v>
      </c>
      <c r="N693" s="8">
        <v>282</v>
      </c>
      <c r="O693" s="9">
        <f t="shared" si="10"/>
        <v>5.8903335217637083E-2</v>
      </c>
      <c r="P693" s="6" t="s">
        <v>22</v>
      </c>
    </row>
    <row r="694" spans="1:16" x14ac:dyDescent="0.25">
      <c r="A694" s="2" t="s">
        <v>1457</v>
      </c>
      <c r="B694" s="2" t="s">
        <v>1458</v>
      </c>
      <c r="C694" s="2" t="s">
        <v>43</v>
      </c>
      <c r="D694" s="3" t="s">
        <v>69</v>
      </c>
      <c r="E694" s="3" t="s">
        <v>20</v>
      </c>
      <c r="F694" s="2" t="s">
        <v>70</v>
      </c>
      <c r="G694" s="4">
        <v>5300</v>
      </c>
      <c r="H694" s="4">
        <v>3412</v>
      </c>
      <c r="I694" s="4">
        <v>3086</v>
      </c>
      <c r="J694" s="4">
        <v>194</v>
      </c>
      <c r="K694" s="4">
        <v>9</v>
      </c>
      <c r="L694" s="4">
        <v>15</v>
      </c>
      <c r="M694" s="4">
        <v>0</v>
      </c>
      <c r="N694" s="4">
        <v>50</v>
      </c>
      <c r="O694" s="5">
        <f t="shared" si="10"/>
        <v>7.0641607258587175E-2</v>
      </c>
      <c r="P694" s="2" t="s">
        <v>66</v>
      </c>
    </row>
    <row r="695" spans="1:16" x14ac:dyDescent="0.25">
      <c r="A695" s="6" t="s">
        <v>1459</v>
      </c>
      <c r="B695" s="6" t="s">
        <v>1460</v>
      </c>
      <c r="C695" s="6" t="s">
        <v>32</v>
      </c>
      <c r="D695" s="7" t="s">
        <v>121</v>
      </c>
      <c r="E695" s="7" t="s">
        <v>45</v>
      </c>
      <c r="F695" s="6" t="s">
        <v>35</v>
      </c>
      <c r="G695" s="8">
        <v>345478</v>
      </c>
      <c r="H695" s="8">
        <v>177300</v>
      </c>
      <c r="I695" s="8">
        <v>145959</v>
      </c>
      <c r="J695" s="8">
        <v>7559</v>
      </c>
      <c r="K695" s="8">
        <v>663</v>
      </c>
      <c r="L695" s="8">
        <v>617</v>
      </c>
      <c r="M695" s="8">
        <v>19</v>
      </c>
      <c r="N695" s="8">
        <v>5347</v>
      </c>
      <c r="O695" s="9">
        <f t="shared" si="10"/>
        <v>6.0688275474619587E-2</v>
      </c>
      <c r="P695" s="6" t="s">
        <v>22</v>
      </c>
    </row>
    <row r="696" spans="1:16" x14ac:dyDescent="0.25">
      <c r="A696" s="2" t="s">
        <v>1461</v>
      </c>
      <c r="B696" s="2" t="s">
        <v>1462</v>
      </c>
      <c r="C696" s="2" t="s">
        <v>25</v>
      </c>
      <c r="D696" s="3" t="s">
        <v>244</v>
      </c>
      <c r="E696" s="3" t="s">
        <v>45</v>
      </c>
      <c r="F696" s="2" t="s">
        <v>146</v>
      </c>
      <c r="G696" s="4">
        <v>460982</v>
      </c>
      <c r="H696" s="4">
        <v>165655</v>
      </c>
      <c r="I696" s="4">
        <v>125089</v>
      </c>
      <c r="J696" s="4">
        <v>4508</v>
      </c>
      <c r="K696" s="4">
        <v>743</v>
      </c>
      <c r="L696" s="4">
        <v>472</v>
      </c>
      <c r="M696" s="4">
        <v>385</v>
      </c>
      <c r="N696" s="4">
        <v>5132</v>
      </c>
      <c r="O696" s="5">
        <f t="shared" si="10"/>
        <v>4.8829233585686992E-2</v>
      </c>
      <c r="P696" s="2" t="s">
        <v>29</v>
      </c>
    </row>
    <row r="697" spans="1:16" x14ac:dyDescent="0.25">
      <c r="A697" s="6" t="s">
        <v>1463</v>
      </c>
      <c r="B697" s="6" t="s">
        <v>1464</v>
      </c>
      <c r="C697" s="6" t="s">
        <v>32</v>
      </c>
      <c r="D697" s="7" t="s">
        <v>49</v>
      </c>
      <c r="E697" s="7" t="s">
        <v>27</v>
      </c>
      <c r="F697" s="6" t="s">
        <v>51</v>
      </c>
      <c r="G697" s="8">
        <v>403535</v>
      </c>
      <c r="H697" s="8">
        <v>246931</v>
      </c>
      <c r="I697" s="8">
        <v>183490</v>
      </c>
      <c r="J697" s="8">
        <v>10287</v>
      </c>
      <c r="K697" s="8">
        <v>609</v>
      </c>
      <c r="L697" s="8">
        <v>989</v>
      </c>
      <c r="M697" s="8">
        <v>21</v>
      </c>
      <c r="N697" s="8">
        <v>1931</v>
      </c>
      <c r="O697" s="9">
        <f t="shared" si="10"/>
        <v>6.4886369829418492E-2</v>
      </c>
      <c r="P697" s="6" t="s">
        <v>22</v>
      </c>
    </row>
    <row r="698" spans="1:16" x14ac:dyDescent="0.25">
      <c r="A698" s="2" t="s">
        <v>1465</v>
      </c>
      <c r="B698" s="2" t="s">
        <v>1466</v>
      </c>
      <c r="C698" s="2" t="s">
        <v>43</v>
      </c>
      <c r="D698" s="3" t="s">
        <v>110</v>
      </c>
      <c r="E698" s="3" t="s">
        <v>34</v>
      </c>
      <c r="F698" s="2" t="s">
        <v>107</v>
      </c>
      <c r="G698" s="4">
        <v>290807</v>
      </c>
      <c r="H698" s="4">
        <v>89285</v>
      </c>
      <c r="I698" s="4">
        <v>76333</v>
      </c>
      <c r="J698" s="4">
        <v>3254</v>
      </c>
      <c r="K698" s="4">
        <v>125</v>
      </c>
      <c r="L698" s="4">
        <v>307</v>
      </c>
      <c r="M698" s="4">
        <v>1</v>
      </c>
      <c r="N698" s="4">
        <v>2758</v>
      </c>
      <c r="O698" s="5">
        <f t="shared" si="10"/>
        <v>4.8301520967340472E-2</v>
      </c>
      <c r="P698" s="2" t="s">
        <v>66</v>
      </c>
    </row>
    <row r="699" spans="1:16" x14ac:dyDescent="0.25">
      <c r="A699" s="6" t="s">
        <v>1467</v>
      </c>
      <c r="B699" s="6" t="s">
        <v>1468</v>
      </c>
      <c r="C699" s="6" t="s">
        <v>25</v>
      </c>
      <c r="D699" s="7" t="s">
        <v>26</v>
      </c>
      <c r="E699" s="7" t="s">
        <v>45</v>
      </c>
      <c r="F699" s="6" t="s">
        <v>54</v>
      </c>
      <c r="G699" s="8">
        <v>42548</v>
      </c>
      <c r="H699" s="8">
        <v>18268</v>
      </c>
      <c r="I699" s="8">
        <v>13403</v>
      </c>
      <c r="J699" s="8">
        <v>1172</v>
      </c>
      <c r="K699" s="8">
        <v>188</v>
      </c>
      <c r="L699" s="8">
        <v>43</v>
      </c>
      <c r="M699" s="8">
        <v>156</v>
      </c>
      <c r="N699" s="8">
        <v>554</v>
      </c>
      <c r="O699" s="9">
        <f t="shared" si="10"/>
        <v>0.11631724240841602</v>
      </c>
      <c r="P699" s="6" t="s">
        <v>22</v>
      </c>
    </row>
    <row r="700" spans="1:16" x14ac:dyDescent="0.25">
      <c r="A700" s="2" t="s">
        <v>1469</v>
      </c>
      <c r="B700" s="2" t="s">
        <v>1470</v>
      </c>
      <c r="C700" s="2" t="s">
        <v>76</v>
      </c>
      <c r="D700" s="3" t="s">
        <v>189</v>
      </c>
      <c r="E700" s="3" t="s">
        <v>50</v>
      </c>
      <c r="F700" s="2" t="s">
        <v>155</v>
      </c>
      <c r="G700" s="4">
        <v>689427</v>
      </c>
      <c r="H700" s="4">
        <v>61706</v>
      </c>
      <c r="I700" s="4">
        <v>54709</v>
      </c>
      <c r="J700" s="4">
        <v>2405</v>
      </c>
      <c r="K700" s="4">
        <v>328</v>
      </c>
      <c r="L700" s="4">
        <v>331</v>
      </c>
      <c r="M700" s="4">
        <v>402</v>
      </c>
      <c r="N700" s="4">
        <v>2056</v>
      </c>
      <c r="O700" s="5">
        <f t="shared" si="10"/>
        <v>6.3353378785940162E-2</v>
      </c>
      <c r="P700" s="2" t="s">
        <v>22</v>
      </c>
    </row>
    <row r="701" spans="1:16" x14ac:dyDescent="0.25">
      <c r="A701" s="6" t="s">
        <v>1471</v>
      </c>
      <c r="B701" s="6" t="s">
        <v>1472</v>
      </c>
      <c r="C701" s="6" t="s">
        <v>76</v>
      </c>
      <c r="D701" s="7" t="s">
        <v>77</v>
      </c>
      <c r="E701" s="7" t="s">
        <v>20</v>
      </c>
      <c r="F701" s="6" t="s">
        <v>155</v>
      </c>
      <c r="G701" s="8">
        <v>766866</v>
      </c>
      <c r="H701" s="8">
        <v>136788</v>
      </c>
      <c r="I701" s="8">
        <v>104043</v>
      </c>
      <c r="J701" s="8">
        <v>4366</v>
      </c>
      <c r="K701" s="8">
        <v>462</v>
      </c>
      <c r="L701" s="8">
        <v>185</v>
      </c>
      <c r="M701" s="8">
        <v>870</v>
      </c>
      <c r="N701" s="8">
        <v>4122</v>
      </c>
      <c r="O701" s="9">
        <f t="shared" si="10"/>
        <v>5.6543928952452353E-2</v>
      </c>
      <c r="P701" s="6" t="s">
        <v>22</v>
      </c>
    </row>
    <row r="702" spans="1:16" x14ac:dyDescent="0.25">
      <c r="A702" s="2" t="s">
        <v>1473</v>
      </c>
      <c r="B702" s="2" t="s">
        <v>1474</v>
      </c>
      <c r="C702" s="2" t="s">
        <v>18</v>
      </c>
      <c r="D702" s="3" t="s">
        <v>57</v>
      </c>
      <c r="E702" s="3" t="s">
        <v>27</v>
      </c>
      <c r="F702" s="2" t="s">
        <v>73</v>
      </c>
      <c r="G702" s="4">
        <v>92777</v>
      </c>
      <c r="H702" s="4">
        <v>31907</v>
      </c>
      <c r="I702" s="4">
        <v>28778</v>
      </c>
      <c r="J702" s="4">
        <v>987</v>
      </c>
      <c r="K702" s="4">
        <v>42</v>
      </c>
      <c r="L702" s="4">
        <v>60</v>
      </c>
      <c r="M702" s="4">
        <v>173</v>
      </c>
      <c r="N702" s="4">
        <v>178</v>
      </c>
      <c r="O702" s="5">
        <f t="shared" si="10"/>
        <v>4.3852943220515674E-2</v>
      </c>
      <c r="P702" s="2" t="s">
        <v>22</v>
      </c>
    </row>
    <row r="703" spans="1:16" x14ac:dyDescent="0.25">
      <c r="A703" s="6" t="s">
        <v>1475</v>
      </c>
      <c r="B703" s="6" t="s">
        <v>1476</v>
      </c>
      <c r="C703" s="6" t="s">
        <v>32</v>
      </c>
      <c r="D703" s="7" t="s">
        <v>175</v>
      </c>
      <c r="E703" s="7" t="s">
        <v>45</v>
      </c>
      <c r="F703" s="6" t="s">
        <v>51</v>
      </c>
      <c r="G703" s="8">
        <v>325233</v>
      </c>
      <c r="H703" s="8">
        <v>145093</v>
      </c>
      <c r="I703" s="8">
        <v>125422</v>
      </c>
      <c r="J703" s="8">
        <v>9327</v>
      </c>
      <c r="K703" s="8">
        <v>714</v>
      </c>
      <c r="L703" s="8">
        <v>646</v>
      </c>
      <c r="M703" s="8">
        <v>18</v>
      </c>
      <c r="N703" s="8">
        <v>1500</v>
      </c>
      <c r="O703" s="9">
        <f t="shared" si="10"/>
        <v>8.5351852147151214E-2</v>
      </c>
      <c r="P703" s="6" t="s">
        <v>22</v>
      </c>
    </row>
    <row r="704" spans="1:16" x14ac:dyDescent="0.25">
      <c r="A704" s="2" t="s">
        <v>1477</v>
      </c>
      <c r="B704" s="2" t="s">
        <v>1478</v>
      </c>
      <c r="C704" s="2" t="s">
        <v>25</v>
      </c>
      <c r="D704" s="3" t="s">
        <v>244</v>
      </c>
      <c r="E704" s="3" t="s">
        <v>20</v>
      </c>
      <c r="F704" s="2" t="s">
        <v>146</v>
      </c>
      <c r="G704" s="4">
        <v>311758</v>
      </c>
      <c r="H704" s="4">
        <v>103058</v>
      </c>
      <c r="I704" s="4">
        <v>83247</v>
      </c>
      <c r="J704" s="4">
        <v>5639</v>
      </c>
      <c r="K704" s="4">
        <v>464</v>
      </c>
      <c r="L704" s="4">
        <v>583</v>
      </c>
      <c r="M704" s="4">
        <v>789</v>
      </c>
      <c r="N704" s="4">
        <v>2466</v>
      </c>
      <c r="O704" s="5">
        <f t="shared" si="10"/>
        <v>8.9793025574495172E-2</v>
      </c>
      <c r="P704" s="2" t="s">
        <v>29</v>
      </c>
    </row>
    <row r="705" spans="1:16" x14ac:dyDescent="0.25">
      <c r="A705" s="6" t="s">
        <v>1479</v>
      </c>
      <c r="B705" s="6" t="s">
        <v>1480</v>
      </c>
      <c r="C705" s="6" t="s">
        <v>43</v>
      </c>
      <c r="D705" s="7" t="s">
        <v>172</v>
      </c>
      <c r="E705" s="7" t="s">
        <v>20</v>
      </c>
      <c r="F705" s="6" t="s">
        <v>107</v>
      </c>
      <c r="G705" s="8">
        <v>457428</v>
      </c>
      <c r="H705" s="8">
        <v>248025</v>
      </c>
      <c r="I705" s="8">
        <v>189369</v>
      </c>
      <c r="J705" s="8">
        <v>10052</v>
      </c>
      <c r="K705" s="8">
        <v>1761</v>
      </c>
      <c r="L705" s="8">
        <v>921</v>
      </c>
      <c r="M705" s="8">
        <v>47</v>
      </c>
      <c r="N705" s="8">
        <v>7150</v>
      </c>
      <c r="O705" s="9">
        <f t="shared" si="10"/>
        <v>6.749256742127803E-2</v>
      </c>
      <c r="P705" s="6" t="s">
        <v>22</v>
      </c>
    </row>
    <row r="706" spans="1:16" x14ac:dyDescent="0.25">
      <c r="A706" s="2" t="s">
        <v>1481</v>
      </c>
      <c r="B706" s="2" t="s">
        <v>1482</v>
      </c>
      <c r="C706" s="2" t="s">
        <v>32</v>
      </c>
      <c r="D706" s="3" t="s">
        <v>38</v>
      </c>
      <c r="E706" s="3" t="s">
        <v>34</v>
      </c>
      <c r="F706" s="2" t="s">
        <v>128</v>
      </c>
      <c r="G706" s="4">
        <v>544645</v>
      </c>
      <c r="H706" s="4">
        <v>101446</v>
      </c>
      <c r="I706" s="4">
        <v>81440</v>
      </c>
      <c r="J706" s="4">
        <v>3994</v>
      </c>
      <c r="K706" s="4">
        <v>457</v>
      </c>
      <c r="L706" s="4">
        <v>421</v>
      </c>
      <c r="M706" s="4">
        <v>2</v>
      </c>
      <c r="N706" s="4">
        <v>1488</v>
      </c>
      <c r="O706" s="5">
        <f t="shared" ref="O706:O769" si="11">IF(I706&gt;0, (J706+K706+L706+M706)/I706, 0)</f>
        <v>5.9847740667976428E-2</v>
      </c>
      <c r="P706" s="2" t="s">
        <v>22</v>
      </c>
    </row>
    <row r="707" spans="1:16" x14ac:dyDescent="0.25">
      <c r="A707" s="6" t="s">
        <v>1483</v>
      </c>
      <c r="B707" s="6" t="s">
        <v>1484</v>
      </c>
      <c r="C707" s="6" t="s">
        <v>32</v>
      </c>
      <c r="D707" s="7" t="s">
        <v>38</v>
      </c>
      <c r="E707" s="7" t="s">
        <v>50</v>
      </c>
      <c r="F707" s="6" t="s">
        <v>128</v>
      </c>
      <c r="G707" s="8">
        <v>198700</v>
      </c>
      <c r="H707" s="8">
        <v>50584</v>
      </c>
      <c r="I707" s="8">
        <v>41493</v>
      </c>
      <c r="J707" s="8">
        <v>3294</v>
      </c>
      <c r="K707" s="8">
        <v>315</v>
      </c>
      <c r="L707" s="8">
        <v>329</v>
      </c>
      <c r="M707" s="8">
        <v>37</v>
      </c>
      <c r="N707" s="8">
        <v>1126</v>
      </c>
      <c r="O707" s="9">
        <f t="shared" si="11"/>
        <v>9.5799291446750048E-2</v>
      </c>
      <c r="P707" s="6" t="s">
        <v>22</v>
      </c>
    </row>
    <row r="708" spans="1:16" x14ac:dyDescent="0.25">
      <c r="A708" s="2" t="s">
        <v>1485</v>
      </c>
      <c r="B708" s="2" t="s">
        <v>1486</v>
      </c>
      <c r="C708" s="2" t="s">
        <v>18</v>
      </c>
      <c r="D708" s="3" t="s">
        <v>231</v>
      </c>
      <c r="E708" s="3" t="s">
        <v>27</v>
      </c>
      <c r="F708" s="2" t="s">
        <v>58</v>
      </c>
      <c r="G708" s="4">
        <v>508498</v>
      </c>
      <c r="H708" s="4">
        <v>127683</v>
      </c>
      <c r="I708" s="4">
        <v>110815</v>
      </c>
      <c r="J708" s="4">
        <v>9455</v>
      </c>
      <c r="K708" s="4">
        <v>1002</v>
      </c>
      <c r="L708" s="4">
        <v>706</v>
      </c>
      <c r="M708" s="4">
        <v>1936</v>
      </c>
      <c r="N708" s="4">
        <v>4292</v>
      </c>
      <c r="O708" s="5">
        <f t="shared" si="11"/>
        <v>0.11820601904074358</v>
      </c>
      <c r="P708" s="2" t="s">
        <v>22</v>
      </c>
    </row>
    <row r="709" spans="1:16" x14ac:dyDescent="0.25">
      <c r="A709" s="6" t="s">
        <v>1487</v>
      </c>
      <c r="B709" s="6" t="s">
        <v>1488</v>
      </c>
      <c r="C709" s="6" t="s">
        <v>18</v>
      </c>
      <c r="D709" s="7" t="s">
        <v>92</v>
      </c>
      <c r="E709" s="7" t="s">
        <v>45</v>
      </c>
      <c r="F709" s="6" t="s">
        <v>73</v>
      </c>
      <c r="G709" s="8">
        <v>210602</v>
      </c>
      <c r="H709" s="8">
        <v>85031</v>
      </c>
      <c r="I709" s="8">
        <v>61951</v>
      </c>
      <c r="J709" s="8">
        <v>3400</v>
      </c>
      <c r="K709" s="8">
        <v>591</v>
      </c>
      <c r="L709" s="8">
        <v>496</v>
      </c>
      <c r="M709" s="8">
        <v>380</v>
      </c>
      <c r="N709" s="8">
        <v>2378</v>
      </c>
      <c r="O709" s="9">
        <f t="shared" si="11"/>
        <v>7.8562089393230131E-2</v>
      </c>
      <c r="P709" s="6" t="s">
        <v>29</v>
      </c>
    </row>
    <row r="710" spans="1:16" x14ac:dyDescent="0.25">
      <c r="A710" s="2" t="s">
        <v>1489</v>
      </c>
      <c r="B710" s="2" t="s">
        <v>1490</v>
      </c>
      <c r="C710" s="2" t="s">
        <v>76</v>
      </c>
      <c r="D710" s="3" t="s">
        <v>86</v>
      </c>
      <c r="E710" s="3" t="s">
        <v>20</v>
      </c>
      <c r="F710" s="2" t="s">
        <v>155</v>
      </c>
      <c r="G710" s="4">
        <v>318417</v>
      </c>
      <c r="H710" s="4">
        <v>58976</v>
      </c>
      <c r="I710" s="4">
        <v>46947</v>
      </c>
      <c r="J710" s="4">
        <v>3741</v>
      </c>
      <c r="K710" s="4">
        <v>198</v>
      </c>
      <c r="L710" s="4">
        <v>344</v>
      </c>
      <c r="M710" s="4">
        <v>767</v>
      </c>
      <c r="N710" s="4">
        <v>303</v>
      </c>
      <c r="O710" s="5">
        <f t="shared" si="11"/>
        <v>0.10756810871834196</v>
      </c>
      <c r="P710" s="2" t="s">
        <v>22</v>
      </c>
    </row>
    <row r="711" spans="1:16" x14ac:dyDescent="0.25">
      <c r="A711" s="6" t="s">
        <v>1491</v>
      </c>
      <c r="B711" s="6" t="s">
        <v>1492</v>
      </c>
      <c r="C711" s="6" t="s">
        <v>32</v>
      </c>
      <c r="D711" s="7" t="s">
        <v>49</v>
      </c>
      <c r="E711" s="7" t="s">
        <v>39</v>
      </c>
      <c r="F711" s="6" t="s">
        <v>35</v>
      </c>
      <c r="G711" s="8">
        <v>488498</v>
      </c>
      <c r="H711" s="8">
        <v>251548</v>
      </c>
      <c r="I711" s="8">
        <v>197532</v>
      </c>
      <c r="J711" s="8">
        <v>9835</v>
      </c>
      <c r="K711" s="8">
        <v>1674</v>
      </c>
      <c r="L711" s="8">
        <v>707</v>
      </c>
      <c r="M711" s="8">
        <v>20</v>
      </c>
      <c r="N711" s="8">
        <v>8034</v>
      </c>
      <c r="O711" s="9">
        <f t="shared" si="11"/>
        <v>6.1944393819735537E-2</v>
      </c>
      <c r="P711" s="6" t="s">
        <v>29</v>
      </c>
    </row>
    <row r="712" spans="1:16" x14ac:dyDescent="0.25">
      <c r="A712" s="2" t="s">
        <v>1493</v>
      </c>
      <c r="B712" s="2" t="s">
        <v>1494</v>
      </c>
      <c r="C712" s="2" t="s">
        <v>43</v>
      </c>
      <c r="D712" s="3" t="s">
        <v>81</v>
      </c>
      <c r="E712" s="3" t="s">
        <v>50</v>
      </c>
      <c r="F712" s="2" t="s">
        <v>46</v>
      </c>
      <c r="G712" s="4">
        <v>704916</v>
      </c>
      <c r="H712" s="4">
        <v>292021</v>
      </c>
      <c r="I712" s="4">
        <v>261308</v>
      </c>
      <c r="J712" s="4">
        <v>8962</v>
      </c>
      <c r="K712" s="4">
        <v>584</v>
      </c>
      <c r="L712" s="4">
        <v>601</v>
      </c>
      <c r="M712" s="4">
        <v>32</v>
      </c>
      <c r="N712" s="4">
        <v>8672</v>
      </c>
      <c r="O712" s="5">
        <f t="shared" si="11"/>
        <v>3.8954031258132168E-2</v>
      </c>
      <c r="P712" s="2" t="s">
        <v>29</v>
      </c>
    </row>
    <row r="713" spans="1:16" x14ac:dyDescent="0.25">
      <c r="A713" s="6" t="s">
        <v>1495</v>
      </c>
      <c r="B713" s="6" t="s">
        <v>1496</v>
      </c>
      <c r="C713" s="6" t="s">
        <v>25</v>
      </c>
      <c r="D713" s="7" t="s">
        <v>64</v>
      </c>
      <c r="E713" s="7" t="s">
        <v>39</v>
      </c>
      <c r="F713" s="6" t="s">
        <v>146</v>
      </c>
      <c r="G713" s="8">
        <v>48897</v>
      </c>
      <c r="H713" s="8">
        <v>16046</v>
      </c>
      <c r="I713" s="8">
        <v>12588</v>
      </c>
      <c r="J713" s="8">
        <v>494</v>
      </c>
      <c r="K713" s="8">
        <v>25</v>
      </c>
      <c r="L713" s="8">
        <v>29</v>
      </c>
      <c r="M713" s="8">
        <v>91</v>
      </c>
      <c r="N713" s="8">
        <v>311</v>
      </c>
      <c r="O713" s="9">
        <f t="shared" si="11"/>
        <v>5.0762631077216396E-2</v>
      </c>
      <c r="P713" s="6" t="s">
        <v>22</v>
      </c>
    </row>
    <row r="714" spans="1:16" x14ac:dyDescent="0.25">
      <c r="A714" s="2" t="s">
        <v>1497</v>
      </c>
      <c r="B714" s="2" t="s">
        <v>1498</v>
      </c>
      <c r="C714" s="2" t="s">
        <v>43</v>
      </c>
      <c r="D714" s="3" t="s">
        <v>81</v>
      </c>
      <c r="E714" s="3" t="s">
        <v>39</v>
      </c>
      <c r="F714" s="2" t="s">
        <v>70</v>
      </c>
      <c r="G714" s="4">
        <v>365608</v>
      </c>
      <c r="H714" s="4">
        <v>50381</v>
      </c>
      <c r="I714" s="4">
        <v>44173</v>
      </c>
      <c r="J714" s="4">
        <v>1044</v>
      </c>
      <c r="K714" s="4">
        <v>81</v>
      </c>
      <c r="L714" s="4">
        <v>98</v>
      </c>
      <c r="M714" s="4">
        <v>24</v>
      </c>
      <c r="N714" s="4">
        <v>1289</v>
      </c>
      <c r="O714" s="5">
        <f t="shared" si="11"/>
        <v>2.82299142009825E-2</v>
      </c>
      <c r="P714" s="2" t="s">
        <v>22</v>
      </c>
    </row>
    <row r="715" spans="1:16" x14ac:dyDescent="0.25">
      <c r="A715" s="6" t="s">
        <v>1499</v>
      </c>
      <c r="B715" s="6" t="s">
        <v>1500</v>
      </c>
      <c r="C715" s="6" t="s">
        <v>76</v>
      </c>
      <c r="D715" s="7" t="s">
        <v>103</v>
      </c>
      <c r="E715" s="7" t="s">
        <v>39</v>
      </c>
      <c r="F715" s="6" t="s">
        <v>78</v>
      </c>
      <c r="G715" s="8">
        <v>780611</v>
      </c>
      <c r="H715" s="8">
        <v>331035</v>
      </c>
      <c r="I715" s="8">
        <v>297867</v>
      </c>
      <c r="J715" s="8">
        <v>16592</v>
      </c>
      <c r="K715" s="8">
        <v>2441</v>
      </c>
      <c r="L715" s="8">
        <v>1867</v>
      </c>
      <c r="M715" s="8">
        <v>3630</v>
      </c>
      <c r="N715" s="8">
        <v>11305</v>
      </c>
      <c r="O715" s="9">
        <f t="shared" si="11"/>
        <v>8.2352190742848316E-2</v>
      </c>
      <c r="P715" s="6" t="s">
        <v>22</v>
      </c>
    </row>
    <row r="716" spans="1:16" x14ac:dyDescent="0.25">
      <c r="A716" s="2" t="s">
        <v>1501</v>
      </c>
      <c r="B716" s="2" t="s">
        <v>1502</v>
      </c>
      <c r="C716" s="2" t="s">
        <v>32</v>
      </c>
      <c r="D716" s="3" t="s">
        <v>175</v>
      </c>
      <c r="E716" s="3" t="s">
        <v>20</v>
      </c>
      <c r="F716" s="2" t="s">
        <v>128</v>
      </c>
      <c r="G716" s="4">
        <v>355991</v>
      </c>
      <c r="H716" s="4">
        <v>172054</v>
      </c>
      <c r="I716" s="4">
        <v>127917</v>
      </c>
      <c r="J716" s="4">
        <v>11832</v>
      </c>
      <c r="K716" s="4">
        <v>1646</v>
      </c>
      <c r="L716" s="4">
        <v>936</v>
      </c>
      <c r="M716" s="4">
        <v>3</v>
      </c>
      <c r="N716" s="4">
        <v>3259</v>
      </c>
      <c r="O716" s="5">
        <f t="shared" si="11"/>
        <v>0.11270589522893751</v>
      </c>
      <c r="P716" s="2" t="s">
        <v>22</v>
      </c>
    </row>
    <row r="717" spans="1:16" x14ac:dyDescent="0.25">
      <c r="A717" s="6" t="s">
        <v>1503</v>
      </c>
      <c r="B717" s="6" t="s">
        <v>1504</v>
      </c>
      <c r="C717" s="6" t="s">
        <v>76</v>
      </c>
      <c r="D717" s="7" t="s">
        <v>189</v>
      </c>
      <c r="E717" s="7" t="s">
        <v>45</v>
      </c>
      <c r="F717" s="6" t="s">
        <v>78</v>
      </c>
      <c r="G717" s="8">
        <v>267083</v>
      </c>
      <c r="H717" s="8">
        <v>124126</v>
      </c>
      <c r="I717" s="8">
        <v>109257</v>
      </c>
      <c r="J717" s="8">
        <v>6524</v>
      </c>
      <c r="K717" s="8">
        <v>370</v>
      </c>
      <c r="L717" s="8">
        <v>433</v>
      </c>
      <c r="M717" s="8">
        <v>349</v>
      </c>
      <c r="N717" s="8">
        <v>1829</v>
      </c>
      <c r="O717" s="9">
        <f t="shared" si="11"/>
        <v>7.0256368013033491E-2</v>
      </c>
      <c r="P717" s="6" t="s">
        <v>29</v>
      </c>
    </row>
    <row r="718" spans="1:16" x14ac:dyDescent="0.25">
      <c r="A718" s="2" t="s">
        <v>1505</v>
      </c>
      <c r="B718" s="2" t="s">
        <v>1506</v>
      </c>
      <c r="C718" s="2" t="s">
        <v>76</v>
      </c>
      <c r="D718" s="3" t="s">
        <v>189</v>
      </c>
      <c r="E718" s="3" t="s">
        <v>45</v>
      </c>
      <c r="F718" s="2" t="s">
        <v>104</v>
      </c>
      <c r="G718" s="4">
        <v>263204</v>
      </c>
      <c r="H718" s="4">
        <v>101318</v>
      </c>
      <c r="I718" s="4">
        <v>87122</v>
      </c>
      <c r="J718" s="4">
        <v>5873</v>
      </c>
      <c r="K718" s="4">
        <v>555</v>
      </c>
      <c r="L718" s="4">
        <v>327</v>
      </c>
      <c r="M718" s="4">
        <v>1435</v>
      </c>
      <c r="N718" s="4">
        <v>2600</v>
      </c>
      <c r="O718" s="5">
        <f t="shared" si="11"/>
        <v>9.4006106379559695E-2</v>
      </c>
      <c r="P718" s="2" t="s">
        <v>22</v>
      </c>
    </row>
    <row r="719" spans="1:16" x14ac:dyDescent="0.25">
      <c r="A719" s="6" t="s">
        <v>1507</v>
      </c>
      <c r="B719" s="6" t="s">
        <v>1508</v>
      </c>
      <c r="C719" s="6" t="s">
        <v>43</v>
      </c>
      <c r="D719" s="7" t="s">
        <v>69</v>
      </c>
      <c r="E719" s="7" t="s">
        <v>34</v>
      </c>
      <c r="F719" s="6" t="s">
        <v>70</v>
      </c>
      <c r="G719" s="8">
        <v>344952</v>
      </c>
      <c r="H719" s="8">
        <v>56450</v>
      </c>
      <c r="I719" s="8">
        <v>47436</v>
      </c>
      <c r="J719" s="8">
        <v>4116</v>
      </c>
      <c r="K719" s="8">
        <v>359</v>
      </c>
      <c r="L719" s="8">
        <v>606</v>
      </c>
      <c r="M719" s="8">
        <v>5</v>
      </c>
      <c r="N719" s="8">
        <v>854</v>
      </c>
      <c r="O719" s="9">
        <f t="shared" si="11"/>
        <v>0.1072181465553588</v>
      </c>
      <c r="P719" s="6" t="s">
        <v>29</v>
      </c>
    </row>
    <row r="720" spans="1:16" x14ac:dyDescent="0.25">
      <c r="A720" s="2" t="s">
        <v>1509</v>
      </c>
      <c r="B720" s="2" t="s">
        <v>1510</v>
      </c>
      <c r="C720" s="2" t="s">
        <v>25</v>
      </c>
      <c r="D720" s="3" t="s">
        <v>244</v>
      </c>
      <c r="E720" s="3" t="s">
        <v>45</v>
      </c>
      <c r="F720" s="2" t="s">
        <v>54</v>
      </c>
      <c r="G720" s="4">
        <v>456989</v>
      </c>
      <c r="H720" s="4">
        <v>243290</v>
      </c>
      <c r="I720" s="4">
        <v>184271</v>
      </c>
      <c r="J720" s="4">
        <v>9291</v>
      </c>
      <c r="K720" s="4">
        <v>995</v>
      </c>
      <c r="L720" s="4">
        <v>1217</v>
      </c>
      <c r="M720" s="4">
        <v>917</v>
      </c>
      <c r="N720" s="4">
        <v>7047</v>
      </c>
      <c r="O720" s="5">
        <f t="shared" si="11"/>
        <v>6.7400730445919321E-2</v>
      </c>
      <c r="P720" s="2" t="s">
        <v>22</v>
      </c>
    </row>
    <row r="721" spans="1:16" x14ac:dyDescent="0.25">
      <c r="A721" s="6" t="s">
        <v>1511</v>
      </c>
      <c r="B721" s="6" t="s">
        <v>1512</v>
      </c>
      <c r="C721" s="6" t="s">
        <v>32</v>
      </c>
      <c r="D721" s="7" t="s">
        <v>38</v>
      </c>
      <c r="E721" s="7" t="s">
        <v>45</v>
      </c>
      <c r="F721" s="6" t="s">
        <v>51</v>
      </c>
      <c r="G721" s="8">
        <v>292802</v>
      </c>
      <c r="H721" s="8">
        <v>31058</v>
      </c>
      <c r="I721" s="8">
        <v>27956</v>
      </c>
      <c r="J721" s="8">
        <v>1884</v>
      </c>
      <c r="K721" s="8">
        <v>133</v>
      </c>
      <c r="L721" s="8">
        <v>137</v>
      </c>
      <c r="M721" s="8">
        <v>1</v>
      </c>
      <c r="N721" s="8">
        <v>883</v>
      </c>
      <c r="O721" s="9">
        <f t="shared" si="11"/>
        <v>7.7085419945628841E-2</v>
      </c>
      <c r="P721" s="6" t="s">
        <v>29</v>
      </c>
    </row>
    <row r="722" spans="1:16" x14ac:dyDescent="0.25">
      <c r="A722" s="2" t="s">
        <v>1513</v>
      </c>
      <c r="B722" s="2" t="s">
        <v>1514</v>
      </c>
      <c r="C722" s="2" t="s">
        <v>18</v>
      </c>
      <c r="D722" s="3" t="s">
        <v>226</v>
      </c>
      <c r="E722" s="3" t="s">
        <v>20</v>
      </c>
      <c r="F722" s="2" t="s">
        <v>21</v>
      </c>
      <c r="G722" s="4">
        <v>21450</v>
      </c>
      <c r="H722" s="4">
        <v>4418</v>
      </c>
      <c r="I722" s="4">
        <v>3372</v>
      </c>
      <c r="J722" s="4">
        <v>277</v>
      </c>
      <c r="K722" s="4">
        <v>42</v>
      </c>
      <c r="L722" s="4">
        <v>26</v>
      </c>
      <c r="M722" s="4">
        <v>49</v>
      </c>
      <c r="N722" s="4">
        <v>65</v>
      </c>
      <c r="O722" s="5">
        <f t="shared" si="11"/>
        <v>0.11684460260972716</v>
      </c>
      <c r="P722" s="2" t="s">
        <v>22</v>
      </c>
    </row>
    <row r="723" spans="1:16" x14ac:dyDescent="0.25">
      <c r="A723" s="6" t="s">
        <v>1515</v>
      </c>
      <c r="B723" s="6" t="s">
        <v>1516</v>
      </c>
      <c r="C723" s="6" t="s">
        <v>18</v>
      </c>
      <c r="D723" s="7" t="s">
        <v>231</v>
      </c>
      <c r="E723" s="7" t="s">
        <v>39</v>
      </c>
      <c r="F723" s="6" t="s">
        <v>21</v>
      </c>
      <c r="G723" s="8">
        <v>486887</v>
      </c>
      <c r="H723" s="8">
        <v>177429</v>
      </c>
      <c r="I723" s="8">
        <v>151435</v>
      </c>
      <c r="J723" s="8">
        <v>10713</v>
      </c>
      <c r="K723" s="8">
        <v>732</v>
      </c>
      <c r="L723" s="8">
        <v>259</v>
      </c>
      <c r="M723" s="8">
        <v>2361</v>
      </c>
      <c r="N723" s="8">
        <v>6038</v>
      </c>
      <c r="O723" s="9">
        <f t="shared" si="11"/>
        <v>9.2878132532109484E-2</v>
      </c>
      <c r="P723" s="6" t="s">
        <v>29</v>
      </c>
    </row>
    <row r="724" spans="1:16" x14ac:dyDescent="0.25">
      <c r="A724" s="2" t="s">
        <v>1517</v>
      </c>
      <c r="B724" s="2" t="s">
        <v>1518</v>
      </c>
      <c r="C724" s="2" t="s">
        <v>43</v>
      </c>
      <c r="D724" s="3" t="s">
        <v>110</v>
      </c>
      <c r="E724" s="3" t="s">
        <v>50</v>
      </c>
      <c r="F724" s="2" t="s">
        <v>46</v>
      </c>
      <c r="G724" s="4">
        <v>789831</v>
      </c>
      <c r="H724" s="4">
        <v>366849</v>
      </c>
      <c r="I724" s="4">
        <v>269376</v>
      </c>
      <c r="J724" s="4">
        <v>20211</v>
      </c>
      <c r="K724" s="4">
        <v>2498</v>
      </c>
      <c r="L724" s="4">
        <v>1888</v>
      </c>
      <c r="M724" s="4">
        <v>26</v>
      </c>
      <c r="N724" s="4">
        <v>12793</v>
      </c>
      <c r="O724" s="5">
        <f t="shared" si="11"/>
        <v>9.1407549299120927E-2</v>
      </c>
      <c r="P724" s="2" t="s">
        <v>22</v>
      </c>
    </row>
    <row r="725" spans="1:16" x14ac:dyDescent="0.25">
      <c r="A725" s="6" t="s">
        <v>1519</v>
      </c>
      <c r="B725" s="6" t="s">
        <v>1520</v>
      </c>
      <c r="C725" s="6" t="s">
        <v>25</v>
      </c>
      <c r="D725" s="7" t="s">
        <v>26</v>
      </c>
      <c r="E725" s="7" t="s">
        <v>27</v>
      </c>
      <c r="F725" s="6" t="s">
        <v>146</v>
      </c>
      <c r="G725" s="8">
        <v>399311</v>
      </c>
      <c r="H725" s="8">
        <v>225335</v>
      </c>
      <c r="I725" s="8">
        <v>177353</v>
      </c>
      <c r="J725" s="8">
        <v>7363</v>
      </c>
      <c r="K725" s="8">
        <v>343</v>
      </c>
      <c r="L725" s="8">
        <v>424</v>
      </c>
      <c r="M725" s="8">
        <v>1641</v>
      </c>
      <c r="N725" s="8">
        <v>6310</v>
      </c>
      <c r="O725" s="9">
        <f t="shared" si="11"/>
        <v>5.5093514065169463E-2</v>
      </c>
      <c r="P725" s="6" t="s">
        <v>66</v>
      </c>
    </row>
    <row r="726" spans="1:16" x14ac:dyDescent="0.25">
      <c r="A726" s="2" t="s">
        <v>1521</v>
      </c>
      <c r="B726" s="2" t="s">
        <v>1522</v>
      </c>
      <c r="C726" s="2" t="s">
        <v>25</v>
      </c>
      <c r="D726" s="3" t="s">
        <v>26</v>
      </c>
      <c r="E726" s="3" t="s">
        <v>27</v>
      </c>
      <c r="F726" s="2" t="s">
        <v>28</v>
      </c>
      <c r="G726" s="4">
        <v>337418</v>
      </c>
      <c r="H726" s="4">
        <v>148213</v>
      </c>
      <c r="I726" s="4">
        <v>132598</v>
      </c>
      <c r="J726" s="4">
        <v>11503</v>
      </c>
      <c r="K726" s="4">
        <v>1659</v>
      </c>
      <c r="L726" s="4">
        <v>705</v>
      </c>
      <c r="M726" s="4">
        <v>1807</v>
      </c>
      <c r="N726" s="4">
        <v>2484</v>
      </c>
      <c r="O726" s="5">
        <f t="shared" si="11"/>
        <v>0.11820691111479811</v>
      </c>
      <c r="P726" s="2" t="s">
        <v>29</v>
      </c>
    </row>
    <row r="727" spans="1:16" x14ac:dyDescent="0.25">
      <c r="A727" s="6" t="s">
        <v>1523</v>
      </c>
      <c r="B727" s="6" t="s">
        <v>1524</v>
      </c>
      <c r="C727" s="6" t="s">
        <v>32</v>
      </c>
      <c r="D727" s="7" t="s">
        <v>49</v>
      </c>
      <c r="E727" s="7" t="s">
        <v>20</v>
      </c>
      <c r="F727" s="6" t="s">
        <v>35</v>
      </c>
      <c r="G727" s="8">
        <v>304917</v>
      </c>
      <c r="H727" s="8">
        <v>1596057</v>
      </c>
      <c r="I727" s="8">
        <v>1280172</v>
      </c>
      <c r="J727" s="8">
        <v>48418</v>
      </c>
      <c r="K727" s="8">
        <v>8041</v>
      </c>
      <c r="L727" s="8">
        <v>3381</v>
      </c>
      <c r="M727" s="8">
        <v>41</v>
      </c>
      <c r="N727" s="8">
        <v>27999</v>
      </c>
      <c r="O727" s="9">
        <f t="shared" si="11"/>
        <v>4.6775745759163614E-2</v>
      </c>
      <c r="P727" s="6" t="s">
        <v>22</v>
      </c>
    </row>
    <row r="728" spans="1:16" x14ac:dyDescent="0.25">
      <c r="A728" s="2" t="s">
        <v>1525</v>
      </c>
      <c r="B728" s="2" t="s">
        <v>1526</v>
      </c>
      <c r="C728" s="2" t="s">
        <v>25</v>
      </c>
      <c r="D728" s="3" t="s">
        <v>64</v>
      </c>
      <c r="E728" s="3" t="s">
        <v>27</v>
      </c>
      <c r="F728" s="2" t="s">
        <v>54</v>
      </c>
      <c r="G728" s="4">
        <v>631192</v>
      </c>
      <c r="H728" s="4">
        <v>197564</v>
      </c>
      <c r="I728" s="4">
        <v>152421</v>
      </c>
      <c r="J728" s="4">
        <v>6914</v>
      </c>
      <c r="K728" s="4">
        <v>797</v>
      </c>
      <c r="L728" s="4">
        <v>562</v>
      </c>
      <c r="M728" s="4">
        <v>471</v>
      </c>
      <c r="N728" s="4">
        <v>3182</v>
      </c>
      <c r="O728" s="5">
        <f t="shared" si="11"/>
        <v>5.7367423124110195E-2</v>
      </c>
      <c r="P728" s="2" t="s">
        <v>29</v>
      </c>
    </row>
    <row r="729" spans="1:16" x14ac:dyDescent="0.25">
      <c r="A729" s="6" t="s">
        <v>1527</v>
      </c>
      <c r="B729" s="6" t="s">
        <v>1528</v>
      </c>
      <c r="C729" s="6" t="s">
        <v>43</v>
      </c>
      <c r="D729" s="7" t="s">
        <v>44</v>
      </c>
      <c r="E729" s="7" t="s">
        <v>20</v>
      </c>
      <c r="F729" s="6" t="s">
        <v>46</v>
      </c>
      <c r="G729" s="8">
        <v>389491</v>
      </c>
      <c r="H729" s="8">
        <v>84289</v>
      </c>
      <c r="I729" s="8">
        <v>76380</v>
      </c>
      <c r="J729" s="8">
        <v>6345</v>
      </c>
      <c r="K729" s="8">
        <v>497</v>
      </c>
      <c r="L729" s="8">
        <v>368</v>
      </c>
      <c r="M729" s="8">
        <v>1</v>
      </c>
      <c r="N729" s="8">
        <v>944</v>
      </c>
      <c r="O729" s="9">
        <f t="shared" si="11"/>
        <v>9.4409531290913853E-2</v>
      </c>
      <c r="P729" s="6" t="s">
        <v>22</v>
      </c>
    </row>
    <row r="730" spans="1:16" x14ac:dyDescent="0.25">
      <c r="A730" s="2" t="s">
        <v>1529</v>
      </c>
      <c r="B730" s="2" t="s">
        <v>1530</v>
      </c>
      <c r="C730" s="2" t="s">
        <v>25</v>
      </c>
      <c r="D730" s="3" t="s">
        <v>64</v>
      </c>
      <c r="E730" s="3" t="s">
        <v>39</v>
      </c>
      <c r="F730" s="2" t="s">
        <v>54</v>
      </c>
      <c r="G730" s="4">
        <v>845226</v>
      </c>
      <c r="H730" s="4">
        <v>227211</v>
      </c>
      <c r="I730" s="4">
        <v>171287</v>
      </c>
      <c r="J730" s="4">
        <v>14387</v>
      </c>
      <c r="K730" s="4">
        <v>582</v>
      </c>
      <c r="L730" s="4">
        <v>1687</v>
      </c>
      <c r="M730" s="4">
        <v>2681</v>
      </c>
      <c r="N730" s="4">
        <v>3905</v>
      </c>
      <c r="O730" s="5">
        <f t="shared" si="11"/>
        <v>0.11289239697116535</v>
      </c>
      <c r="P730" s="2" t="s">
        <v>22</v>
      </c>
    </row>
    <row r="731" spans="1:16" x14ac:dyDescent="0.25">
      <c r="A731" s="6" t="s">
        <v>1531</v>
      </c>
      <c r="B731" s="6" t="s">
        <v>1532</v>
      </c>
      <c r="C731" s="6" t="s">
        <v>32</v>
      </c>
      <c r="D731" s="7" t="s">
        <v>38</v>
      </c>
      <c r="E731" s="7" t="s">
        <v>45</v>
      </c>
      <c r="F731" s="6" t="s">
        <v>128</v>
      </c>
      <c r="G731" s="8">
        <v>753065</v>
      </c>
      <c r="H731" s="8">
        <v>338006</v>
      </c>
      <c r="I731" s="8">
        <v>289755</v>
      </c>
      <c r="J731" s="8">
        <v>15653</v>
      </c>
      <c r="K731" s="8">
        <v>2413</v>
      </c>
      <c r="L731" s="8">
        <v>434</v>
      </c>
      <c r="M731" s="8">
        <v>25</v>
      </c>
      <c r="N731" s="8">
        <v>10089</v>
      </c>
      <c r="O731" s="9">
        <f t="shared" si="11"/>
        <v>6.3933322979758761E-2</v>
      </c>
      <c r="P731" s="6" t="s">
        <v>29</v>
      </c>
    </row>
    <row r="732" spans="1:16" x14ac:dyDescent="0.25">
      <c r="A732" s="2" t="s">
        <v>1533</v>
      </c>
      <c r="B732" s="2" t="s">
        <v>1534</v>
      </c>
      <c r="C732" s="2" t="s">
        <v>43</v>
      </c>
      <c r="D732" s="3" t="s">
        <v>69</v>
      </c>
      <c r="E732" s="3" t="s">
        <v>39</v>
      </c>
      <c r="F732" s="2" t="s">
        <v>70</v>
      </c>
      <c r="G732" s="4">
        <v>111156</v>
      </c>
      <c r="H732" s="4">
        <v>25524</v>
      </c>
      <c r="I732" s="4">
        <v>21122</v>
      </c>
      <c r="J732" s="4">
        <v>1722</v>
      </c>
      <c r="K732" s="4">
        <v>238</v>
      </c>
      <c r="L732" s="4">
        <v>116</v>
      </c>
      <c r="M732" s="4">
        <v>42</v>
      </c>
      <c r="N732" s="4">
        <v>387</v>
      </c>
      <c r="O732" s="5">
        <f t="shared" si="11"/>
        <v>0.10027459520878705</v>
      </c>
      <c r="P732" s="2" t="s">
        <v>66</v>
      </c>
    </row>
    <row r="733" spans="1:16" x14ac:dyDescent="0.25">
      <c r="A733" s="6" t="s">
        <v>1535</v>
      </c>
      <c r="B733" s="6" t="s">
        <v>1536</v>
      </c>
      <c r="C733" s="6" t="s">
        <v>76</v>
      </c>
      <c r="D733" s="7" t="s">
        <v>103</v>
      </c>
      <c r="E733" s="7" t="s">
        <v>45</v>
      </c>
      <c r="F733" s="6" t="s">
        <v>87</v>
      </c>
      <c r="G733" s="8">
        <v>483001</v>
      </c>
      <c r="H733" s="8">
        <v>173976</v>
      </c>
      <c r="I733" s="8">
        <v>150756</v>
      </c>
      <c r="J733" s="8">
        <v>7054</v>
      </c>
      <c r="K733" s="8">
        <v>940</v>
      </c>
      <c r="L733" s="8">
        <v>444</v>
      </c>
      <c r="M733" s="8">
        <v>988</v>
      </c>
      <c r="N733" s="8">
        <v>2216</v>
      </c>
      <c r="O733" s="9">
        <f t="shared" si="11"/>
        <v>6.2524874631855451E-2</v>
      </c>
      <c r="P733" s="6" t="s">
        <v>22</v>
      </c>
    </row>
    <row r="734" spans="1:16" x14ac:dyDescent="0.25">
      <c r="A734" s="2" t="s">
        <v>1537</v>
      </c>
      <c r="B734" s="2" t="s">
        <v>1538</v>
      </c>
      <c r="C734" s="2" t="s">
        <v>18</v>
      </c>
      <c r="D734" s="3" t="s">
        <v>226</v>
      </c>
      <c r="E734" s="3" t="s">
        <v>20</v>
      </c>
      <c r="F734" s="2" t="s">
        <v>58</v>
      </c>
      <c r="G734" s="4">
        <v>593413</v>
      </c>
      <c r="H734" s="4">
        <v>145976</v>
      </c>
      <c r="I734" s="4">
        <v>107267</v>
      </c>
      <c r="J734" s="4">
        <v>8471</v>
      </c>
      <c r="K734" s="4">
        <v>858</v>
      </c>
      <c r="L734" s="4">
        <v>653</v>
      </c>
      <c r="M734" s="4">
        <v>923</v>
      </c>
      <c r="N734" s="4">
        <v>3986</v>
      </c>
      <c r="O734" s="5">
        <f t="shared" si="11"/>
        <v>0.10166220738903857</v>
      </c>
      <c r="P734" s="2" t="s">
        <v>29</v>
      </c>
    </row>
    <row r="735" spans="1:16" x14ac:dyDescent="0.25">
      <c r="A735" s="6" t="s">
        <v>1539</v>
      </c>
      <c r="B735" s="6" t="s">
        <v>1540</v>
      </c>
      <c r="C735" s="6" t="s">
        <v>32</v>
      </c>
      <c r="D735" s="7" t="s">
        <v>38</v>
      </c>
      <c r="E735" s="7" t="s">
        <v>45</v>
      </c>
      <c r="F735" s="6" t="s">
        <v>51</v>
      </c>
      <c r="G735" s="8">
        <v>31865</v>
      </c>
      <c r="H735" s="8">
        <v>13142</v>
      </c>
      <c r="I735" s="8">
        <v>10888</v>
      </c>
      <c r="J735" s="8">
        <v>467</v>
      </c>
      <c r="K735" s="8">
        <v>64</v>
      </c>
      <c r="L735" s="8">
        <v>54</v>
      </c>
      <c r="M735" s="8">
        <v>33</v>
      </c>
      <c r="N735" s="8">
        <v>225</v>
      </c>
      <c r="O735" s="9">
        <f t="shared" si="11"/>
        <v>5.6759735488611317E-2</v>
      </c>
      <c r="P735" s="6" t="s">
        <v>29</v>
      </c>
    </row>
    <row r="736" spans="1:16" x14ac:dyDescent="0.25">
      <c r="A736" s="2" t="s">
        <v>1541</v>
      </c>
      <c r="B736" s="2" t="s">
        <v>1542</v>
      </c>
      <c r="C736" s="2" t="s">
        <v>43</v>
      </c>
      <c r="D736" s="3" t="s">
        <v>172</v>
      </c>
      <c r="E736" s="3" t="s">
        <v>50</v>
      </c>
      <c r="F736" s="2" t="s">
        <v>107</v>
      </c>
      <c r="G736" s="4">
        <v>395047</v>
      </c>
      <c r="H736" s="4">
        <v>240135</v>
      </c>
      <c r="I736" s="4">
        <v>177029</v>
      </c>
      <c r="J736" s="4">
        <v>12370</v>
      </c>
      <c r="K736" s="4">
        <v>696</v>
      </c>
      <c r="L736" s="4">
        <v>1690</v>
      </c>
      <c r="M736" s="4">
        <v>0</v>
      </c>
      <c r="N736" s="4">
        <v>6018</v>
      </c>
      <c r="O736" s="5">
        <f t="shared" si="11"/>
        <v>8.3353574838020889E-2</v>
      </c>
      <c r="P736" s="2" t="s">
        <v>22</v>
      </c>
    </row>
    <row r="737" spans="1:16" x14ac:dyDescent="0.25">
      <c r="A737" s="6" t="s">
        <v>1543</v>
      </c>
      <c r="B737" s="6" t="s">
        <v>1544</v>
      </c>
      <c r="C737" s="6" t="s">
        <v>25</v>
      </c>
      <c r="D737" s="7" t="s">
        <v>244</v>
      </c>
      <c r="E737" s="7" t="s">
        <v>27</v>
      </c>
      <c r="F737" s="6" t="s">
        <v>54</v>
      </c>
      <c r="G737" s="8">
        <v>684070</v>
      </c>
      <c r="H737" s="8">
        <v>249213</v>
      </c>
      <c r="I737" s="8">
        <v>224489</v>
      </c>
      <c r="J737" s="8">
        <v>18535</v>
      </c>
      <c r="K737" s="8">
        <v>2891</v>
      </c>
      <c r="L737" s="8">
        <v>2408</v>
      </c>
      <c r="M737" s="8">
        <v>3829</v>
      </c>
      <c r="N737" s="8">
        <v>5164</v>
      </c>
      <c r="O737" s="9">
        <f t="shared" si="11"/>
        <v>0.12322652780314403</v>
      </c>
      <c r="P737" s="6" t="s">
        <v>22</v>
      </c>
    </row>
    <row r="738" spans="1:16" x14ac:dyDescent="0.25">
      <c r="A738" s="2" t="s">
        <v>1545</v>
      </c>
      <c r="B738" s="2" t="s">
        <v>1546</v>
      </c>
      <c r="C738" s="2" t="s">
        <v>32</v>
      </c>
      <c r="D738" s="3" t="s">
        <v>175</v>
      </c>
      <c r="E738" s="3" t="s">
        <v>50</v>
      </c>
      <c r="F738" s="2" t="s">
        <v>128</v>
      </c>
      <c r="G738" s="4">
        <v>287160</v>
      </c>
      <c r="H738" s="4">
        <v>110501</v>
      </c>
      <c r="I738" s="4">
        <v>90423</v>
      </c>
      <c r="J738" s="4">
        <v>2736</v>
      </c>
      <c r="K738" s="4">
        <v>409</v>
      </c>
      <c r="L738" s="4">
        <v>213</v>
      </c>
      <c r="M738" s="4">
        <v>33</v>
      </c>
      <c r="N738" s="4">
        <v>1374</v>
      </c>
      <c r="O738" s="5">
        <f t="shared" si="11"/>
        <v>3.7501520630812954E-2</v>
      </c>
      <c r="P738" s="2" t="s">
        <v>22</v>
      </c>
    </row>
    <row r="739" spans="1:16" x14ac:dyDescent="0.25">
      <c r="A739" s="6" t="s">
        <v>1547</v>
      </c>
      <c r="B739" s="6" t="s">
        <v>1548</v>
      </c>
      <c r="C739" s="6" t="s">
        <v>25</v>
      </c>
      <c r="D739" s="7" t="s">
        <v>64</v>
      </c>
      <c r="E739" s="7" t="s">
        <v>45</v>
      </c>
      <c r="F739" s="6" t="s">
        <v>65</v>
      </c>
      <c r="G739" s="8">
        <v>188549</v>
      </c>
      <c r="H739" s="8">
        <v>80549</v>
      </c>
      <c r="I739" s="8">
        <v>61301</v>
      </c>
      <c r="J739" s="8">
        <v>5202</v>
      </c>
      <c r="K739" s="8">
        <v>728</v>
      </c>
      <c r="L739" s="8">
        <v>724</v>
      </c>
      <c r="M739" s="8">
        <v>1202</v>
      </c>
      <c r="N739" s="8">
        <v>723</v>
      </c>
      <c r="O739" s="9">
        <f t="shared" si="11"/>
        <v>0.12815451623953933</v>
      </c>
      <c r="P739" s="6" t="s">
        <v>22</v>
      </c>
    </row>
    <row r="740" spans="1:16" x14ac:dyDescent="0.25">
      <c r="A740" s="2" t="s">
        <v>1549</v>
      </c>
      <c r="B740" s="2" t="s">
        <v>1550</v>
      </c>
      <c r="C740" s="2" t="s">
        <v>43</v>
      </c>
      <c r="D740" s="3" t="s">
        <v>69</v>
      </c>
      <c r="E740" s="3" t="s">
        <v>39</v>
      </c>
      <c r="F740" s="2" t="s">
        <v>70</v>
      </c>
      <c r="G740" s="4">
        <v>565515</v>
      </c>
      <c r="H740" s="4">
        <v>61707</v>
      </c>
      <c r="I740" s="4">
        <v>51800</v>
      </c>
      <c r="J740" s="4">
        <v>1961</v>
      </c>
      <c r="K740" s="4">
        <v>93</v>
      </c>
      <c r="L740" s="4">
        <v>60</v>
      </c>
      <c r="M740" s="4">
        <v>12</v>
      </c>
      <c r="N740" s="4">
        <v>493</v>
      </c>
      <c r="O740" s="5">
        <f t="shared" si="11"/>
        <v>4.1042471042471045E-2</v>
      </c>
      <c r="P740" s="2" t="s">
        <v>22</v>
      </c>
    </row>
    <row r="741" spans="1:16" x14ac:dyDescent="0.25">
      <c r="A741" s="6" t="s">
        <v>1551</v>
      </c>
      <c r="B741" s="6" t="s">
        <v>1552</v>
      </c>
      <c r="C741" s="6" t="s">
        <v>76</v>
      </c>
      <c r="D741" s="7" t="s">
        <v>189</v>
      </c>
      <c r="E741" s="7" t="s">
        <v>39</v>
      </c>
      <c r="F741" s="6" t="s">
        <v>87</v>
      </c>
      <c r="G741" s="8">
        <v>757455</v>
      </c>
      <c r="H741" s="8">
        <v>396236</v>
      </c>
      <c r="I741" s="8">
        <v>328704</v>
      </c>
      <c r="J741" s="8">
        <v>23019</v>
      </c>
      <c r="K741" s="8">
        <v>3299</v>
      </c>
      <c r="L741" s="8">
        <v>3429</v>
      </c>
      <c r="M741" s="8">
        <v>2309</v>
      </c>
      <c r="N741" s="8">
        <v>6821</v>
      </c>
      <c r="O741" s="9">
        <f t="shared" si="11"/>
        <v>9.7522390965732092E-2</v>
      </c>
      <c r="P741" s="6" t="s">
        <v>22</v>
      </c>
    </row>
    <row r="742" spans="1:16" x14ac:dyDescent="0.25">
      <c r="A742" s="2" t="s">
        <v>1553</v>
      </c>
      <c r="B742" s="2" t="s">
        <v>1554</v>
      </c>
      <c r="C742" s="2" t="s">
        <v>32</v>
      </c>
      <c r="D742" s="3" t="s">
        <v>33</v>
      </c>
      <c r="E742" s="3" t="s">
        <v>50</v>
      </c>
      <c r="F742" s="2" t="s">
        <v>40</v>
      </c>
      <c r="G742" s="4">
        <v>279533</v>
      </c>
      <c r="H742" s="4">
        <v>62040</v>
      </c>
      <c r="I742" s="4">
        <v>52679</v>
      </c>
      <c r="J742" s="4">
        <v>3113</v>
      </c>
      <c r="K742" s="4">
        <v>385</v>
      </c>
      <c r="L742" s="4">
        <v>107</v>
      </c>
      <c r="M742" s="4">
        <v>48</v>
      </c>
      <c r="N742" s="4">
        <v>2070</v>
      </c>
      <c r="O742" s="5">
        <f t="shared" si="11"/>
        <v>6.9344520586951161E-2</v>
      </c>
      <c r="P742" s="2" t="s">
        <v>22</v>
      </c>
    </row>
    <row r="743" spans="1:16" x14ac:dyDescent="0.25">
      <c r="A743" s="6" t="s">
        <v>1555</v>
      </c>
      <c r="B743" s="6" t="s">
        <v>1556</v>
      </c>
      <c r="C743" s="6" t="s">
        <v>25</v>
      </c>
      <c r="D743" s="7" t="s">
        <v>64</v>
      </c>
      <c r="E743" s="7" t="s">
        <v>34</v>
      </c>
      <c r="F743" s="6" t="s">
        <v>65</v>
      </c>
      <c r="G743" s="8">
        <v>708166</v>
      </c>
      <c r="H743" s="8">
        <v>430153</v>
      </c>
      <c r="I743" s="8">
        <v>333512</v>
      </c>
      <c r="J743" s="8">
        <v>26332</v>
      </c>
      <c r="K743" s="8">
        <v>4038</v>
      </c>
      <c r="L743" s="8">
        <v>1189</v>
      </c>
      <c r="M743" s="8">
        <v>1889</v>
      </c>
      <c r="N743" s="8">
        <v>5142</v>
      </c>
      <c r="O743" s="9">
        <f t="shared" si="11"/>
        <v>0.10029024442898607</v>
      </c>
      <c r="P743" s="6" t="s">
        <v>22</v>
      </c>
    </row>
    <row r="744" spans="1:16" x14ac:dyDescent="0.25">
      <c r="A744" s="2" t="s">
        <v>1557</v>
      </c>
      <c r="B744" s="2" t="s">
        <v>1558</v>
      </c>
      <c r="C744" s="2" t="s">
        <v>32</v>
      </c>
      <c r="D744" s="3" t="s">
        <v>175</v>
      </c>
      <c r="E744" s="3" t="s">
        <v>45</v>
      </c>
      <c r="F744" s="2" t="s">
        <v>40</v>
      </c>
      <c r="G744" s="4">
        <v>641635</v>
      </c>
      <c r="H744" s="4">
        <v>297061</v>
      </c>
      <c r="I744" s="4">
        <v>218163</v>
      </c>
      <c r="J744" s="4">
        <v>19601</v>
      </c>
      <c r="K744" s="4">
        <v>2898</v>
      </c>
      <c r="L744" s="4">
        <v>2563</v>
      </c>
      <c r="M744" s="4">
        <v>39</v>
      </c>
      <c r="N744" s="4">
        <v>7390</v>
      </c>
      <c r="O744" s="5">
        <f t="shared" si="11"/>
        <v>0.11505617359497257</v>
      </c>
      <c r="P744" s="2" t="s">
        <v>22</v>
      </c>
    </row>
    <row r="745" spans="1:16" x14ac:dyDescent="0.25">
      <c r="A745" s="6" t="s">
        <v>1559</v>
      </c>
      <c r="B745" s="6" t="s">
        <v>1560</v>
      </c>
      <c r="C745" s="6" t="s">
        <v>32</v>
      </c>
      <c r="D745" s="7" t="s">
        <v>38</v>
      </c>
      <c r="E745" s="7" t="s">
        <v>20</v>
      </c>
      <c r="F745" s="6" t="s">
        <v>40</v>
      </c>
      <c r="G745" s="8">
        <v>497408</v>
      </c>
      <c r="H745" s="8">
        <v>276374</v>
      </c>
      <c r="I745" s="8">
        <v>202277</v>
      </c>
      <c r="J745" s="8">
        <v>11061</v>
      </c>
      <c r="K745" s="8">
        <v>919</v>
      </c>
      <c r="L745" s="8">
        <v>1292</v>
      </c>
      <c r="M745" s="8">
        <v>28</v>
      </c>
      <c r="N745" s="8">
        <v>3935</v>
      </c>
      <c r="O745" s="9">
        <f t="shared" si="11"/>
        <v>6.5751420082362302E-2</v>
      </c>
      <c r="P745" s="6" t="s">
        <v>22</v>
      </c>
    </row>
    <row r="746" spans="1:16" x14ac:dyDescent="0.25">
      <c r="A746" s="2" t="s">
        <v>1561</v>
      </c>
      <c r="B746" s="2" t="s">
        <v>1562</v>
      </c>
      <c r="C746" s="2" t="s">
        <v>32</v>
      </c>
      <c r="D746" s="3" t="s">
        <v>175</v>
      </c>
      <c r="E746" s="3" t="s">
        <v>39</v>
      </c>
      <c r="F746" s="2" t="s">
        <v>40</v>
      </c>
      <c r="G746" s="4">
        <v>679662</v>
      </c>
      <c r="H746" s="4">
        <v>432089</v>
      </c>
      <c r="I746" s="4">
        <v>328528</v>
      </c>
      <c r="J746" s="4">
        <v>29862</v>
      </c>
      <c r="K746" s="4">
        <v>1801</v>
      </c>
      <c r="L746" s="4">
        <v>3167</v>
      </c>
      <c r="M746" s="4">
        <v>16</v>
      </c>
      <c r="N746" s="4">
        <v>5981</v>
      </c>
      <c r="O746" s="5">
        <f t="shared" si="11"/>
        <v>0.10606706277699313</v>
      </c>
      <c r="P746" s="2" t="s">
        <v>22</v>
      </c>
    </row>
    <row r="747" spans="1:16" x14ac:dyDescent="0.25">
      <c r="A747" s="6" t="s">
        <v>1563</v>
      </c>
      <c r="B747" s="6" t="s">
        <v>1564</v>
      </c>
      <c r="C747" s="6" t="s">
        <v>18</v>
      </c>
      <c r="D747" s="7" t="s">
        <v>92</v>
      </c>
      <c r="E747" s="7" t="s">
        <v>27</v>
      </c>
      <c r="F747" s="6" t="s">
        <v>73</v>
      </c>
      <c r="G747" s="8">
        <v>211640</v>
      </c>
      <c r="H747" s="8">
        <v>91429</v>
      </c>
      <c r="I747" s="8">
        <v>81226</v>
      </c>
      <c r="J747" s="8">
        <v>2414</v>
      </c>
      <c r="K747" s="8">
        <v>160</v>
      </c>
      <c r="L747" s="8">
        <v>150</v>
      </c>
      <c r="M747" s="8">
        <v>352</v>
      </c>
      <c r="N747" s="8">
        <v>2435</v>
      </c>
      <c r="O747" s="9">
        <f t="shared" si="11"/>
        <v>3.7869647649767316E-2</v>
      </c>
      <c r="P747" s="6" t="s">
        <v>22</v>
      </c>
    </row>
    <row r="748" spans="1:16" x14ac:dyDescent="0.25">
      <c r="A748" s="2" t="s">
        <v>1565</v>
      </c>
      <c r="B748" s="2" t="s">
        <v>1566</v>
      </c>
      <c r="C748" s="2" t="s">
        <v>32</v>
      </c>
      <c r="D748" s="3" t="s">
        <v>49</v>
      </c>
      <c r="E748" s="3" t="s">
        <v>50</v>
      </c>
      <c r="F748" s="2" t="s">
        <v>35</v>
      </c>
      <c r="G748" s="4">
        <v>64698</v>
      </c>
      <c r="H748" s="4">
        <v>28763</v>
      </c>
      <c r="I748" s="4">
        <v>23537</v>
      </c>
      <c r="J748" s="4">
        <v>1331</v>
      </c>
      <c r="K748" s="4">
        <v>96</v>
      </c>
      <c r="L748" s="4">
        <v>108</v>
      </c>
      <c r="M748" s="4">
        <v>47</v>
      </c>
      <c r="N748" s="4">
        <v>207</v>
      </c>
      <c r="O748" s="5">
        <f t="shared" si="11"/>
        <v>6.7213323703105746E-2</v>
      </c>
      <c r="P748" s="2" t="s">
        <v>66</v>
      </c>
    </row>
    <row r="749" spans="1:16" x14ac:dyDescent="0.25">
      <c r="A749" s="6" t="s">
        <v>1567</v>
      </c>
      <c r="B749" s="6" t="s">
        <v>1568</v>
      </c>
      <c r="C749" s="6" t="s">
        <v>25</v>
      </c>
      <c r="D749" s="7" t="s">
        <v>61</v>
      </c>
      <c r="E749" s="7" t="s">
        <v>50</v>
      </c>
      <c r="F749" s="6" t="s">
        <v>146</v>
      </c>
      <c r="G749" s="8">
        <v>591628</v>
      </c>
      <c r="H749" s="8">
        <v>130027</v>
      </c>
      <c r="I749" s="8">
        <v>106654</v>
      </c>
      <c r="J749" s="8">
        <v>7754</v>
      </c>
      <c r="K749" s="8">
        <v>880</v>
      </c>
      <c r="L749" s="8">
        <v>978</v>
      </c>
      <c r="M749" s="8">
        <v>1457</v>
      </c>
      <c r="N749" s="8">
        <v>1198</v>
      </c>
      <c r="O749" s="9">
        <f t="shared" si="11"/>
        <v>0.10378419937367563</v>
      </c>
      <c r="P749" s="6" t="s">
        <v>29</v>
      </c>
    </row>
    <row r="750" spans="1:16" x14ac:dyDescent="0.25">
      <c r="A750" s="2" t="s">
        <v>1569</v>
      </c>
      <c r="B750" s="2" t="s">
        <v>1570</v>
      </c>
      <c r="C750" s="2" t="s">
        <v>18</v>
      </c>
      <c r="D750" s="3" t="s">
        <v>231</v>
      </c>
      <c r="E750" s="3" t="s">
        <v>39</v>
      </c>
      <c r="F750" s="2" t="s">
        <v>73</v>
      </c>
      <c r="G750" s="4">
        <v>227747</v>
      </c>
      <c r="H750" s="4">
        <v>79015</v>
      </c>
      <c r="I750" s="4">
        <v>61606</v>
      </c>
      <c r="J750" s="4">
        <v>2523</v>
      </c>
      <c r="K750" s="4">
        <v>443</v>
      </c>
      <c r="L750" s="4">
        <v>135</v>
      </c>
      <c r="M750" s="4">
        <v>430</v>
      </c>
      <c r="N750" s="4">
        <v>2605</v>
      </c>
      <c r="O750" s="5">
        <f t="shared" si="11"/>
        <v>5.7315845859169559E-2</v>
      </c>
      <c r="P750" s="2" t="s">
        <v>22</v>
      </c>
    </row>
    <row r="751" spans="1:16" x14ac:dyDescent="0.25">
      <c r="A751" s="6" t="s">
        <v>1571</v>
      </c>
      <c r="B751" s="6" t="s">
        <v>1572</v>
      </c>
      <c r="C751" s="6" t="s">
        <v>32</v>
      </c>
      <c r="D751" s="7" t="s">
        <v>175</v>
      </c>
      <c r="E751" s="7" t="s">
        <v>27</v>
      </c>
      <c r="F751" s="6" t="s">
        <v>128</v>
      </c>
      <c r="G751" s="8">
        <v>539645</v>
      </c>
      <c r="H751" s="8">
        <v>217184</v>
      </c>
      <c r="I751" s="8">
        <v>197887</v>
      </c>
      <c r="J751" s="8">
        <v>15720</v>
      </c>
      <c r="K751" s="8">
        <v>1242</v>
      </c>
      <c r="L751" s="8">
        <v>1415</v>
      </c>
      <c r="M751" s="8">
        <v>18</v>
      </c>
      <c r="N751" s="8">
        <v>4831</v>
      </c>
      <c r="O751" s="9">
        <f t="shared" si="11"/>
        <v>9.2957091673530848E-2</v>
      </c>
      <c r="P751" s="6" t="s">
        <v>29</v>
      </c>
    </row>
    <row r="752" spans="1:16" x14ac:dyDescent="0.25">
      <c r="A752" s="2" t="s">
        <v>1573</v>
      </c>
      <c r="B752" s="2" t="s">
        <v>1574</v>
      </c>
      <c r="C752" s="2" t="s">
        <v>43</v>
      </c>
      <c r="D752" s="3" t="s">
        <v>81</v>
      </c>
      <c r="E752" s="3" t="s">
        <v>27</v>
      </c>
      <c r="F752" s="2" t="s">
        <v>70</v>
      </c>
      <c r="G752" s="4">
        <v>839883</v>
      </c>
      <c r="H752" s="4">
        <v>474825</v>
      </c>
      <c r="I752" s="4">
        <v>428742</v>
      </c>
      <c r="J752" s="4">
        <v>26875</v>
      </c>
      <c r="K752" s="4">
        <v>4809</v>
      </c>
      <c r="L752" s="4">
        <v>3164</v>
      </c>
      <c r="M752" s="4">
        <v>49</v>
      </c>
      <c r="N752" s="4">
        <v>12116</v>
      </c>
      <c r="O752" s="5">
        <f t="shared" si="11"/>
        <v>8.1393938545792105E-2</v>
      </c>
      <c r="P752" s="2" t="s">
        <v>29</v>
      </c>
    </row>
    <row r="753" spans="1:16" x14ac:dyDescent="0.25">
      <c r="A753" s="6" t="s">
        <v>1575</v>
      </c>
      <c r="B753" s="6" t="s">
        <v>1576</v>
      </c>
      <c r="C753" s="6" t="s">
        <v>25</v>
      </c>
      <c r="D753" s="7" t="s">
        <v>244</v>
      </c>
      <c r="E753" s="7" t="s">
        <v>34</v>
      </c>
      <c r="F753" s="6" t="s">
        <v>146</v>
      </c>
      <c r="G753" s="8">
        <v>681809</v>
      </c>
      <c r="H753" s="8">
        <v>231001</v>
      </c>
      <c r="I753" s="8">
        <v>196898</v>
      </c>
      <c r="J753" s="8">
        <v>15988</v>
      </c>
      <c r="K753" s="8">
        <v>1516</v>
      </c>
      <c r="L753" s="8">
        <v>364</v>
      </c>
      <c r="M753" s="8">
        <v>2637</v>
      </c>
      <c r="N753" s="8">
        <v>1199</v>
      </c>
      <c r="O753" s="9">
        <f t="shared" si="11"/>
        <v>0.10414021473046958</v>
      </c>
      <c r="P753" s="6" t="s">
        <v>29</v>
      </c>
    </row>
    <row r="754" spans="1:16" x14ac:dyDescent="0.25">
      <c r="A754" s="2" t="s">
        <v>1577</v>
      </c>
      <c r="B754" s="2" t="s">
        <v>1578</v>
      </c>
      <c r="C754" s="2" t="s">
        <v>32</v>
      </c>
      <c r="D754" s="3" t="s">
        <v>49</v>
      </c>
      <c r="E754" s="3" t="s">
        <v>50</v>
      </c>
      <c r="F754" s="2" t="s">
        <v>51</v>
      </c>
      <c r="G754" s="4">
        <v>615263</v>
      </c>
      <c r="H754" s="4">
        <v>163766</v>
      </c>
      <c r="I754" s="4">
        <v>138184</v>
      </c>
      <c r="J754" s="4">
        <v>5243</v>
      </c>
      <c r="K754" s="4">
        <v>803</v>
      </c>
      <c r="L754" s="4">
        <v>735</v>
      </c>
      <c r="M754" s="4">
        <v>45</v>
      </c>
      <c r="N754" s="4">
        <v>5079</v>
      </c>
      <c r="O754" s="5">
        <f t="shared" si="11"/>
        <v>4.9397904243617209E-2</v>
      </c>
      <c r="P754" s="2" t="s">
        <v>22</v>
      </c>
    </row>
    <row r="755" spans="1:16" x14ac:dyDescent="0.25">
      <c r="A755" s="6" t="s">
        <v>1579</v>
      </c>
      <c r="B755" s="6" t="s">
        <v>1580</v>
      </c>
      <c r="C755" s="6" t="s">
        <v>25</v>
      </c>
      <c r="D755" s="7" t="s">
        <v>145</v>
      </c>
      <c r="E755" s="7" t="s">
        <v>34</v>
      </c>
      <c r="F755" s="6" t="s">
        <v>54</v>
      </c>
      <c r="G755" s="8">
        <v>819826</v>
      </c>
      <c r="H755" s="8">
        <v>228449</v>
      </c>
      <c r="I755" s="8">
        <v>176372</v>
      </c>
      <c r="J755" s="8">
        <v>8891</v>
      </c>
      <c r="K755" s="8">
        <v>573</v>
      </c>
      <c r="L755" s="8">
        <v>419</v>
      </c>
      <c r="M755" s="8">
        <v>983</v>
      </c>
      <c r="N755" s="8">
        <v>4050</v>
      </c>
      <c r="O755" s="9">
        <f t="shared" si="11"/>
        <v>6.160841856984102E-2</v>
      </c>
      <c r="P755" s="6" t="s">
        <v>22</v>
      </c>
    </row>
    <row r="756" spans="1:16" x14ac:dyDescent="0.25">
      <c r="A756" s="2" t="s">
        <v>1581</v>
      </c>
      <c r="B756" s="2" t="s">
        <v>1582</v>
      </c>
      <c r="C756" s="2" t="s">
        <v>32</v>
      </c>
      <c r="D756" s="3" t="s">
        <v>175</v>
      </c>
      <c r="E756" s="3" t="s">
        <v>39</v>
      </c>
      <c r="F756" s="2" t="s">
        <v>128</v>
      </c>
      <c r="G756" s="4">
        <v>468017</v>
      </c>
      <c r="H756" s="4">
        <v>265312</v>
      </c>
      <c r="I756" s="4">
        <v>207922</v>
      </c>
      <c r="J756" s="4">
        <v>12418</v>
      </c>
      <c r="K756" s="4">
        <v>1116</v>
      </c>
      <c r="L756" s="4">
        <v>580</v>
      </c>
      <c r="M756" s="4">
        <v>24</v>
      </c>
      <c r="N756" s="4">
        <v>6024</v>
      </c>
      <c r="O756" s="5">
        <f t="shared" si="11"/>
        <v>6.7996652590875423E-2</v>
      </c>
      <c r="P756" s="2" t="s">
        <v>22</v>
      </c>
    </row>
    <row r="757" spans="1:16" x14ac:dyDescent="0.25">
      <c r="A757" s="6" t="s">
        <v>1583</v>
      </c>
      <c r="B757" s="6" t="s">
        <v>1584</v>
      </c>
      <c r="C757" s="6" t="s">
        <v>43</v>
      </c>
      <c r="D757" s="7" t="s">
        <v>81</v>
      </c>
      <c r="E757" s="7" t="s">
        <v>20</v>
      </c>
      <c r="F757" s="6" t="s">
        <v>70</v>
      </c>
      <c r="G757" s="8">
        <v>128704</v>
      </c>
      <c r="H757" s="8">
        <v>64630</v>
      </c>
      <c r="I757" s="8">
        <v>55900</v>
      </c>
      <c r="J757" s="8">
        <v>2521</v>
      </c>
      <c r="K757" s="8">
        <v>147</v>
      </c>
      <c r="L757" s="8">
        <v>373</v>
      </c>
      <c r="M757" s="8">
        <v>32</v>
      </c>
      <c r="N757" s="8">
        <v>1020</v>
      </c>
      <c r="O757" s="9">
        <f t="shared" si="11"/>
        <v>5.4973166368515208E-2</v>
      </c>
      <c r="P757" s="6" t="s">
        <v>22</v>
      </c>
    </row>
    <row r="758" spans="1:16" x14ac:dyDescent="0.25">
      <c r="A758" s="2" t="s">
        <v>1585</v>
      </c>
      <c r="B758" s="2" t="s">
        <v>1586</v>
      </c>
      <c r="C758" s="2" t="s">
        <v>32</v>
      </c>
      <c r="D758" s="3" t="s">
        <v>121</v>
      </c>
      <c r="E758" s="3" t="s">
        <v>39</v>
      </c>
      <c r="F758" s="2" t="s">
        <v>128</v>
      </c>
      <c r="G758" s="4">
        <v>374410</v>
      </c>
      <c r="H758" s="4">
        <v>96107</v>
      </c>
      <c r="I758" s="4">
        <v>76454</v>
      </c>
      <c r="J758" s="4">
        <v>6810</v>
      </c>
      <c r="K758" s="4">
        <v>511</v>
      </c>
      <c r="L758" s="4">
        <v>1021</v>
      </c>
      <c r="M758" s="4">
        <v>5</v>
      </c>
      <c r="N758" s="4">
        <v>2355</v>
      </c>
      <c r="O758" s="5">
        <f t="shared" si="11"/>
        <v>0.10917675988175897</v>
      </c>
      <c r="P758" s="2" t="s">
        <v>29</v>
      </c>
    </row>
    <row r="759" spans="1:16" x14ac:dyDescent="0.25">
      <c r="A759" s="6" t="s">
        <v>1587</v>
      </c>
      <c r="B759" s="6" t="s">
        <v>1588</v>
      </c>
      <c r="C759" s="6" t="s">
        <v>18</v>
      </c>
      <c r="D759" s="7" t="s">
        <v>226</v>
      </c>
      <c r="E759" s="7" t="s">
        <v>20</v>
      </c>
      <c r="F759" s="6" t="s">
        <v>21</v>
      </c>
      <c r="G759" s="8">
        <v>188473</v>
      </c>
      <c r="H759" s="8">
        <v>28823</v>
      </c>
      <c r="I759" s="8">
        <v>21065</v>
      </c>
      <c r="J759" s="8">
        <v>1388</v>
      </c>
      <c r="K759" s="8">
        <v>49</v>
      </c>
      <c r="L759" s="8">
        <v>135</v>
      </c>
      <c r="M759" s="8">
        <v>127</v>
      </c>
      <c r="N759" s="8">
        <v>783</v>
      </c>
      <c r="O759" s="9">
        <f t="shared" si="11"/>
        <v>8.0655115119867074E-2</v>
      </c>
      <c r="P759" s="6" t="s">
        <v>22</v>
      </c>
    </row>
    <row r="760" spans="1:16" x14ac:dyDescent="0.25">
      <c r="A760" s="2" t="s">
        <v>1589</v>
      </c>
      <c r="B760" s="2" t="s">
        <v>1590</v>
      </c>
      <c r="C760" s="2" t="s">
        <v>32</v>
      </c>
      <c r="D760" s="3" t="s">
        <v>49</v>
      </c>
      <c r="E760" s="3" t="s">
        <v>20</v>
      </c>
      <c r="F760" s="2" t="s">
        <v>51</v>
      </c>
      <c r="G760" s="4">
        <v>780508</v>
      </c>
      <c r="H760" s="4">
        <v>359923</v>
      </c>
      <c r="I760" s="4">
        <v>321554</v>
      </c>
      <c r="J760" s="4">
        <v>9560</v>
      </c>
      <c r="K760" s="4">
        <v>519</v>
      </c>
      <c r="L760" s="4">
        <v>809</v>
      </c>
      <c r="M760" s="4">
        <v>19</v>
      </c>
      <c r="N760" s="4">
        <v>6158</v>
      </c>
      <c r="O760" s="5">
        <f t="shared" si="11"/>
        <v>3.3919652686640503E-2</v>
      </c>
      <c r="P760" s="2" t="s">
        <v>22</v>
      </c>
    </row>
    <row r="761" spans="1:16" x14ac:dyDescent="0.25">
      <c r="A761" s="6" t="s">
        <v>1591</v>
      </c>
      <c r="B761" s="6" t="s">
        <v>1592</v>
      </c>
      <c r="C761" s="6" t="s">
        <v>76</v>
      </c>
      <c r="D761" s="7" t="s">
        <v>77</v>
      </c>
      <c r="E761" s="7" t="s">
        <v>50</v>
      </c>
      <c r="F761" s="6" t="s">
        <v>87</v>
      </c>
      <c r="G761" s="8">
        <v>495857</v>
      </c>
      <c r="H761" s="8">
        <v>2689591</v>
      </c>
      <c r="I761" s="8">
        <v>1910227</v>
      </c>
      <c r="J761" s="8">
        <v>114636</v>
      </c>
      <c r="K761" s="8">
        <v>13730</v>
      </c>
      <c r="L761" s="8">
        <v>10119</v>
      </c>
      <c r="M761" s="8">
        <v>9358</v>
      </c>
      <c r="N761" s="8">
        <v>14653</v>
      </c>
      <c r="O761" s="9">
        <f t="shared" si="11"/>
        <v>7.7395513726902621E-2</v>
      </c>
      <c r="P761" s="6" t="s">
        <v>66</v>
      </c>
    </row>
    <row r="762" spans="1:16" x14ac:dyDescent="0.25">
      <c r="A762" s="2" t="s">
        <v>1593</v>
      </c>
      <c r="B762" s="2" t="s">
        <v>1594</v>
      </c>
      <c r="C762" s="2" t="s">
        <v>32</v>
      </c>
      <c r="D762" s="3" t="s">
        <v>121</v>
      </c>
      <c r="E762" s="3" t="s">
        <v>39</v>
      </c>
      <c r="F762" s="2" t="s">
        <v>35</v>
      </c>
      <c r="G762" s="4">
        <v>143434</v>
      </c>
      <c r="H762" s="4">
        <v>77651</v>
      </c>
      <c r="I762" s="4">
        <v>59675</v>
      </c>
      <c r="J762" s="4">
        <v>3740</v>
      </c>
      <c r="K762" s="4">
        <v>618</v>
      </c>
      <c r="L762" s="4">
        <v>137</v>
      </c>
      <c r="M762" s="4">
        <v>42</v>
      </c>
      <c r="N762" s="4">
        <v>1646</v>
      </c>
      <c r="O762" s="5">
        <f t="shared" si="11"/>
        <v>7.6028487641390863E-2</v>
      </c>
      <c r="P762" s="2" t="s">
        <v>66</v>
      </c>
    </row>
    <row r="763" spans="1:16" x14ac:dyDescent="0.25">
      <c r="A763" s="6" t="s">
        <v>1595</v>
      </c>
      <c r="B763" s="6" t="s">
        <v>1596</v>
      </c>
      <c r="C763" s="6" t="s">
        <v>32</v>
      </c>
      <c r="D763" s="7" t="s">
        <v>33</v>
      </c>
      <c r="E763" s="7" t="s">
        <v>20</v>
      </c>
      <c r="F763" s="6" t="s">
        <v>51</v>
      </c>
      <c r="G763" s="8">
        <v>232464</v>
      </c>
      <c r="H763" s="8">
        <v>125322</v>
      </c>
      <c r="I763" s="8">
        <v>93944</v>
      </c>
      <c r="J763" s="8">
        <v>3124</v>
      </c>
      <c r="K763" s="8">
        <v>138</v>
      </c>
      <c r="L763" s="8">
        <v>226</v>
      </c>
      <c r="M763" s="8">
        <v>39</v>
      </c>
      <c r="N763" s="8">
        <v>1022</v>
      </c>
      <c r="O763" s="9">
        <f t="shared" si="11"/>
        <v>3.7543643021374438E-2</v>
      </c>
      <c r="P763" s="6" t="s">
        <v>22</v>
      </c>
    </row>
    <row r="764" spans="1:16" x14ac:dyDescent="0.25">
      <c r="A764" s="2" t="s">
        <v>1597</v>
      </c>
      <c r="B764" s="2" t="s">
        <v>1598</v>
      </c>
      <c r="C764" s="2" t="s">
        <v>18</v>
      </c>
      <c r="D764" s="3" t="s">
        <v>57</v>
      </c>
      <c r="E764" s="3" t="s">
        <v>45</v>
      </c>
      <c r="F764" s="2" t="s">
        <v>73</v>
      </c>
      <c r="G764" s="4">
        <v>547672</v>
      </c>
      <c r="H764" s="4">
        <v>352129</v>
      </c>
      <c r="I764" s="4">
        <v>305358</v>
      </c>
      <c r="J764" s="4">
        <v>9825</v>
      </c>
      <c r="K764" s="4">
        <v>916</v>
      </c>
      <c r="L764" s="4">
        <v>1041</v>
      </c>
      <c r="M764" s="4">
        <v>1629</v>
      </c>
      <c r="N764" s="4">
        <v>11633</v>
      </c>
      <c r="O764" s="5">
        <f t="shared" si="11"/>
        <v>4.3918941046247356E-2</v>
      </c>
      <c r="P764" s="2" t="s">
        <v>22</v>
      </c>
    </row>
    <row r="765" spans="1:16" x14ac:dyDescent="0.25">
      <c r="A765" s="6" t="s">
        <v>1599</v>
      </c>
      <c r="B765" s="6" t="s">
        <v>1600</v>
      </c>
      <c r="C765" s="6" t="s">
        <v>25</v>
      </c>
      <c r="D765" s="7" t="s">
        <v>64</v>
      </c>
      <c r="E765" s="7" t="s">
        <v>34</v>
      </c>
      <c r="F765" s="6" t="s">
        <v>146</v>
      </c>
      <c r="G765" s="8">
        <v>667958</v>
      </c>
      <c r="H765" s="8">
        <v>3390872</v>
      </c>
      <c r="I765" s="8">
        <v>2669592</v>
      </c>
      <c r="J765" s="8">
        <v>70200</v>
      </c>
      <c r="K765" s="8">
        <v>7168</v>
      </c>
      <c r="L765" s="8">
        <v>9231</v>
      </c>
      <c r="M765" s="8">
        <v>6145</v>
      </c>
      <c r="N765" s="8">
        <v>105407</v>
      </c>
      <c r="O765" s="9">
        <f t="shared" si="11"/>
        <v>3.4740889244498786E-2</v>
      </c>
      <c r="P765" s="6" t="s">
        <v>66</v>
      </c>
    </row>
    <row r="766" spans="1:16" x14ac:dyDescent="0.25">
      <c r="A766" s="2" t="s">
        <v>1601</v>
      </c>
      <c r="B766" s="2" t="s">
        <v>1602</v>
      </c>
      <c r="C766" s="2" t="s">
        <v>43</v>
      </c>
      <c r="D766" s="3" t="s">
        <v>110</v>
      </c>
      <c r="E766" s="3" t="s">
        <v>27</v>
      </c>
      <c r="F766" s="2" t="s">
        <v>46</v>
      </c>
      <c r="G766" s="4">
        <v>126042</v>
      </c>
      <c r="H766" s="4">
        <v>57174</v>
      </c>
      <c r="I766" s="4">
        <v>51642</v>
      </c>
      <c r="J766" s="4">
        <v>2300</v>
      </c>
      <c r="K766" s="4">
        <v>376</v>
      </c>
      <c r="L766" s="4">
        <v>122</v>
      </c>
      <c r="M766" s="4">
        <v>31</v>
      </c>
      <c r="N766" s="4">
        <v>1610</v>
      </c>
      <c r="O766" s="5">
        <f t="shared" si="11"/>
        <v>5.4780992215638431E-2</v>
      </c>
      <c r="P766" s="2" t="s">
        <v>22</v>
      </c>
    </row>
    <row r="767" spans="1:16" x14ac:dyDescent="0.25">
      <c r="A767" s="6" t="s">
        <v>1603</v>
      </c>
      <c r="B767" s="6" t="s">
        <v>1604</v>
      </c>
      <c r="C767" s="6" t="s">
        <v>43</v>
      </c>
      <c r="D767" s="7" t="s">
        <v>110</v>
      </c>
      <c r="E767" s="7" t="s">
        <v>34</v>
      </c>
      <c r="F767" s="6" t="s">
        <v>46</v>
      </c>
      <c r="G767" s="8">
        <v>449732</v>
      </c>
      <c r="H767" s="8">
        <v>283290</v>
      </c>
      <c r="I767" s="8">
        <v>204197</v>
      </c>
      <c r="J767" s="8">
        <v>22239</v>
      </c>
      <c r="K767" s="8">
        <v>3436</v>
      </c>
      <c r="L767" s="8">
        <v>792</v>
      </c>
      <c r="M767" s="8">
        <v>45</v>
      </c>
      <c r="N767" s="8">
        <v>3929</v>
      </c>
      <c r="O767" s="9">
        <f t="shared" si="11"/>
        <v>0.12983540404609276</v>
      </c>
      <c r="P767" s="6" t="s">
        <v>29</v>
      </c>
    </row>
    <row r="768" spans="1:16" x14ac:dyDescent="0.25">
      <c r="A768" s="2" t="s">
        <v>1605</v>
      </c>
      <c r="B768" s="2" t="s">
        <v>1606</v>
      </c>
      <c r="C768" s="2" t="s">
        <v>76</v>
      </c>
      <c r="D768" s="3" t="s">
        <v>189</v>
      </c>
      <c r="E768" s="3" t="s">
        <v>20</v>
      </c>
      <c r="F768" s="2" t="s">
        <v>104</v>
      </c>
      <c r="G768" s="4">
        <v>538222</v>
      </c>
      <c r="H768" s="4">
        <v>300762</v>
      </c>
      <c r="I768" s="4">
        <v>261873</v>
      </c>
      <c r="J768" s="4">
        <v>9600</v>
      </c>
      <c r="K768" s="4">
        <v>1360</v>
      </c>
      <c r="L768" s="4">
        <v>847</v>
      </c>
      <c r="M768" s="4">
        <v>1977</v>
      </c>
      <c r="N768" s="4">
        <v>6582</v>
      </c>
      <c r="O768" s="5">
        <f t="shared" si="11"/>
        <v>5.2636201517529492E-2</v>
      </c>
      <c r="P768" s="2" t="s">
        <v>22</v>
      </c>
    </row>
    <row r="769" spans="1:16" x14ac:dyDescent="0.25">
      <c r="A769" s="6" t="s">
        <v>1607</v>
      </c>
      <c r="B769" s="6" t="s">
        <v>1608</v>
      </c>
      <c r="C769" s="6" t="s">
        <v>25</v>
      </c>
      <c r="D769" s="7" t="s">
        <v>61</v>
      </c>
      <c r="E769" s="7" t="s">
        <v>20</v>
      </c>
      <c r="F769" s="6" t="s">
        <v>28</v>
      </c>
      <c r="G769" s="8">
        <v>168961</v>
      </c>
      <c r="H769" s="8">
        <v>29468</v>
      </c>
      <c r="I769" s="8">
        <v>26196</v>
      </c>
      <c r="J769" s="8">
        <v>989</v>
      </c>
      <c r="K769" s="8">
        <v>167</v>
      </c>
      <c r="L769" s="8">
        <v>111</v>
      </c>
      <c r="M769" s="8">
        <v>156</v>
      </c>
      <c r="N769" s="8">
        <v>991</v>
      </c>
      <c r="O769" s="9">
        <f t="shared" si="11"/>
        <v>5.4321270422965341E-2</v>
      </c>
      <c r="P769" s="6" t="s">
        <v>22</v>
      </c>
    </row>
    <row r="770" spans="1:16" x14ac:dyDescent="0.25">
      <c r="A770" s="2" t="s">
        <v>1609</v>
      </c>
      <c r="B770" s="2" t="s">
        <v>1610</v>
      </c>
      <c r="C770" s="2" t="s">
        <v>18</v>
      </c>
      <c r="D770" s="3" t="s">
        <v>57</v>
      </c>
      <c r="E770" s="3" t="s">
        <v>27</v>
      </c>
      <c r="F770" s="2" t="s">
        <v>58</v>
      </c>
      <c r="G770" s="4">
        <v>502194</v>
      </c>
      <c r="H770" s="4">
        <v>79139</v>
      </c>
      <c r="I770" s="4">
        <v>55403</v>
      </c>
      <c r="J770" s="4">
        <v>2776</v>
      </c>
      <c r="K770" s="4">
        <v>314</v>
      </c>
      <c r="L770" s="4">
        <v>167</v>
      </c>
      <c r="M770" s="4">
        <v>651</v>
      </c>
      <c r="N770" s="4">
        <v>1851</v>
      </c>
      <c r="O770" s="5">
        <f t="shared" ref="O770:O833" si="12">IF(I770&gt;0, (J770+K770+L770+M770)/I770, 0)</f>
        <v>7.053769651462917E-2</v>
      </c>
      <c r="P770" s="2" t="s">
        <v>66</v>
      </c>
    </row>
    <row r="771" spans="1:16" x14ac:dyDescent="0.25">
      <c r="A771" s="6" t="s">
        <v>1611</v>
      </c>
      <c r="B771" s="6" t="s">
        <v>1612</v>
      </c>
      <c r="C771" s="6" t="s">
        <v>32</v>
      </c>
      <c r="D771" s="7" t="s">
        <v>49</v>
      </c>
      <c r="E771" s="7" t="s">
        <v>20</v>
      </c>
      <c r="F771" s="6" t="s">
        <v>35</v>
      </c>
      <c r="G771" s="8">
        <v>827008</v>
      </c>
      <c r="H771" s="8">
        <v>263679</v>
      </c>
      <c r="I771" s="8">
        <v>195792</v>
      </c>
      <c r="J771" s="8">
        <v>18473</v>
      </c>
      <c r="K771" s="8">
        <v>749</v>
      </c>
      <c r="L771" s="8">
        <v>2682</v>
      </c>
      <c r="M771" s="8">
        <v>17</v>
      </c>
      <c r="N771" s="8">
        <v>2429</v>
      </c>
      <c r="O771" s="9">
        <f t="shared" si="12"/>
        <v>0.1119606521206178</v>
      </c>
      <c r="P771" s="6" t="s">
        <v>22</v>
      </c>
    </row>
    <row r="772" spans="1:16" x14ac:dyDescent="0.25">
      <c r="A772" s="2" t="s">
        <v>1613</v>
      </c>
      <c r="B772" s="2" t="s">
        <v>1614</v>
      </c>
      <c r="C772" s="2" t="s">
        <v>25</v>
      </c>
      <c r="D772" s="3" t="s">
        <v>64</v>
      </c>
      <c r="E772" s="3" t="s">
        <v>39</v>
      </c>
      <c r="F772" s="2" t="s">
        <v>146</v>
      </c>
      <c r="G772" s="4">
        <v>707392</v>
      </c>
      <c r="H772" s="4">
        <v>188631</v>
      </c>
      <c r="I772" s="4">
        <v>136909</v>
      </c>
      <c r="J772" s="4">
        <v>7294</v>
      </c>
      <c r="K772" s="4">
        <v>331</v>
      </c>
      <c r="L772" s="4">
        <v>741</v>
      </c>
      <c r="M772" s="4">
        <v>1051</v>
      </c>
      <c r="N772" s="4">
        <v>4680</v>
      </c>
      <c r="O772" s="5">
        <f t="shared" si="12"/>
        <v>6.8782914198482203E-2</v>
      </c>
      <c r="P772" s="2" t="s">
        <v>22</v>
      </c>
    </row>
    <row r="773" spans="1:16" x14ac:dyDescent="0.25">
      <c r="A773" s="6" t="s">
        <v>1615</v>
      </c>
      <c r="B773" s="6" t="s">
        <v>1616</v>
      </c>
      <c r="C773" s="6" t="s">
        <v>32</v>
      </c>
      <c r="D773" s="7" t="s">
        <v>49</v>
      </c>
      <c r="E773" s="7" t="s">
        <v>34</v>
      </c>
      <c r="F773" s="6" t="s">
        <v>40</v>
      </c>
      <c r="G773" s="8">
        <v>287820</v>
      </c>
      <c r="H773" s="8">
        <v>29747</v>
      </c>
      <c r="I773" s="8">
        <v>21561</v>
      </c>
      <c r="J773" s="8">
        <v>1427</v>
      </c>
      <c r="K773" s="8">
        <v>168</v>
      </c>
      <c r="L773" s="8">
        <v>191</v>
      </c>
      <c r="M773" s="8">
        <v>44</v>
      </c>
      <c r="N773" s="8">
        <v>921</v>
      </c>
      <c r="O773" s="9">
        <f t="shared" si="12"/>
        <v>8.487546959788507E-2</v>
      </c>
      <c r="P773" s="6" t="s">
        <v>22</v>
      </c>
    </row>
    <row r="774" spans="1:16" x14ac:dyDescent="0.25">
      <c r="A774" s="2" t="s">
        <v>1617</v>
      </c>
      <c r="B774" s="2" t="s">
        <v>1618</v>
      </c>
      <c r="C774" s="2" t="s">
        <v>76</v>
      </c>
      <c r="D774" s="3" t="s">
        <v>189</v>
      </c>
      <c r="E774" s="3" t="s">
        <v>27</v>
      </c>
      <c r="F774" s="2" t="s">
        <v>78</v>
      </c>
      <c r="G774" s="4">
        <v>255513</v>
      </c>
      <c r="H774" s="4">
        <v>117280</v>
      </c>
      <c r="I774" s="4">
        <v>106949</v>
      </c>
      <c r="J774" s="4">
        <v>5312</v>
      </c>
      <c r="K774" s="4">
        <v>667</v>
      </c>
      <c r="L774" s="4">
        <v>703</v>
      </c>
      <c r="M774" s="4">
        <v>563</v>
      </c>
      <c r="N774" s="4">
        <v>3133</v>
      </c>
      <c r="O774" s="5">
        <f t="shared" si="12"/>
        <v>6.7742568887974641E-2</v>
      </c>
      <c r="P774" s="2" t="s">
        <v>22</v>
      </c>
    </row>
    <row r="775" spans="1:16" x14ac:dyDescent="0.25">
      <c r="A775" s="6" t="s">
        <v>1619</v>
      </c>
      <c r="B775" s="6" t="s">
        <v>1620</v>
      </c>
      <c r="C775" s="6" t="s">
        <v>32</v>
      </c>
      <c r="D775" s="7" t="s">
        <v>38</v>
      </c>
      <c r="E775" s="7" t="s">
        <v>50</v>
      </c>
      <c r="F775" s="6" t="s">
        <v>128</v>
      </c>
      <c r="G775" s="8">
        <v>16054</v>
      </c>
      <c r="H775" s="8">
        <v>8659</v>
      </c>
      <c r="I775" s="8">
        <v>7177</v>
      </c>
      <c r="J775" s="8">
        <v>288</v>
      </c>
      <c r="K775" s="8">
        <v>27</v>
      </c>
      <c r="L775" s="8">
        <v>15</v>
      </c>
      <c r="M775" s="8">
        <v>49</v>
      </c>
      <c r="N775" s="8">
        <v>257</v>
      </c>
      <c r="O775" s="9">
        <f t="shared" si="12"/>
        <v>5.2807579768705586E-2</v>
      </c>
      <c r="P775" s="6" t="s">
        <v>22</v>
      </c>
    </row>
    <row r="776" spans="1:16" x14ac:dyDescent="0.25">
      <c r="A776" s="2" t="s">
        <v>1621</v>
      </c>
      <c r="B776" s="2" t="s">
        <v>1622</v>
      </c>
      <c r="C776" s="2" t="s">
        <v>43</v>
      </c>
      <c r="D776" s="3" t="s">
        <v>69</v>
      </c>
      <c r="E776" s="3" t="s">
        <v>34</v>
      </c>
      <c r="F776" s="2" t="s">
        <v>107</v>
      </c>
      <c r="G776" s="4">
        <v>115534</v>
      </c>
      <c r="H776" s="4">
        <v>61504</v>
      </c>
      <c r="I776" s="4">
        <v>50841</v>
      </c>
      <c r="J776" s="4">
        <v>1663</v>
      </c>
      <c r="K776" s="4">
        <v>240</v>
      </c>
      <c r="L776" s="4">
        <v>111</v>
      </c>
      <c r="M776" s="4">
        <v>43</v>
      </c>
      <c r="N776" s="4">
        <v>1616</v>
      </c>
      <c r="O776" s="5">
        <f t="shared" si="12"/>
        <v>4.0459471686237487E-2</v>
      </c>
      <c r="P776" s="2" t="s">
        <v>29</v>
      </c>
    </row>
    <row r="777" spans="1:16" x14ac:dyDescent="0.25">
      <c r="A777" s="6" t="s">
        <v>1623</v>
      </c>
      <c r="B777" s="6" t="s">
        <v>1624</v>
      </c>
      <c r="C777" s="6" t="s">
        <v>76</v>
      </c>
      <c r="D777" s="7" t="s">
        <v>103</v>
      </c>
      <c r="E777" s="7" t="s">
        <v>45</v>
      </c>
      <c r="F777" s="6" t="s">
        <v>104</v>
      </c>
      <c r="G777" s="8">
        <v>485624</v>
      </c>
      <c r="H777" s="8">
        <v>183554</v>
      </c>
      <c r="I777" s="8">
        <v>161324</v>
      </c>
      <c r="J777" s="8">
        <v>10588</v>
      </c>
      <c r="K777" s="8">
        <v>1552</v>
      </c>
      <c r="L777" s="8">
        <v>1132</v>
      </c>
      <c r="M777" s="8">
        <v>583</v>
      </c>
      <c r="N777" s="8">
        <v>4039</v>
      </c>
      <c r="O777" s="9">
        <f t="shared" si="12"/>
        <v>8.5883067615481881E-2</v>
      </c>
      <c r="P777" s="6" t="s">
        <v>22</v>
      </c>
    </row>
    <row r="778" spans="1:16" x14ac:dyDescent="0.25">
      <c r="A778" s="2" t="s">
        <v>1625</v>
      </c>
      <c r="B778" s="2" t="s">
        <v>1626</v>
      </c>
      <c r="C778" s="2" t="s">
        <v>32</v>
      </c>
      <c r="D778" s="3" t="s">
        <v>175</v>
      </c>
      <c r="E778" s="3" t="s">
        <v>45</v>
      </c>
      <c r="F778" s="2" t="s">
        <v>35</v>
      </c>
      <c r="G778" s="4">
        <v>268328</v>
      </c>
      <c r="H778" s="4">
        <v>125930</v>
      </c>
      <c r="I778" s="4">
        <v>115123</v>
      </c>
      <c r="J778" s="4">
        <v>4397</v>
      </c>
      <c r="K778" s="4">
        <v>426</v>
      </c>
      <c r="L778" s="4">
        <v>115</v>
      </c>
      <c r="M778" s="4">
        <v>29</v>
      </c>
      <c r="N778" s="4">
        <v>3270</v>
      </c>
      <c r="O778" s="5">
        <f t="shared" si="12"/>
        <v>4.3145157787757439E-2</v>
      </c>
      <c r="P778" s="2" t="s">
        <v>29</v>
      </c>
    </row>
    <row r="779" spans="1:16" x14ac:dyDescent="0.25">
      <c r="A779" s="6" t="s">
        <v>1627</v>
      </c>
      <c r="B779" s="6" t="s">
        <v>1628</v>
      </c>
      <c r="C779" s="6" t="s">
        <v>43</v>
      </c>
      <c r="D779" s="7" t="s">
        <v>110</v>
      </c>
      <c r="E779" s="7" t="s">
        <v>45</v>
      </c>
      <c r="F779" s="6" t="s">
        <v>46</v>
      </c>
      <c r="G779" s="8">
        <v>792412</v>
      </c>
      <c r="H779" s="8">
        <v>431719</v>
      </c>
      <c r="I779" s="8">
        <v>383566</v>
      </c>
      <c r="J779" s="8">
        <v>17279</v>
      </c>
      <c r="K779" s="8">
        <v>2115</v>
      </c>
      <c r="L779" s="8">
        <v>2007</v>
      </c>
      <c r="M779" s="8">
        <v>14</v>
      </c>
      <c r="N779" s="8">
        <v>6258</v>
      </c>
      <c r="O779" s="9">
        <f t="shared" si="12"/>
        <v>5.5831330201321284E-2</v>
      </c>
      <c r="P779" s="6" t="s">
        <v>22</v>
      </c>
    </row>
    <row r="780" spans="1:16" x14ac:dyDescent="0.25">
      <c r="A780" s="2" t="s">
        <v>1629</v>
      </c>
      <c r="B780" s="2" t="s">
        <v>1630</v>
      </c>
      <c r="C780" s="2" t="s">
        <v>18</v>
      </c>
      <c r="D780" s="3" t="s">
        <v>92</v>
      </c>
      <c r="E780" s="3" t="s">
        <v>39</v>
      </c>
      <c r="F780" s="2" t="s">
        <v>73</v>
      </c>
      <c r="G780" s="4">
        <v>197736</v>
      </c>
      <c r="H780" s="4">
        <v>38603</v>
      </c>
      <c r="I780" s="4">
        <v>31144</v>
      </c>
      <c r="J780" s="4">
        <v>1552</v>
      </c>
      <c r="K780" s="4">
        <v>148</v>
      </c>
      <c r="L780" s="4">
        <v>103</v>
      </c>
      <c r="M780" s="4">
        <v>127</v>
      </c>
      <c r="N780" s="4">
        <v>388</v>
      </c>
      <c r="O780" s="5">
        <f t="shared" si="12"/>
        <v>6.1970202928332906E-2</v>
      </c>
      <c r="P780" s="2" t="s">
        <v>22</v>
      </c>
    </row>
    <row r="781" spans="1:16" x14ac:dyDescent="0.25">
      <c r="A781" s="6" t="s">
        <v>1631</v>
      </c>
      <c r="B781" s="6" t="s">
        <v>1632</v>
      </c>
      <c r="C781" s="6" t="s">
        <v>43</v>
      </c>
      <c r="D781" s="7" t="s">
        <v>172</v>
      </c>
      <c r="E781" s="7" t="s">
        <v>50</v>
      </c>
      <c r="F781" s="6" t="s">
        <v>107</v>
      </c>
      <c r="G781" s="8">
        <v>566900</v>
      </c>
      <c r="H781" s="8">
        <v>245200</v>
      </c>
      <c r="I781" s="8">
        <v>182354</v>
      </c>
      <c r="J781" s="8">
        <v>6236</v>
      </c>
      <c r="K781" s="8">
        <v>746</v>
      </c>
      <c r="L781" s="8">
        <v>835</v>
      </c>
      <c r="M781" s="8">
        <v>25</v>
      </c>
      <c r="N781" s="8">
        <v>7494</v>
      </c>
      <c r="O781" s="9">
        <f t="shared" si="12"/>
        <v>4.3004266426840104E-2</v>
      </c>
      <c r="P781" s="6" t="s">
        <v>22</v>
      </c>
    </row>
    <row r="782" spans="1:16" x14ac:dyDescent="0.25">
      <c r="A782" s="2" t="s">
        <v>1633</v>
      </c>
      <c r="B782" s="2" t="s">
        <v>1634</v>
      </c>
      <c r="C782" s="2" t="s">
        <v>25</v>
      </c>
      <c r="D782" s="3" t="s">
        <v>26</v>
      </c>
      <c r="E782" s="3" t="s">
        <v>34</v>
      </c>
      <c r="F782" s="2" t="s">
        <v>28</v>
      </c>
      <c r="G782" s="4">
        <v>645717</v>
      </c>
      <c r="H782" s="4">
        <v>81916</v>
      </c>
      <c r="I782" s="4">
        <v>65316</v>
      </c>
      <c r="J782" s="4">
        <v>1838</v>
      </c>
      <c r="K782" s="4">
        <v>206</v>
      </c>
      <c r="L782" s="4">
        <v>196</v>
      </c>
      <c r="M782" s="4">
        <v>192</v>
      </c>
      <c r="N782" s="4">
        <v>1624</v>
      </c>
      <c r="O782" s="5">
        <f t="shared" si="12"/>
        <v>3.723436830179435E-2</v>
      </c>
      <c r="P782" s="2" t="s">
        <v>29</v>
      </c>
    </row>
    <row r="783" spans="1:16" x14ac:dyDescent="0.25">
      <c r="A783" s="6" t="s">
        <v>1635</v>
      </c>
      <c r="B783" s="6" t="s">
        <v>1636</v>
      </c>
      <c r="C783" s="6" t="s">
        <v>32</v>
      </c>
      <c r="D783" s="7" t="s">
        <v>49</v>
      </c>
      <c r="E783" s="7" t="s">
        <v>20</v>
      </c>
      <c r="F783" s="6" t="s">
        <v>128</v>
      </c>
      <c r="G783" s="8">
        <v>313710</v>
      </c>
      <c r="H783" s="8">
        <v>28811</v>
      </c>
      <c r="I783" s="8">
        <v>23230</v>
      </c>
      <c r="J783" s="8">
        <v>1335</v>
      </c>
      <c r="K783" s="8">
        <v>151</v>
      </c>
      <c r="L783" s="8">
        <v>199</v>
      </c>
      <c r="M783" s="8">
        <v>12</v>
      </c>
      <c r="N783" s="8">
        <v>500</v>
      </c>
      <c r="O783" s="9">
        <f t="shared" si="12"/>
        <v>7.3052087817477393E-2</v>
      </c>
      <c r="P783" s="6" t="s">
        <v>29</v>
      </c>
    </row>
    <row r="784" spans="1:16" x14ac:dyDescent="0.25">
      <c r="A784" s="2" t="s">
        <v>1637</v>
      </c>
      <c r="B784" s="2" t="s">
        <v>1638</v>
      </c>
      <c r="C784" s="2" t="s">
        <v>32</v>
      </c>
      <c r="D784" s="3" t="s">
        <v>38</v>
      </c>
      <c r="E784" s="3" t="s">
        <v>45</v>
      </c>
      <c r="F784" s="2" t="s">
        <v>40</v>
      </c>
      <c r="G784" s="4">
        <v>844953</v>
      </c>
      <c r="H784" s="4">
        <v>275327</v>
      </c>
      <c r="I784" s="4">
        <v>247246</v>
      </c>
      <c r="J784" s="4">
        <v>20984</v>
      </c>
      <c r="K784" s="4">
        <v>1637</v>
      </c>
      <c r="L784" s="4">
        <v>1393</v>
      </c>
      <c r="M784" s="4">
        <v>44</v>
      </c>
      <c r="N784" s="4">
        <v>2487</v>
      </c>
      <c r="O784" s="5">
        <f t="shared" si="12"/>
        <v>9.730389975975344E-2</v>
      </c>
      <c r="P784" s="2" t="s">
        <v>29</v>
      </c>
    </row>
    <row r="785" spans="1:16" x14ac:dyDescent="0.25">
      <c r="A785" s="6" t="s">
        <v>1639</v>
      </c>
      <c r="B785" s="6" t="s">
        <v>1640</v>
      </c>
      <c r="C785" s="6" t="s">
        <v>43</v>
      </c>
      <c r="D785" s="7" t="s">
        <v>44</v>
      </c>
      <c r="E785" s="7" t="s">
        <v>34</v>
      </c>
      <c r="F785" s="6" t="s">
        <v>107</v>
      </c>
      <c r="G785" s="8">
        <v>745262</v>
      </c>
      <c r="H785" s="8">
        <v>192789</v>
      </c>
      <c r="I785" s="8">
        <v>169998</v>
      </c>
      <c r="J785" s="8">
        <v>6491</v>
      </c>
      <c r="K785" s="8">
        <v>533</v>
      </c>
      <c r="L785" s="8">
        <v>722</v>
      </c>
      <c r="M785" s="8">
        <v>35</v>
      </c>
      <c r="N785" s="8">
        <v>5712</v>
      </c>
      <c r="O785" s="9">
        <f t="shared" si="12"/>
        <v>4.577112671913787E-2</v>
      </c>
      <c r="P785" s="6" t="s">
        <v>22</v>
      </c>
    </row>
    <row r="786" spans="1:16" x14ac:dyDescent="0.25">
      <c r="A786" s="2" t="s">
        <v>1641</v>
      </c>
      <c r="B786" s="2" t="s">
        <v>1642</v>
      </c>
      <c r="C786" s="2" t="s">
        <v>32</v>
      </c>
      <c r="D786" s="3" t="s">
        <v>33</v>
      </c>
      <c r="E786" s="3" t="s">
        <v>39</v>
      </c>
      <c r="F786" s="2" t="s">
        <v>35</v>
      </c>
      <c r="G786" s="4">
        <v>622274</v>
      </c>
      <c r="H786" s="4">
        <v>387865</v>
      </c>
      <c r="I786" s="4">
        <v>273392</v>
      </c>
      <c r="J786" s="4">
        <v>18194</v>
      </c>
      <c r="K786" s="4">
        <v>2320</v>
      </c>
      <c r="L786" s="4">
        <v>2482</v>
      </c>
      <c r="M786" s="4">
        <v>30</v>
      </c>
      <c r="N786" s="4">
        <v>12034</v>
      </c>
      <c r="O786" s="5">
        <f t="shared" si="12"/>
        <v>8.4223386200035111E-2</v>
      </c>
      <c r="P786" s="2" t="s">
        <v>22</v>
      </c>
    </row>
    <row r="787" spans="1:16" x14ac:dyDescent="0.25">
      <c r="A787" s="6" t="s">
        <v>1643</v>
      </c>
      <c r="B787" s="6" t="s">
        <v>1644</v>
      </c>
      <c r="C787" s="6" t="s">
        <v>18</v>
      </c>
      <c r="D787" s="7" t="s">
        <v>92</v>
      </c>
      <c r="E787" s="7" t="s">
        <v>50</v>
      </c>
      <c r="F787" s="6" t="s">
        <v>73</v>
      </c>
      <c r="G787" s="8">
        <v>31416</v>
      </c>
      <c r="H787" s="8">
        <v>11302</v>
      </c>
      <c r="I787" s="8">
        <v>9811</v>
      </c>
      <c r="J787" s="8">
        <v>316</v>
      </c>
      <c r="K787" s="8">
        <v>28</v>
      </c>
      <c r="L787" s="8">
        <v>33</v>
      </c>
      <c r="M787" s="8">
        <v>35</v>
      </c>
      <c r="N787" s="8">
        <v>292</v>
      </c>
      <c r="O787" s="9">
        <f t="shared" si="12"/>
        <v>4.1993680562633778E-2</v>
      </c>
      <c r="P787" s="6" t="s">
        <v>22</v>
      </c>
    </row>
    <row r="788" spans="1:16" x14ac:dyDescent="0.25">
      <c r="A788" s="2" t="s">
        <v>1645</v>
      </c>
      <c r="B788" s="2" t="s">
        <v>1646</v>
      </c>
      <c r="C788" s="2" t="s">
        <v>43</v>
      </c>
      <c r="D788" s="3" t="s">
        <v>69</v>
      </c>
      <c r="E788" s="3" t="s">
        <v>20</v>
      </c>
      <c r="F788" s="2" t="s">
        <v>107</v>
      </c>
      <c r="G788" s="4">
        <v>716917</v>
      </c>
      <c r="H788" s="4">
        <v>409903</v>
      </c>
      <c r="I788" s="4">
        <v>291708</v>
      </c>
      <c r="J788" s="4">
        <v>26753</v>
      </c>
      <c r="K788" s="4">
        <v>3159</v>
      </c>
      <c r="L788" s="4">
        <v>3229</v>
      </c>
      <c r="M788" s="4">
        <v>4</v>
      </c>
      <c r="N788" s="4">
        <v>9598</v>
      </c>
      <c r="O788" s="5">
        <f t="shared" si="12"/>
        <v>0.11362389787047321</v>
      </c>
      <c r="P788" s="2" t="s">
        <v>22</v>
      </c>
    </row>
    <row r="789" spans="1:16" x14ac:dyDescent="0.25">
      <c r="A789" s="6" t="s">
        <v>1647</v>
      </c>
      <c r="B789" s="6" t="s">
        <v>1648</v>
      </c>
      <c r="C789" s="6" t="s">
        <v>25</v>
      </c>
      <c r="D789" s="7" t="s">
        <v>61</v>
      </c>
      <c r="E789" s="7" t="s">
        <v>20</v>
      </c>
      <c r="F789" s="6" t="s">
        <v>146</v>
      </c>
      <c r="G789" s="8">
        <v>33419</v>
      </c>
      <c r="H789" s="8">
        <v>12102</v>
      </c>
      <c r="I789" s="8">
        <v>9354</v>
      </c>
      <c r="J789" s="8">
        <v>310</v>
      </c>
      <c r="K789" s="8">
        <v>28</v>
      </c>
      <c r="L789" s="8">
        <v>34</v>
      </c>
      <c r="M789" s="8">
        <v>57</v>
      </c>
      <c r="N789" s="8">
        <v>352</v>
      </c>
      <c r="O789" s="9">
        <f t="shared" si="12"/>
        <v>4.5862732520846695E-2</v>
      </c>
      <c r="P789" s="6" t="s">
        <v>22</v>
      </c>
    </row>
    <row r="790" spans="1:16" x14ac:dyDescent="0.25">
      <c r="A790" s="2" t="s">
        <v>1649</v>
      </c>
      <c r="B790" s="2" t="s">
        <v>1650</v>
      </c>
      <c r="C790" s="2" t="s">
        <v>25</v>
      </c>
      <c r="D790" s="3" t="s">
        <v>145</v>
      </c>
      <c r="E790" s="3" t="s">
        <v>50</v>
      </c>
      <c r="F790" s="2" t="s">
        <v>28</v>
      </c>
      <c r="G790" s="4">
        <v>188528</v>
      </c>
      <c r="H790" s="4">
        <v>109547</v>
      </c>
      <c r="I790" s="4">
        <v>78869</v>
      </c>
      <c r="J790" s="4">
        <v>3903</v>
      </c>
      <c r="K790" s="4">
        <v>234</v>
      </c>
      <c r="L790" s="4">
        <v>256</v>
      </c>
      <c r="M790" s="4">
        <v>700</v>
      </c>
      <c r="N790" s="4">
        <v>815</v>
      </c>
      <c r="O790" s="5">
        <f t="shared" si="12"/>
        <v>6.4575435215357108E-2</v>
      </c>
      <c r="P790" s="2" t="s">
        <v>22</v>
      </c>
    </row>
    <row r="791" spans="1:16" x14ac:dyDescent="0.25">
      <c r="A791" s="6" t="s">
        <v>1651</v>
      </c>
      <c r="B791" s="6" t="s">
        <v>1652</v>
      </c>
      <c r="C791" s="6" t="s">
        <v>43</v>
      </c>
      <c r="D791" s="7" t="s">
        <v>81</v>
      </c>
      <c r="E791" s="7" t="s">
        <v>27</v>
      </c>
      <c r="F791" s="6" t="s">
        <v>70</v>
      </c>
      <c r="G791" s="8">
        <v>718373</v>
      </c>
      <c r="H791" s="8">
        <v>126471</v>
      </c>
      <c r="I791" s="8">
        <v>88879</v>
      </c>
      <c r="J791" s="8">
        <v>5009</v>
      </c>
      <c r="K791" s="8">
        <v>380</v>
      </c>
      <c r="L791" s="8">
        <v>621</v>
      </c>
      <c r="M791" s="8">
        <v>36</v>
      </c>
      <c r="N791" s="8">
        <v>2769</v>
      </c>
      <c r="O791" s="9">
        <f t="shared" si="12"/>
        <v>6.8025067788791499E-2</v>
      </c>
      <c r="P791" s="6" t="s">
        <v>29</v>
      </c>
    </row>
    <row r="792" spans="1:16" x14ac:dyDescent="0.25">
      <c r="A792" s="2" t="s">
        <v>1653</v>
      </c>
      <c r="B792" s="2" t="s">
        <v>1654</v>
      </c>
      <c r="C792" s="2" t="s">
        <v>32</v>
      </c>
      <c r="D792" s="3" t="s">
        <v>49</v>
      </c>
      <c r="E792" s="3" t="s">
        <v>27</v>
      </c>
      <c r="F792" s="2" t="s">
        <v>51</v>
      </c>
      <c r="G792" s="4">
        <v>364518</v>
      </c>
      <c r="H792" s="4">
        <v>171109</v>
      </c>
      <c r="I792" s="4">
        <v>142352</v>
      </c>
      <c r="J792" s="4">
        <v>9315</v>
      </c>
      <c r="K792" s="4">
        <v>1525</v>
      </c>
      <c r="L792" s="4">
        <v>1041</v>
      </c>
      <c r="M792" s="4">
        <v>49</v>
      </c>
      <c r="N792" s="4">
        <v>1766</v>
      </c>
      <c r="O792" s="5">
        <f t="shared" si="12"/>
        <v>8.3806339215465889E-2</v>
      </c>
      <c r="P792" s="2" t="s">
        <v>22</v>
      </c>
    </row>
    <row r="793" spans="1:16" x14ac:dyDescent="0.25">
      <c r="A793" s="6" t="s">
        <v>1655</v>
      </c>
      <c r="B793" s="6" t="s">
        <v>1656</v>
      </c>
      <c r="C793" s="6" t="s">
        <v>76</v>
      </c>
      <c r="D793" s="7" t="s">
        <v>189</v>
      </c>
      <c r="E793" s="7" t="s">
        <v>34</v>
      </c>
      <c r="F793" s="6" t="s">
        <v>78</v>
      </c>
      <c r="G793" s="8">
        <v>308087</v>
      </c>
      <c r="H793" s="8">
        <v>144593</v>
      </c>
      <c r="I793" s="8">
        <v>117708</v>
      </c>
      <c r="J793" s="8">
        <v>10701</v>
      </c>
      <c r="K793" s="8">
        <v>1119</v>
      </c>
      <c r="L793" s="8">
        <v>1053</v>
      </c>
      <c r="M793" s="8">
        <v>2669</v>
      </c>
      <c r="N793" s="8">
        <v>4713</v>
      </c>
      <c r="O793" s="9">
        <f t="shared" si="12"/>
        <v>0.13203860400312639</v>
      </c>
      <c r="P793" s="6" t="s">
        <v>66</v>
      </c>
    </row>
    <row r="794" spans="1:16" x14ac:dyDescent="0.25">
      <c r="A794" s="2" t="s">
        <v>1657</v>
      </c>
      <c r="B794" s="2" t="s">
        <v>1658</v>
      </c>
      <c r="C794" s="2" t="s">
        <v>32</v>
      </c>
      <c r="D794" s="3" t="s">
        <v>175</v>
      </c>
      <c r="E794" s="3" t="s">
        <v>45</v>
      </c>
      <c r="F794" s="2" t="s">
        <v>128</v>
      </c>
      <c r="G794" s="4">
        <v>357279</v>
      </c>
      <c r="H794" s="4">
        <v>57374</v>
      </c>
      <c r="I794" s="4">
        <v>46356</v>
      </c>
      <c r="J794" s="4">
        <v>3880</v>
      </c>
      <c r="K794" s="4">
        <v>140</v>
      </c>
      <c r="L794" s="4">
        <v>107</v>
      </c>
      <c r="M794" s="4">
        <v>30</v>
      </c>
      <c r="N794" s="4">
        <v>1682</v>
      </c>
      <c r="O794" s="5">
        <f t="shared" si="12"/>
        <v>8.9675554405039257E-2</v>
      </c>
      <c r="P794" s="2" t="s">
        <v>66</v>
      </c>
    </row>
    <row r="795" spans="1:16" x14ac:dyDescent="0.25">
      <c r="A795" s="6" t="s">
        <v>1659</v>
      </c>
      <c r="B795" s="6" t="s">
        <v>1660</v>
      </c>
      <c r="C795" s="6" t="s">
        <v>43</v>
      </c>
      <c r="D795" s="7" t="s">
        <v>81</v>
      </c>
      <c r="E795" s="7" t="s">
        <v>45</v>
      </c>
      <c r="F795" s="6" t="s">
        <v>107</v>
      </c>
      <c r="G795" s="8">
        <v>338624</v>
      </c>
      <c r="H795" s="8">
        <v>135757</v>
      </c>
      <c r="I795" s="8">
        <v>110916</v>
      </c>
      <c r="J795" s="8">
        <v>5925</v>
      </c>
      <c r="K795" s="8">
        <v>663</v>
      </c>
      <c r="L795" s="8">
        <v>273</v>
      </c>
      <c r="M795" s="8">
        <v>20</v>
      </c>
      <c r="N795" s="8">
        <v>1230</v>
      </c>
      <c r="O795" s="9">
        <f t="shared" si="12"/>
        <v>6.2037938620217101E-2</v>
      </c>
      <c r="P795" s="6" t="s">
        <v>29</v>
      </c>
    </row>
    <row r="796" spans="1:16" x14ac:dyDescent="0.25">
      <c r="A796" s="2" t="s">
        <v>1661</v>
      </c>
      <c r="B796" s="2" t="s">
        <v>1662</v>
      </c>
      <c r="C796" s="2" t="s">
        <v>32</v>
      </c>
      <c r="D796" s="3" t="s">
        <v>121</v>
      </c>
      <c r="E796" s="3" t="s">
        <v>34</v>
      </c>
      <c r="F796" s="2" t="s">
        <v>35</v>
      </c>
      <c r="G796" s="4">
        <v>27491</v>
      </c>
      <c r="H796" s="4">
        <v>7237</v>
      </c>
      <c r="I796" s="4">
        <v>6036</v>
      </c>
      <c r="J796" s="4">
        <v>277</v>
      </c>
      <c r="K796" s="4">
        <v>49</v>
      </c>
      <c r="L796" s="4">
        <v>33</v>
      </c>
      <c r="M796" s="4">
        <v>49</v>
      </c>
      <c r="N796" s="4">
        <v>184</v>
      </c>
      <c r="O796" s="5">
        <f t="shared" si="12"/>
        <v>6.7594433399602388E-2</v>
      </c>
      <c r="P796" s="2" t="s">
        <v>22</v>
      </c>
    </row>
    <row r="797" spans="1:16" x14ac:dyDescent="0.25">
      <c r="A797" s="6" t="s">
        <v>1663</v>
      </c>
      <c r="B797" s="6" t="s">
        <v>1664</v>
      </c>
      <c r="C797" s="6" t="s">
        <v>18</v>
      </c>
      <c r="D797" s="7" t="s">
        <v>92</v>
      </c>
      <c r="E797" s="7" t="s">
        <v>45</v>
      </c>
      <c r="F797" s="6" t="s">
        <v>73</v>
      </c>
      <c r="G797" s="8">
        <v>571653</v>
      </c>
      <c r="H797" s="8">
        <v>147933</v>
      </c>
      <c r="I797" s="8">
        <v>120941</v>
      </c>
      <c r="J797" s="8">
        <v>3377</v>
      </c>
      <c r="K797" s="8">
        <v>254</v>
      </c>
      <c r="L797" s="8">
        <v>150</v>
      </c>
      <c r="M797" s="8">
        <v>820</v>
      </c>
      <c r="N797" s="8">
        <v>972</v>
      </c>
      <c r="O797" s="9">
        <f t="shared" si="12"/>
        <v>3.804334344845834E-2</v>
      </c>
      <c r="P797" s="6" t="s">
        <v>29</v>
      </c>
    </row>
    <row r="798" spans="1:16" x14ac:dyDescent="0.25">
      <c r="A798" s="2" t="s">
        <v>1665</v>
      </c>
      <c r="B798" s="2" t="s">
        <v>1666</v>
      </c>
      <c r="C798" s="2" t="s">
        <v>43</v>
      </c>
      <c r="D798" s="3" t="s">
        <v>44</v>
      </c>
      <c r="E798" s="3" t="s">
        <v>27</v>
      </c>
      <c r="F798" s="2" t="s">
        <v>46</v>
      </c>
      <c r="G798" s="4">
        <v>716720</v>
      </c>
      <c r="H798" s="4">
        <v>429370</v>
      </c>
      <c r="I798" s="4">
        <v>343749</v>
      </c>
      <c r="J798" s="4">
        <v>13371</v>
      </c>
      <c r="K798" s="4">
        <v>845</v>
      </c>
      <c r="L798" s="4">
        <v>824</v>
      </c>
      <c r="M798" s="4">
        <v>45</v>
      </c>
      <c r="N798" s="4">
        <v>4769</v>
      </c>
      <c r="O798" s="5">
        <f t="shared" si="12"/>
        <v>4.3883764025495348E-2</v>
      </c>
      <c r="P798" s="2" t="s">
        <v>22</v>
      </c>
    </row>
    <row r="799" spans="1:16" x14ac:dyDescent="0.25">
      <c r="A799" s="6" t="s">
        <v>1667</v>
      </c>
      <c r="B799" s="6" t="s">
        <v>1668</v>
      </c>
      <c r="C799" s="6" t="s">
        <v>32</v>
      </c>
      <c r="D799" s="7" t="s">
        <v>49</v>
      </c>
      <c r="E799" s="7" t="s">
        <v>45</v>
      </c>
      <c r="F799" s="6" t="s">
        <v>128</v>
      </c>
      <c r="G799" s="8">
        <v>307050</v>
      </c>
      <c r="H799" s="8">
        <v>792724</v>
      </c>
      <c r="I799" s="8">
        <v>714524</v>
      </c>
      <c r="J799" s="8">
        <v>31586</v>
      </c>
      <c r="K799" s="8">
        <v>1786</v>
      </c>
      <c r="L799" s="8">
        <v>2232</v>
      </c>
      <c r="M799" s="8">
        <v>14</v>
      </c>
      <c r="N799" s="8">
        <v>12805</v>
      </c>
      <c r="O799" s="9">
        <f t="shared" si="12"/>
        <v>4.9848570516875572E-2</v>
      </c>
      <c r="P799" s="6" t="s">
        <v>29</v>
      </c>
    </row>
    <row r="800" spans="1:16" x14ac:dyDescent="0.25">
      <c r="A800" s="2" t="s">
        <v>1669</v>
      </c>
      <c r="B800" s="2" t="s">
        <v>1670</v>
      </c>
      <c r="C800" s="2" t="s">
        <v>25</v>
      </c>
      <c r="D800" s="3" t="s">
        <v>61</v>
      </c>
      <c r="E800" s="3" t="s">
        <v>45</v>
      </c>
      <c r="F800" s="2" t="s">
        <v>28</v>
      </c>
      <c r="G800" s="4">
        <v>445880</v>
      </c>
      <c r="H800" s="4">
        <v>216161</v>
      </c>
      <c r="I800" s="4">
        <v>166042</v>
      </c>
      <c r="J800" s="4">
        <v>16518</v>
      </c>
      <c r="K800" s="4">
        <v>2114</v>
      </c>
      <c r="L800" s="4">
        <v>2292</v>
      </c>
      <c r="M800" s="4">
        <v>2177</v>
      </c>
      <c r="N800" s="4">
        <v>1147</v>
      </c>
      <c r="O800" s="5">
        <f t="shared" si="12"/>
        <v>0.13912744968140592</v>
      </c>
      <c r="P800" s="2" t="s">
        <v>29</v>
      </c>
    </row>
    <row r="801" spans="1:16" x14ac:dyDescent="0.25">
      <c r="A801" s="6" t="s">
        <v>1671</v>
      </c>
      <c r="B801" s="6" t="s">
        <v>1672</v>
      </c>
      <c r="C801" s="6" t="s">
        <v>25</v>
      </c>
      <c r="D801" s="7" t="s">
        <v>26</v>
      </c>
      <c r="E801" s="7" t="s">
        <v>50</v>
      </c>
      <c r="F801" s="6" t="s">
        <v>54</v>
      </c>
      <c r="G801" s="8">
        <v>659471</v>
      </c>
      <c r="H801" s="8">
        <v>68469</v>
      </c>
      <c r="I801" s="8">
        <v>54693</v>
      </c>
      <c r="J801" s="8">
        <v>4092</v>
      </c>
      <c r="K801" s="8">
        <v>259</v>
      </c>
      <c r="L801" s="8">
        <v>421</v>
      </c>
      <c r="M801" s="8">
        <v>298</v>
      </c>
      <c r="N801" s="8">
        <v>2195</v>
      </c>
      <c r="O801" s="9">
        <f t="shared" si="12"/>
        <v>9.2699248532718992E-2</v>
      </c>
      <c r="P801" s="6" t="s">
        <v>22</v>
      </c>
    </row>
    <row r="802" spans="1:16" x14ac:dyDescent="0.25">
      <c r="A802" s="2" t="s">
        <v>1673</v>
      </c>
      <c r="B802" s="2" t="s">
        <v>1674</v>
      </c>
      <c r="C802" s="2" t="s">
        <v>18</v>
      </c>
      <c r="D802" s="3" t="s">
        <v>57</v>
      </c>
      <c r="E802" s="3" t="s">
        <v>50</v>
      </c>
      <c r="F802" s="2" t="s">
        <v>73</v>
      </c>
      <c r="G802" s="4">
        <v>302853</v>
      </c>
      <c r="H802" s="4">
        <v>122643</v>
      </c>
      <c r="I802" s="4">
        <v>106382</v>
      </c>
      <c r="J802" s="4">
        <v>5358</v>
      </c>
      <c r="K802" s="4">
        <v>872</v>
      </c>
      <c r="L802" s="4">
        <v>247</v>
      </c>
      <c r="M802" s="4">
        <v>360</v>
      </c>
      <c r="N802" s="4">
        <v>3727</v>
      </c>
      <c r="O802" s="5">
        <f t="shared" si="12"/>
        <v>6.4268391269199671E-2</v>
      </c>
      <c r="P802" s="2" t="s">
        <v>22</v>
      </c>
    </row>
    <row r="803" spans="1:16" x14ac:dyDescent="0.25">
      <c r="A803" s="6" t="s">
        <v>1675</v>
      </c>
      <c r="B803" s="6" t="s">
        <v>1676</v>
      </c>
      <c r="C803" s="6" t="s">
        <v>76</v>
      </c>
      <c r="D803" s="7" t="s">
        <v>77</v>
      </c>
      <c r="E803" s="7" t="s">
        <v>20</v>
      </c>
      <c r="F803" s="6" t="s">
        <v>87</v>
      </c>
      <c r="G803" s="8">
        <v>409414</v>
      </c>
      <c r="H803" s="8">
        <v>210704</v>
      </c>
      <c r="I803" s="8">
        <v>150617</v>
      </c>
      <c r="J803" s="8">
        <v>9725</v>
      </c>
      <c r="K803" s="8">
        <v>832</v>
      </c>
      <c r="L803" s="8">
        <v>1127</v>
      </c>
      <c r="M803" s="8">
        <v>1345</v>
      </c>
      <c r="N803" s="8">
        <v>5915</v>
      </c>
      <c r="O803" s="9">
        <f t="shared" si="12"/>
        <v>8.6504179475092452E-2</v>
      </c>
      <c r="P803" s="6" t="s">
        <v>29</v>
      </c>
    </row>
    <row r="804" spans="1:16" x14ac:dyDescent="0.25">
      <c r="A804" s="2" t="s">
        <v>1677</v>
      </c>
      <c r="B804" s="2" t="s">
        <v>1678</v>
      </c>
      <c r="C804" s="2" t="s">
        <v>18</v>
      </c>
      <c r="D804" s="3" t="s">
        <v>226</v>
      </c>
      <c r="E804" s="3" t="s">
        <v>27</v>
      </c>
      <c r="F804" s="2" t="s">
        <v>21</v>
      </c>
      <c r="G804" s="4">
        <v>162628</v>
      </c>
      <c r="H804" s="4">
        <v>101111</v>
      </c>
      <c r="I804" s="4">
        <v>78565</v>
      </c>
      <c r="J804" s="4">
        <v>3239</v>
      </c>
      <c r="K804" s="4">
        <v>410</v>
      </c>
      <c r="L804" s="4">
        <v>229</v>
      </c>
      <c r="M804" s="4">
        <v>261</v>
      </c>
      <c r="N804" s="4">
        <v>1390</v>
      </c>
      <c r="O804" s="5">
        <f t="shared" si="12"/>
        <v>5.268249220390759E-2</v>
      </c>
      <c r="P804" s="2" t="s">
        <v>22</v>
      </c>
    </row>
    <row r="805" spans="1:16" x14ac:dyDescent="0.25">
      <c r="A805" s="6" t="s">
        <v>1679</v>
      </c>
      <c r="B805" s="6" t="s">
        <v>1680</v>
      </c>
      <c r="C805" s="6" t="s">
        <v>32</v>
      </c>
      <c r="D805" s="7" t="s">
        <v>175</v>
      </c>
      <c r="E805" s="7" t="s">
        <v>39</v>
      </c>
      <c r="F805" s="6" t="s">
        <v>128</v>
      </c>
      <c r="G805" s="8">
        <v>260214</v>
      </c>
      <c r="H805" s="8">
        <v>63505</v>
      </c>
      <c r="I805" s="8">
        <v>46456</v>
      </c>
      <c r="J805" s="8">
        <v>4943</v>
      </c>
      <c r="K805" s="8">
        <v>190</v>
      </c>
      <c r="L805" s="8">
        <v>538</v>
      </c>
      <c r="M805" s="8">
        <v>26</v>
      </c>
      <c r="N805" s="8">
        <v>1304</v>
      </c>
      <c r="O805" s="9">
        <f t="shared" si="12"/>
        <v>0.12263216807301533</v>
      </c>
      <c r="P805" s="6" t="s">
        <v>22</v>
      </c>
    </row>
    <row r="806" spans="1:16" x14ac:dyDescent="0.25">
      <c r="A806" s="2" t="s">
        <v>1681</v>
      </c>
      <c r="B806" s="2" t="s">
        <v>1682</v>
      </c>
      <c r="C806" s="2" t="s">
        <v>18</v>
      </c>
      <c r="D806" s="3" t="s">
        <v>231</v>
      </c>
      <c r="E806" s="3" t="s">
        <v>34</v>
      </c>
      <c r="F806" s="2" t="s">
        <v>21</v>
      </c>
      <c r="G806" s="4">
        <v>111334</v>
      </c>
      <c r="H806" s="4">
        <v>9281</v>
      </c>
      <c r="I806" s="4">
        <v>7645</v>
      </c>
      <c r="J806" s="4">
        <v>638</v>
      </c>
      <c r="K806" s="4">
        <v>92</v>
      </c>
      <c r="L806" s="4">
        <v>22</v>
      </c>
      <c r="M806" s="4">
        <v>60</v>
      </c>
      <c r="N806" s="4">
        <v>221</v>
      </c>
      <c r="O806" s="5">
        <f t="shared" si="12"/>
        <v>0.10621321124918247</v>
      </c>
      <c r="P806" s="2" t="s">
        <v>22</v>
      </c>
    </row>
    <row r="807" spans="1:16" x14ac:dyDescent="0.25">
      <c r="A807" s="6" t="s">
        <v>1683</v>
      </c>
      <c r="B807" s="6" t="s">
        <v>1684</v>
      </c>
      <c r="C807" s="6" t="s">
        <v>32</v>
      </c>
      <c r="D807" s="7" t="s">
        <v>33</v>
      </c>
      <c r="E807" s="7" t="s">
        <v>45</v>
      </c>
      <c r="F807" s="6" t="s">
        <v>35</v>
      </c>
      <c r="G807" s="8">
        <v>298689</v>
      </c>
      <c r="H807" s="8">
        <v>89743</v>
      </c>
      <c r="I807" s="8">
        <v>67512</v>
      </c>
      <c r="J807" s="8">
        <v>4436</v>
      </c>
      <c r="K807" s="8">
        <v>299</v>
      </c>
      <c r="L807" s="8">
        <v>653</v>
      </c>
      <c r="M807" s="8">
        <v>40</v>
      </c>
      <c r="N807" s="8">
        <v>1673</v>
      </c>
      <c r="O807" s="9">
        <f t="shared" si="12"/>
        <v>8.0400521388790142E-2</v>
      </c>
      <c r="P807" s="6" t="s">
        <v>66</v>
      </c>
    </row>
    <row r="808" spans="1:16" x14ac:dyDescent="0.25">
      <c r="A808" s="2" t="s">
        <v>1685</v>
      </c>
      <c r="B808" s="2" t="s">
        <v>1686</v>
      </c>
      <c r="C808" s="2" t="s">
        <v>18</v>
      </c>
      <c r="D808" s="3" t="s">
        <v>19</v>
      </c>
      <c r="E808" s="3" t="s">
        <v>20</v>
      </c>
      <c r="F808" s="2" t="s">
        <v>58</v>
      </c>
      <c r="G808" s="4">
        <v>670540</v>
      </c>
      <c r="H808" s="4">
        <v>421724</v>
      </c>
      <c r="I808" s="4">
        <v>387906</v>
      </c>
      <c r="J808" s="4">
        <v>30750</v>
      </c>
      <c r="K808" s="4">
        <v>2620</v>
      </c>
      <c r="L808" s="4">
        <v>698</v>
      </c>
      <c r="M808" s="4">
        <v>6491</v>
      </c>
      <c r="N808" s="4">
        <v>3930</v>
      </c>
      <c r="O808" s="5">
        <f t="shared" si="12"/>
        <v>0.10455883641913247</v>
      </c>
      <c r="P808" s="2" t="s">
        <v>22</v>
      </c>
    </row>
    <row r="809" spans="1:16" x14ac:dyDescent="0.25">
      <c r="A809" s="6" t="s">
        <v>1687</v>
      </c>
      <c r="B809" s="6" t="s">
        <v>1688</v>
      </c>
      <c r="C809" s="6" t="s">
        <v>32</v>
      </c>
      <c r="D809" s="7" t="s">
        <v>49</v>
      </c>
      <c r="E809" s="7" t="s">
        <v>45</v>
      </c>
      <c r="F809" s="6" t="s">
        <v>40</v>
      </c>
      <c r="G809" s="8">
        <v>220709</v>
      </c>
      <c r="H809" s="8">
        <v>70637</v>
      </c>
      <c r="I809" s="8">
        <v>56603</v>
      </c>
      <c r="J809" s="8">
        <v>3329</v>
      </c>
      <c r="K809" s="8">
        <v>575</v>
      </c>
      <c r="L809" s="8">
        <v>267</v>
      </c>
      <c r="M809" s="8">
        <v>21</v>
      </c>
      <c r="N809" s="8">
        <v>1044</v>
      </c>
      <c r="O809" s="9">
        <f t="shared" si="12"/>
        <v>7.4059678815610486E-2</v>
      </c>
      <c r="P809" s="6" t="s">
        <v>22</v>
      </c>
    </row>
    <row r="810" spans="1:16" x14ac:dyDescent="0.25">
      <c r="A810" s="2" t="s">
        <v>1689</v>
      </c>
      <c r="B810" s="2" t="s">
        <v>1690</v>
      </c>
      <c r="C810" s="2" t="s">
        <v>25</v>
      </c>
      <c r="D810" s="3" t="s">
        <v>64</v>
      </c>
      <c r="E810" s="3" t="s">
        <v>27</v>
      </c>
      <c r="F810" s="2" t="s">
        <v>146</v>
      </c>
      <c r="G810" s="4">
        <v>767233</v>
      </c>
      <c r="H810" s="4">
        <v>332027</v>
      </c>
      <c r="I810" s="4">
        <v>272463</v>
      </c>
      <c r="J810" s="4">
        <v>21860</v>
      </c>
      <c r="K810" s="4">
        <v>1994</v>
      </c>
      <c r="L810" s="4">
        <v>2267</v>
      </c>
      <c r="M810" s="4">
        <v>2026</v>
      </c>
      <c r="N810" s="4">
        <v>3067</v>
      </c>
      <c r="O810" s="5">
        <f t="shared" si="12"/>
        <v>0.10330576995775573</v>
      </c>
      <c r="P810" s="2" t="s">
        <v>22</v>
      </c>
    </row>
    <row r="811" spans="1:16" x14ac:dyDescent="0.25">
      <c r="A811" s="6" t="s">
        <v>1691</v>
      </c>
      <c r="B811" s="6" t="s">
        <v>1692</v>
      </c>
      <c r="C811" s="6" t="s">
        <v>43</v>
      </c>
      <c r="D811" s="7" t="s">
        <v>69</v>
      </c>
      <c r="E811" s="7" t="s">
        <v>34</v>
      </c>
      <c r="F811" s="6" t="s">
        <v>70</v>
      </c>
      <c r="G811" s="8">
        <v>230227</v>
      </c>
      <c r="H811" s="8">
        <v>135202</v>
      </c>
      <c r="I811" s="8">
        <v>106071</v>
      </c>
      <c r="J811" s="8">
        <v>6902</v>
      </c>
      <c r="K811" s="8">
        <v>393</v>
      </c>
      <c r="L811" s="8">
        <v>535</v>
      </c>
      <c r="M811" s="8">
        <v>44</v>
      </c>
      <c r="N811" s="8">
        <v>1513</v>
      </c>
      <c r="O811" s="9">
        <f t="shared" si="12"/>
        <v>7.4233296565508006E-2</v>
      </c>
      <c r="P811" s="6" t="s">
        <v>22</v>
      </c>
    </row>
    <row r="812" spans="1:16" x14ac:dyDescent="0.25">
      <c r="A812" s="2" t="s">
        <v>1693</v>
      </c>
      <c r="B812" s="2" t="s">
        <v>1694</v>
      </c>
      <c r="C812" s="2" t="s">
        <v>43</v>
      </c>
      <c r="D812" s="3" t="s">
        <v>44</v>
      </c>
      <c r="E812" s="3" t="s">
        <v>45</v>
      </c>
      <c r="F812" s="2" t="s">
        <v>46</v>
      </c>
      <c r="G812" s="4">
        <v>605503</v>
      </c>
      <c r="H812" s="4">
        <v>116711</v>
      </c>
      <c r="I812" s="4">
        <v>89824</v>
      </c>
      <c r="J812" s="4">
        <v>4054</v>
      </c>
      <c r="K812" s="4">
        <v>570</v>
      </c>
      <c r="L812" s="4">
        <v>482</v>
      </c>
      <c r="M812" s="4">
        <v>31</v>
      </c>
      <c r="N812" s="4">
        <v>1690</v>
      </c>
      <c r="O812" s="5">
        <f t="shared" si="12"/>
        <v>5.7189615247595298E-2</v>
      </c>
      <c r="P812" s="2" t="s">
        <v>66</v>
      </c>
    </row>
    <row r="813" spans="1:16" x14ac:dyDescent="0.25">
      <c r="A813" s="6" t="s">
        <v>1695</v>
      </c>
      <c r="B813" s="6" t="s">
        <v>1696</v>
      </c>
      <c r="C813" s="6" t="s">
        <v>76</v>
      </c>
      <c r="D813" s="7" t="s">
        <v>77</v>
      </c>
      <c r="E813" s="7" t="s">
        <v>34</v>
      </c>
      <c r="F813" s="6" t="s">
        <v>87</v>
      </c>
      <c r="G813" s="8">
        <v>25008</v>
      </c>
      <c r="H813" s="8">
        <v>134546</v>
      </c>
      <c r="I813" s="8">
        <v>103994</v>
      </c>
      <c r="J813" s="8">
        <v>3417</v>
      </c>
      <c r="K813" s="8">
        <v>579</v>
      </c>
      <c r="L813" s="8">
        <v>226</v>
      </c>
      <c r="M813" s="8">
        <v>679</v>
      </c>
      <c r="N813" s="8">
        <v>4539</v>
      </c>
      <c r="O813" s="9">
        <f t="shared" si="12"/>
        <v>4.712771890686001E-2</v>
      </c>
      <c r="P813" s="6" t="s">
        <v>22</v>
      </c>
    </row>
    <row r="814" spans="1:16" x14ac:dyDescent="0.25">
      <c r="A814" s="2" t="s">
        <v>1697</v>
      </c>
      <c r="B814" s="2" t="s">
        <v>1698</v>
      </c>
      <c r="C814" s="2" t="s">
        <v>18</v>
      </c>
      <c r="D814" s="3" t="s">
        <v>92</v>
      </c>
      <c r="E814" s="3" t="s">
        <v>39</v>
      </c>
      <c r="F814" s="2" t="s">
        <v>58</v>
      </c>
      <c r="G814" s="4">
        <v>357569</v>
      </c>
      <c r="H814" s="4">
        <v>87658</v>
      </c>
      <c r="I814" s="4">
        <v>76833</v>
      </c>
      <c r="J814" s="4">
        <v>2593</v>
      </c>
      <c r="K814" s="4">
        <v>420</v>
      </c>
      <c r="L814" s="4">
        <v>106</v>
      </c>
      <c r="M814" s="4">
        <v>191</v>
      </c>
      <c r="N814" s="4">
        <v>2831</v>
      </c>
      <c r="O814" s="5">
        <f t="shared" si="12"/>
        <v>4.3080447203675501E-2</v>
      </c>
      <c r="P814" s="2" t="s">
        <v>22</v>
      </c>
    </row>
    <row r="815" spans="1:16" x14ac:dyDescent="0.25">
      <c r="A815" s="6" t="s">
        <v>1699</v>
      </c>
      <c r="B815" s="6" t="s">
        <v>1700</v>
      </c>
      <c r="C815" s="6" t="s">
        <v>18</v>
      </c>
      <c r="D815" s="7" t="s">
        <v>19</v>
      </c>
      <c r="E815" s="7" t="s">
        <v>34</v>
      </c>
      <c r="F815" s="6" t="s">
        <v>73</v>
      </c>
      <c r="G815" s="8">
        <v>156269</v>
      </c>
      <c r="H815" s="8">
        <v>21147</v>
      </c>
      <c r="I815" s="8">
        <v>15433</v>
      </c>
      <c r="J815" s="8">
        <v>906</v>
      </c>
      <c r="K815" s="8">
        <v>78</v>
      </c>
      <c r="L815" s="8">
        <v>38</v>
      </c>
      <c r="M815" s="8">
        <v>48</v>
      </c>
      <c r="N815" s="8">
        <v>542</v>
      </c>
      <c r="O815" s="9">
        <f t="shared" si="12"/>
        <v>6.9331951014060783E-2</v>
      </c>
      <c r="P815" s="6" t="s">
        <v>29</v>
      </c>
    </row>
    <row r="816" spans="1:16" x14ac:dyDescent="0.25">
      <c r="A816" s="2" t="s">
        <v>1701</v>
      </c>
      <c r="B816" s="2" t="s">
        <v>1702</v>
      </c>
      <c r="C816" s="2" t="s">
        <v>32</v>
      </c>
      <c r="D816" s="3" t="s">
        <v>175</v>
      </c>
      <c r="E816" s="3" t="s">
        <v>39</v>
      </c>
      <c r="F816" s="2" t="s">
        <v>40</v>
      </c>
      <c r="G816" s="4">
        <v>358781</v>
      </c>
      <c r="H816" s="4">
        <v>209994</v>
      </c>
      <c r="I816" s="4">
        <v>155183</v>
      </c>
      <c r="J816" s="4">
        <v>12062</v>
      </c>
      <c r="K816" s="4">
        <v>1587</v>
      </c>
      <c r="L816" s="4">
        <v>1678</v>
      </c>
      <c r="M816" s="4">
        <v>7</v>
      </c>
      <c r="N816" s="4">
        <v>7305</v>
      </c>
      <c r="O816" s="5">
        <f t="shared" si="12"/>
        <v>9.8812369911652695E-2</v>
      </c>
      <c r="P816" s="2" t="s">
        <v>29</v>
      </c>
    </row>
    <row r="817" spans="1:16" x14ac:dyDescent="0.25">
      <c r="A817" s="6" t="s">
        <v>1703</v>
      </c>
      <c r="B817" s="6" t="s">
        <v>1704</v>
      </c>
      <c r="C817" s="6" t="s">
        <v>18</v>
      </c>
      <c r="D817" s="7" t="s">
        <v>226</v>
      </c>
      <c r="E817" s="7" t="s">
        <v>50</v>
      </c>
      <c r="F817" s="6" t="s">
        <v>73</v>
      </c>
      <c r="G817" s="8">
        <v>840645</v>
      </c>
      <c r="H817" s="8">
        <v>365227</v>
      </c>
      <c r="I817" s="8">
        <v>289224</v>
      </c>
      <c r="J817" s="8">
        <v>11009</v>
      </c>
      <c r="K817" s="8">
        <v>1735</v>
      </c>
      <c r="L817" s="8">
        <v>494</v>
      </c>
      <c r="M817" s="8">
        <v>1167</v>
      </c>
      <c r="N817" s="8">
        <v>7528</v>
      </c>
      <c r="O817" s="9">
        <f t="shared" si="12"/>
        <v>4.9805686941609272E-2</v>
      </c>
      <c r="P817" s="6" t="s">
        <v>66</v>
      </c>
    </row>
    <row r="818" spans="1:16" x14ac:dyDescent="0.25">
      <c r="A818" s="2" t="s">
        <v>1705</v>
      </c>
      <c r="B818" s="2" t="s">
        <v>1706</v>
      </c>
      <c r="C818" s="2" t="s">
        <v>76</v>
      </c>
      <c r="D818" s="3" t="s">
        <v>86</v>
      </c>
      <c r="E818" s="3" t="s">
        <v>45</v>
      </c>
      <c r="F818" s="2" t="s">
        <v>78</v>
      </c>
      <c r="G818" s="4">
        <v>278394</v>
      </c>
      <c r="H818" s="4">
        <v>90973</v>
      </c>
      <c r="I818" s="4">
        <v>69141</v>
      </c>
      <c r="J818" s="4">
        <v>7251</v>
      </c>
      <c r="K818" s="4">
        <v>931</v>
      </c>
      <c r="L818" s="4">
        <v>766</v>
      </c>
      <c r="M818" s="4">
        <v>845</v>
      </c>
      <c r="N818" s="4">
        <v>540</v>
      </c>
      <c r="O818" s="5">
        <f t="shared" si="12"/>
        <v>0.14163810184984307</v>
      </c>
      <c r="P818" s="2" t="s">
        <v>29</v>
      </c>
    </row>
    <row r="819" spans="1:16" x14ac:dyDescent="0.25">
      <c r="A819" s="6" t="s">
        <v>1707</v>
      </c>
      <c r="B819" s="6" t="s">
        <v>1708</v>
      </c>
      <c r="C819" s="6" t="s">
        <v>76</v>
      </c>
      <c r="D819" s="7" t="s">
        <v>103</v>
      </c>
      <c r="E819" s="7" t="s">
        <v>39</v>
      </c>
      <c r="F819" s="6" t="s">
        <v>155</v>
      </c>
      <c r="G819" s="8">
        <v>495457</v>
      </c>
      <c r="H819" s="8">
        <v>49798</v>
      </c>
      <c r="I819" s="8">
        <v>37819</v>
      </c>
      <c r="J819" s="8">
        <v>2116</v>
      </c>
      <c r="K819" s="8">
        <v>179</v>
      </c>
      <c r="L819" s="8">
        <v>183</v>
      </c>
      <c r="M819" s="8">
        <v>526</v>
      </c>
      <c r="N819" s="8">
        <v>883</v>
      </c>
      <c r="O819" s="9">
        <f t="shared" si="12"/>
        <v>7.9430973849123454E-2</v>
      </c>
      <c r="P819" s="6" t="s">
        <v>29</v>
      </c>
    </row>
    <row r="820" spans="1:16" x14ac:dyDescent="0.25">
      <c r="A820" s="2" t="s">
        <v>1709</v>
      </c>
      <c r="B820" s="2" t="s">
        <v>1710</v>
      </c>
      <c r="C820" s="2" t="s">
        <v>43</v>
      </c>
      <c r="D820" s="3" t="s">
        <v>44</v>
      </c>
      <c r="E820" s="3" t="s">
        <v>39</v>
      </c>
      <c r="F820" s="2" t="s">
        <v>46</v>
      </c>
      <c r="G820" s="4">
        <v>282126</v>
      </c>
      <c r="H820" s="4">
        <v>94915</v>
      </c>
      <c r="I820" s="4">
        <v>68211</v>
      </c>
      <c r="J820" s="4">
        <v>5692</v>
      </c>
      <c r="K820" s="4">
        <v>442</v>
      </c>
      <c r="L820" s="4">
        <v>490</v>
      </c>
      <c r="M820" s="4">
        <v>7</v>
      </c>
      <c r="N820" s="4">
        <v>540</v>
      </c>
      <c r="O820" s="5">
        <f t="shared" si="12"/>
        <v>9.7213059477210415E-2</v>
      </c>
      <c r="P820" s="2" t="s">
        <v>22</v>
      </c>
    </row>
    <row r="821" spans="1:16" x14ac:dyDescent="0.25">
      <c r="A821" s="6" t="s">
        <v>1711</v>
      </c>
      <c r="B821" s="6" t="s">
        <v>1712</v>
      </c>
      <c r="C821" s="6" t="s">
        <v>25</v>
      </c>
      <c r="D821" s="7" t="s">
        <v>244</v>
      </c>
      <c r="E821" s="7" t="s">
        <v>34</v>
      </c>
      <c r="F821" s="6" t="s">
        <v>146</v>
      </c>
      <c r="G821" s="8">
        <v>602189</v>
      </c>
      <c r="H821" s="8">
        <v>315522</v>
      </c>
      <c r="I821" s="8">
        <v>221534</v>
      </c>
      <c r="J821" s="8">
        <v>6565</v>
      </c>
      <c r="K821" s="8">
        <v>991</v>
      </c>
      <c r="L821" s="8">
        <v>873</v>
      </c>
      <c r="M821" s="8">
        <v>1138</v>
      </c>
      <c r="N821" s="8">
        <v>3056</v>
      </c>
      <c r="O821" s="9">
        <f t="shared" si="12"/>
        <v>4.3185244702844711E-2</v>
      </c>
      <c r="P821" s="6" t="s">
        <v>29</v>
      </c>
    </row>
    <row r="822" spans="1:16" x14ac:dyDescent="0.25">
      <c r="A822" s="2" t="s">
        <v>1713</v>
      </c>
      <c r="B822" s="2" t="s">
        <v>1714</v>
      </c>
      <c r="C822" s="2" t="s">
        <v>18</v>
      </c>
      <c r="D822" s="3" t="s">
        <v>226</v>
      </c>
      <c r="E822" s="3" t="s">
        <v>27</v>
      </c>
      <c r="F822" s="2" t="s">
        <v>21</v>
      </c>
      <c r="G822" s="4">
        <v>61394</v>
      </c>
      <c r="H822" s="4">
        <v>11893</v>
      </c>
      <c r="I822" s="4">
        <v>10749</v>
      </c>
      <c r="J822" s="4">
        <v>370</v>
      </c>
      <c r="K822" s="4">
        <v>50</v>
      </c>
      <c r="L822" s="4">
        <v>11</v>
      </c>
      <c r="M822" s="4">
        <v>50</v>
      </c>
      <c r="N822" s="4">
        <v>304</v>
      </c>
      <c r="O822" s="5">
        <f t="shared" si="12"/>
        <v>4.4748348683598477E-2</v>
      </c>
      <c r="P822" s="2" t="s">
        <v>22</v>
      </c>
    </row>
    <row r="823" spans="1:16" x14ac:dyDescent="0.25">
      <c r="A823" s="6" t="s">
        <v>1715</v>
      </c>
      <c r="B823" s="6" t="s">
        <v>1716</v>
      </c>
      <c r="C823" s="6" t="s">
        <v>43</v>
      </c>
      <c r="D823" s="7" t="s">
        <v>44</v>
      </c>
      <c r="E823" s="7" t="s">
        <v>39</v>
      </c>
      <c r="F823" s="6" t="s">
        <v>70</v>
      </c>
      <c r="G823" s="8">
        <v>745140</v>
      </c>
      <c r="H823" s="8">
        <v>316767</v>
      </c>
      <c r="I823" s="8">
        <v>254435</v>
      </c>
      <c r="J823" s="8">
        <v>20239</v>
      </c>
      <c r="K823" s="8">
        <v>2403</v>
      </c>
      <c r="L823" s="8">
        <v>2669</v>
      </c>
      <c r="M823" s="8">
        <v>28</v>
      </c>
      <c r="N823" s="8">
        <v>3341</v>
      </c>
      <c r="O823" s="9">
        <f t="shared" si="12"/>
        <v>9.95892860652033E-2</v>
      </c>
      <c r="P823" s="6" t="s">
        <v>22</v>
      </c>
    </row>
    <row r="824" spans="1:16" x14ac:dyDescent="0.25">
      <c r="A824" s="2" t="s">
        <v>1717</v>
      </c>
      <c r="B824" s="2" t="s">
        <v>1718</v>
      </c>
      <c r="C824" s="2" t="s">
        <v>43</v>
      </c>
      <c r="D824" s="3" t="s">
        <v>172</v>
      </c>
      <c r="E824" s="3" t="s">
        <v>20</v>
      </c>
      <c r="F824" s="2" t="s">
        <v>107</v>
      </c>
      <c r="G824" s="4">
        <v>132534</v>
      </c>
      <c r="H824" s="4">
        <v>16327</v>
      </c>
      <c r="I824" s="4">
        <v>14477</v>
      </c>
      <c r="J824" s="4">
        <v>1067</v>
      </c>
      <c r="K824" s="4">
        <v>68</v>
      </c>
      <c r="L824" s="4">
        <v>76</v>
      </c>
      <c r="M824" s="4">
        <v>37</v>
      </c>
      <c r="N824" s="4">
        <v>226</v>
      </c>
      <c r="O824" s="5">
        <f t="shared" si="12"/>
        <v>8.6205705601989369E-2</v>
      </c>
      <c r="P824" s="2" t="s">
        <v>22</v>
      </c>
    </row>
    <row r="825" spans="1:16" x14ac:dyDescent="0.25">
      <c r="A825" s="6" t="s">
        <v>1719</v>
      </c>
      <c r="B825" s="6" t="s">
        <v>1720</v>
      </c>
      <c r="C825" s="6" t="s">
        <v>18</v>
      </c>
      <c r="D825" s="7" t="s">
        <v>231</v>
      </c>
      <c r="E825" s="7" t="s">
        <v>45</v>
      </c>
      <c r="F825" s="6" t="s">
        <v>21</v>
      </c>
      <c r="G825" s="8">
        <v>558822</v>
      </c>
      <c r="H825" s="8">
        <v>3077713</v>
      </c>
      <c r="I825" s="8">
        <v>2324802</v>
      </c>
      <c r="J825" s="8">
        <v>200844</v>
      </c>
      <c r="K825" s="8">
        <v>7973</v>
      </c>
      <c r="L825" s="8">
        <v>5656</v>
      </c>
      <c r="M825" s="8">
        <v>23869</v>
      </c>
      <c r="N825" s="8">
        <v>83059</v>
      </c>
      <c r="O825" s="9">
        <f t="shared" si="12"/>
        <v>0.10252141902837317</v>
      </c>
      <c r="P825" s="6" t="s">
        <v>29</v>
      </c>
    </row>
    <row r="826" spans="1:16" x14ac:dyDescent="0.25">
      <c r="A826" s="2" t="s">
        <v>1721</v>
      </c>
      <c r="B826" s="2" t="s">
        <v>1722</v>
      </c>
      <c r="C826" s="2" t="s">
        <v>32</v>
      </c>
      <c r="D826" s="3" t="s">
        <v>175</v>
      </c>
      <c r="E826" s="3" t="s">
        <v>45</v>
      </c>
      <c r="F826" s="2" t="s">
        <v>128</v>
      </c>
      <c r="G826" s="4">
        <v>336364</v>
      </c>
      <c r="H826" s="4">
        <v>202595</v>
      </c>
      <c r="I826" s="4">
        <v>172930</v>
      </c>
      <c r="J826" s="4">
        <v>11412</v>
      </c>
      <c r="K826" s="4">
        <v>1984</v>
      </c>
      <c r="L826" s="4">
        <v>1072</v>
      </c>
      <c r="M826" s="4">
        <v>46</v>
      </c>
      <c r="N826" s="4">
        <v>6116</v>
      </c>
      <c r="O826" s="5">
        <f t="shared" si="12"/>
        <v>8.392991383796912E-2</v>
      </c>
      <c r="P826" s="2" t="s">
        <v>22</v>
      </c>
    </row>
    <row r="827" spans="1:16" x14ac:dyDescent="0.25">
      <c r="A827" s="6" t="s">
        <v>1723</v>
      </c>
      <c r="B827" s="6" t="s">
        <v>1724</v>
      </c>
      <c r="C827" s="6" t="s">
        <v>18</v>
      </c>
      <c r="D827" s="7" t="s">
        <v>57</v>
      </c>
      <c r="E827" s="7" t="s">
        <v>50</v>
      </c>
      <c r="F827" s="6" t="s">
        <v>73</v>
      </c>
      <c r="G827" s="8">
        <v>783656</v>
      </c>
      <c r="H827" s="8">
        <v>324998</v>
      </c>
      <c r="I827" s="8">
        <v>276895</v>
      </c>
      <c r="J827" s="8">
        <v>14489</v>
      </c>
      <c r="K827" s="8">
        <v>2347</v>
      </c>
      <c r="L827" s="8">
        <v>900</v>
      </c>
      <c r="M827" s="8">
        <v>3031</v>
      </c>
      <c r="N827" s="8">
        <v>10840</v>
      </c>
      <c r="O827" s="9">
        <f t="shared" si="12"/>
        <v>7.4999548565340649E-2</v>
      </c>
      <c r="P827" s="6" t="s">
        <v>22</v>
      </c>
    </row>
    <row r="828" spans="1:16" x14ac:dyDescent="0.25">
      <c r="A828" s="2" t="s">
        <v>1725</v>
      </c>
      <c r="B828" s="2" t="s">
        <v>1726</v>
      </c>
      <c r="C828" s="2" t="s">
        <v>25</v>
      </c>
      <c r="D828" s="3" t="s">
        <v>26</v>
      </c>
      <c r="E828" s="3" t="s">
        <v>39</v>
      </c>
      <c r="F828" s="2" t="s">
        <v>54</v>
      </c>
      <c r="G828" s="4">
        <v>148705</v>
      </c>
      <c r="H828" s="4">
        <v>44229</v>
      </c>
      <c r="I828" s="4">
        <v>32413</v>
      </c>
      <c r="J828" s="4">
        <v>1855</v>
      </c>
      <c r="K828" s="4">
        <v>176</v>
      </c>
      <c r="L828" s="4">
        <v>234</v>
      </c>
      <c r="M828" s="4">
        <v>428</v>
      </c>
      <c r="N828" s="4">
        <v>421</v>
      </c>
      <c r="O828" s="5">
        <f t="shared" si="12"/>
        <v>8.3083947798722732E-2</v>
      </c>
      <c r="P828" s="2" t="s">
        <v>66</v>
      </c>
    </row>
    <row r="829" spans="1:16" x14ac:dyDescent="0.25">
      <c r="A829" s="6" t="s">
        <v>1727</v>
      </c>
      <c r="B829" s="6" t="s">
        <v>1728</v>
      </c>
      <c r="C829" s="6" t="s">
        <v>32</v>
      </c>
      <c r="D829" s="7" t="s">
        <v>49</v>
      </c>
      <c r="E829" s="7" t="s">
        <v>50</v>
      </c>
      <c r="F829" s="6" t="s">
        <v>40</v>
      </c>
      <c r="G829" s="8">
        <v>209862</v>
      </c>
      <c r="H829" s="8">
        <v>685208</v>
      </c>
      <c r="I829" s="8">
        <v>604731</v>
      </c>
      <c r="J829" s="8">
        <v>48806</v>
      </c>
      <c r="K829" s="8">
        <v>3496</v>
      </c>
      <c r="L829" s="8">
        <v>2181</v>
      </c>
      <c r="M829" s="8">
        <v>38</v>
      </c>
      <c r="N829" s="8">
        <v>18303</v>
      </c>
      <c r="O829" s="9">
        <f t="shared" si="12"/>
        <v>9.0157441903920915E-2</v>
      </c>
      <c r="P829" s="6" t="s">
        <v>22</v>
      </c>
    </row>
    <row r="830" spans="1:16" x14ac:dyDescent="0.25">
      <c r="A830" s="2" t="s">
        <v>1729</v>
      </c>
      <c r="B830" s="2" t="s">
        <v>1730</v>
      </c>
      <c r="C830" s="2" t="s">
        <v>76</v>
      </c>
      <c r="D830" s="3" t="s">
        <v>103</v>
      </c>
      <c r="E830" s="3" t="s">
        <v>34</v>
      </c>
      <c r="F830" s="2" t="s">
        <v>87</v>
      </c>
      <c r="G830" s="4">
        <v>341486</v>
      </c>
      <c r="H830" s="4">
        <v>145628</v>
      </c>
      <c r="I830" s="4">
        <v>109473</v>
      </c>
      <c r="J830" s="4">
        <v>11155</v>
      </c>
      <c r="K830" s="4">
        <v>1679</v>
      </c>
      <c r="L830" s="4">
        <v>826</v>
      </c>
      <c r="M830" s="4">
        <v>586</v>
      </c>
      <c r="N830" s="4">
        <v>2073</v>
      </c>
      <c r="O830" s="5">
        <f t="shared" si="12"/>
        <v>0.13013254409763139</v>
      </c>
      <c r="P830" s="2" t="s">
        <v>22</v>
      </c>
    </row>
    <row r="831" spans="1:16" x14ac:dyDescent="0.25">
      <c r="A831" s="6" t="s">
        <v>1731</v>
      </c>
      <c r="B831" s="6" t="s">
        <v>1732</v>
      </c>
      <c r="C831" s="6" t="s">
        <v>32</v>
      </c>
      <c r="D831" s="7" t="s">
        <v>33</v>
      </c>
      <c r="E831" s="7" t="s">
        <v>34</v>
      </c>
      <c r="F831" s="6" t="s">
        <v>51</v>
      </c>
      <c r="G831" s="8">
        <v>557864</v>
      </c>
      <c r="H831" s="8">
        <v>275089</v>
      </c>
      <c r="I831" s="8">
        <v>234230</v>
      </c>
      <c r="J831" s="8">
        <v>7616</v>
      </c>
      <c r="K831" s="8">
        <v>874</v>
      </c>
      <c r="L831" s="8">
        <v>621</v>
      </c>
      <c r="M831" s="8">
        <v>1</v>
      </c>
      <c r="N831" s="8">
        <v>5065</v>
      </c>
      <c r="O831" s="9">
        <f t="shared" si="12"/>
        <v>3.8901933996499168E-2</v>
      </c>
      <c r="P831" s="6" t="s">
        <v>22</v>
      </c>
    </row>
    <row r="832" spans="1:16" x14ac:dyDescent="0.25">
      <c r="A832" s="2" t="s">
        <v>1733</v>
      </c>
      <c r="B832" s="2" t="s">
        <v>1734</v>
      </c>
      <c r="C832" s="2" t="s">
        <v>18</v>
      </c>
      <c r="D832" s="3" t="s">
        <v>57</v>
      </c>
      <c r="E832" s="3" t="s">
        <v>50</v>
      </c>
      <c r="F832" s="2" t="s">
        <v>73</v>
      </c>
      <c r="G832" s="4">
        <v>359809</v>
      </c>
      <c r="H832" s="4">
        <v>96682</v>
      </c>
      <c r="I832" s="4">
        <v>86859</v>
      </c>
      <c r="J832" s="4">
        <v>7534</v>
      </c>
      <c r="K832" s="4">
        <v>1109</v>
      </c>
      <c r="L832" s="4">
        <v>711</v>
      </c>
      <c r="M832" s="4">
        <v>1749</v>
      </c>
      <c r="N832" s="4">
        <v>2537</v>
      </c>
      <c r="O832" s="5">
        <f t="shared" si="12"/>
        <v>0.12782785894380547</v>
      </c>
      <c r="P832" s="2" t="s">
        <v>29</v>
      </c>
    </row>
    <row r="833" spans="1:16" x14ac:dyDescent="0.25">
      <c r="A833" s="6" t="s">
        <v>1735</v>
      </c>
      <c r="B833" s="6" t="s">
        <v>1736</v>
      </c>
      <c r="C833" s="6" t="s">
        <v>32</v>
      </c>
      <c r="D833" s="7" t="s">
        <v>175</v>
      </c>
      <c r="E833" s="7" t="s">
        <v>50</v>
      </c>
      <c r="F833" s="6" t="s">
        <v>128</v>
      </c>
      <c r="G833" s="8">
        <v>405303</v>
      </c>
      <c r="H833" s="8">
        <v>176491</v>
      </c>
      <c r="I833" s="8">
        <v>144092</v>
      </c>
      <c r="J833" s="8">
        <v>8429</v>
      </c>
      <c r="K833" s="8">
        <v>1391</v>
      </c>
      <c r="L833" s="8">
        <v>1206</v>
      </c>
      <c r="M833" s="8">
        <v>46</v>
      </c>
      <c r="N833" s="8">
        <v>2290</v>
      </c>
      <c r="O833" s="9">
        <f t="shared" si="12"/>
        <v>7.6839796796491125E-2</v>
      </c>
      <c r="P833" s="6" t="s">
        <v>22</v>
      </c>
    </row>
    <row r="834" spans="1:16" x14ac:dyDescent="0.25">
      <c r="A834" s="2" t="s">
        <v>1737</v>
      </c>
      <c r="B834" s="2" t="s">
        <v>1738</v>
      </c>
      <c r="C834" s="2" t="s">
        <v>18</v>
      </c>
      <c r="D834" s="3" t="s">
        <v>19</v>
      </c>
      <c r="E834" s="3" t="s">
        <v>50</v>
      </c>
      <c r="F834" s="2" t="s">
        <v>21</v>
      </c>
      <c r="G834" s="4">
        <v>499259</v>
      </c>
      <c r="H834" s="4">
        <v>220098</v>
      </c>
      <c r="I834" s="4">
        <v>171314</v>
      </c>
      <c r="J834" s="4">
        <v>12598</v>
      </c>
      <c r="K834" s="4">
        <v>1439</v>
      </c>
      <c r="L834" s="4">
        <v>1535</v>
      </c>
      <c r="M834" s="4">
        <v>3040</v>
      </c>
      <c r="N834" s="4">
        <v>4300</v>
      </c>
      <c r="O834" s="5">
        <f t="shared" ref="O834:O897" si="13">IF(I834&gt;0, (J834+K834+L834+M834)/I834, 0)</f>
        <v>0.10864260947733402</v>
      </c>
      <c r="P834" s="2" t="s">
        <v>22</v>
      </c>
    </row>
    <row r="835" spans="1:16" x14ac:dyDescent="0.25">
      <c r="A835" s="6" t="s">
        <v>1739</v>
      </c>
      <c r="B835" s="6" t="s">
        <v>1740</v>
      </c>
      <c r="C835" s="6" t="s">
        <v>25</v>
      </c>
      <c r="D835" s="7" t="s">
        <v>61</v>
      </c>
      <c r="E835" s="7" t="s">
        <v>27</v>
      </c>
      <c r="F835" s="6" t="s">
        <v>54</v>
      </c>
      <c r="G835" s="8">
        <v>312479</v>
      </c>
      <c r="H835" s="8">
        <v>155999</v>
      </c>
      <c r="I835" s="8">
        <v>127165</v>
      </c>
      <c r="J835" s="8">
        <v>7838</v>
      </c>
      <c r="K835" s="8">
        <v>526</v>
      </c>
      <c r="L835" s="8">
        <v>539</v>
      </c>
      <c r="M835" s="8">
        <v>1490</v>
      </c>
      <c r="N835" s="8">
        <v>4770</v>
      </c>
      <c r="O835" s="9">
        <f t="shared" si="13"/>
        <v>8.1728463020485198E-2</v>
      </c>
      <c r="P835" s="6" t="s">
        <v>22</v>
      </c>
    </row>
    <row r="836" spans="1:16" x14ac:dyDescent="0.25">
      <c r="A836" s="2" t="s">
        <v>1741</v>
      </c>
      <c r="B836" s="2" t="s">
        <v>1742</v>
      </c>
      <c r="C836" s="2" t="s">
        <v>76</v>
      </c>
      <c r="D836" s="3" t="s">
        <v>182</v>
      </c>
      <c r="E836" s="3" t="s">
        <v>34</v>
      </c>
      <c r="F836" s="2" t="s">
        <v>78</v>
      </c>
      <c r="G836" s="4">
        <v>490024</v>
      </c>
      <c r="H836" s="4">
        <v>316554</v>
      </c>
      <c r="I836" s="4">
        <v>265175</v>
      </c>
      <c r="J836" s="4">
        <v>16877</v>
      </c>
      <c r="K836" s="4">
        <v>2009</v>
      </c>
      <c r="L836" s="4">
        <v>2001</v>
      </c>
      <c r="M836" s="4">
        <v>1207</v>
      </c>
      <c r="N836" s="4">
        <v>4180</v>
      </c>
      <c r="O836" s="5">
        <f t="shared" si="13"/>
        <v>8.3318563212972568E-2</v>
      </c>
      <c r="P836" s="2" t="s">
        <v>22</v>
      </c>
    </row>
    <row r="837" spans="1:16" x14ac:dyDescent="0.25">
      <c r="A837" s="6" t="s">
        <v>1743</v>
      </c>
      <c r="B837" s="6" t="s">
        <v>1744</v>
      </c>
      <c r="C837" s="6" t="s">
        <v>25</v>
      </c>
      <c r="D837" s="7" t="s">
        <v>61</v>
      </c>
      <c r="E837" s="7" t="s">
        <v>20</v>
      </c>
      <c r="F837" s="6" t="s">
        <v>28</v>
      </c>
      <c r="G837" s="8">
        <v>20279</v>
      </c>
      <c r="H837" s="8">
        <v>11652</v>
      </c>
      <c r="I837" s="8">
        <v>9379</v>
      </c>
      <c r="J837" s="8">
        <v>332</v>
      </c>
      <c r="K837" s="8">
        <v>51</v>
      </c>
      <c r="L837" s="8">
        <v>22</v>
      </c>
      <c r="M837" s="8">
        <v>18</v>
      </c>
      <c r="N837" s="8">
        <v>210</v>
      </c>
      <c r="O837" s="9">
        <f t="shared" si="13"/>
        <v>4.5100757010342253E-2</v>
      </c>
      <c r="P837" s="6" t="s">
        <v>22</v>
      </c>
    </row>
    <row r="838" spans="1:16" x14ac:dyDescent="0.25">
      <c r="A838" s="2" t="s">
        <v>1745</v>
      </c>
      <c r="B838" s="2" t="s">
        <v>1746</v>
      </c>
      <c r="C838" s="2" t="s">
        <v>76</v>
      </c>
      <c r="D838" s="3" t="s">
        <v>103</v>
      </c>
      <c r="E838" s="3" t="s">
        <v>50</v>
      </c>
      <c r="F838" s="2" t="s">
        <v>87</v>
      </c>
      <c r="G838" s="4">
        <v>539065</v>
      </c>
      <c r="H838" s="4">
        <v>263518</v>
      </c>
      <c r="I838" s="4">
        <v>213256</v>
      </c>
      <c r="J838" s="4">
        <v>19926</v>
      </c>
      <c r="K838" s="4">
        <v>1015</v>
      </c>
      <c r="L838" s="4">
        <v>663</v>
      </c>
      <c r="M838" s="4">
        <v>1647</v>
      </c>
      <c r="N838" s="4">
        <v>6960</v>
      </c>
      <c r="O838" s="5">
        <f t="shared" si="13"/>
        <v>0.1090285853621938</v>
      </c>
      <c r="P838" s="2" t="s">
        <v>22</v>
      </c>
    </row>
    <row r="839" spans="1:16" x14ac:dyDescent="0.25">
      <c r="A839" s="6" t="s">
        <v>1747</v>
      </c>
      <c r="B839" s="6" t="s">
        <v>1748</v>
      </c>
      <c r="C839" s="6" t="s">
        <v>32</v>
      </c>
      <c r="D839" s="7" t="s">
        <v>38</v>
      </c>
      <c r="E839" s="7" t="s">
        <v>34</v>
      </c>
      <c r="F839" s="6" t="s">
        <v>35</v>
      </c>
      <c r="G839" s="8">
        <v>422517</v>
      </c>
      <c r="H839" s="8">
        <v>160162</v>
      </c>
      <c r="I839" s="8">
        <v>139939</v>
      </c>
      <c r="J839" s="8">
        <v>9878</v>
      </c>
      <c r="K839" s="8">
        <v>1108</v>
      </c>
      <c r="L839" s="8">
        <v>312</v>
      </c>
      <c r="M839" s="8">
        <v>13</v>
      </c>
      <c r="N839" s="8">
        <v>2955</v>
      </c>
      <c r="O839" s="9">
        <f t="shared" si="13"/>
        <v>8.0828075089860577E-2</v>
      </c>
      <c r="P839" s="6" t="s">
        <v>22</v>
      </c>
    </row>
    <row r="840" spans="1:16" x14ac:dyDescent="0.25">
      <c r="A840" s="2" t="s">
        <v>1749</v>
      </c>
      <c r="B840" s="2" t="s">
        <v>1750</v>
      </c>
      <c r="C840" s="2" t="s">
        <v>76</v>
      </c>
      <c r="D840" s="3" t="s">
        <v>189</v>
      </c>
      <c r="E840" s="3" t="s">
        <v>34</v>
      </c>
      <c r="F840" s="2" t="s">
        <v>87</v>
      </c>
      <c r="G840" s="4">
        <v>676632</v>
      </c>
      <c r="H840" s="4">
        <v>141109</v>
      </c>
      <c r="I840" s="4">
        <v>100085</v>
      </c>
      <c r="J840" s="4">
        <v>9244</v>
      </c>
      <c r="K840" s="4">
        <v>1594</v>
      </c>
      <c r="L840" s="4">
        <v>1331</v>
      </c>
      <c r="M840" s="4">
        <v>716</v>
      </c>
      <c r="N840" s="4">
        <v>2057</v>
      </c>
      <c r="O840" s="5">
        <f t="shared" si="13"/>
        <v>0.12874057051506219</v>
      </c>
      <c r="P840" s="2" t="s">
        <v>22</v>
      </c>
    </row>
    <row r="841" spans="1:16" x14ac:dyDescent="0.25">
      <c r="A841" s="6" t="s">
        <v>1751</v>
      </c>
      <c r="B841" s="6" t="s">
        <v>1752</v>
      </c>
      <c r="C841" s="6" t="s">
        <v>43</v>
      </c>
      <c r="D841" s="7" t="s">
        <v>110</v>
      </c>
      <c r="E841" s="7" t="s">
        <v>39</v>
      </c>
      <c r="F841" s="6" t="s">
        <v>70</v>
      </c>
      <c r="G841" s="8">
        <v>704670</v>
      </c>
      <c r="H841" s="8">
        <v>223038</v>
      </c>
      <c r="I841" s="8">
        <v>158095</v>
      </c>
      <c r="J841" s="8">
        <v>12351</v>
      </c>
      <c r="K841" s="8">
        <v>757</v>
      </c>
      <c r="L841" s="8">
        <v>1182</v>
      </c>
      <c r="M841" s="8">
        <v>0</v>
      </c>
      <c r="N841" s="8">
        <v>3452</v>
      </c>
      <c r="O841" s="9">
        <f t="shared" si="13"/>
        <v>9.0388690344413172E-2</v>
      </c>
      <c r="P841" s="6" t="s">
        <v>22</v>
      </c>
    </row>
    <row r="842" spans="1:16" x14ac:dyDescent="0.25">
      <c r="A842" s="2" t="s">
        <v>1753</v>
      </c>
      <c r="B842" s="2" t="s">
        <v>1754</v>
      </c>
      <c r="C842" s="2" t="s">
        <v>25</v>
      </c>
      <c r="D842" s="3" t="s">
        <v>26</v>
      </c>
      <c r="E842" s="3" t="s">
        <v>20</v>
      </c>
      <c r="F842" s="2" t="s">
        <v>146</v>
      </c>
      <c r="G842" s="4">
        <v>564777</v>
      </c>
      <c r="H842" s="4">
        <v>2442411</v>
      </c>
      <c r="I842" s="4">
        <v>1860901</v>
      </c>
      <c r="J842" s="4">
        <v>130365</v>
      </c>
      <c r="K842" s="4">
        <v>13901</v>
      </c>
      <c r="L842" s="4">
        <v>5316</v>
      </c>
      <c r="M842" s="4">
        <v>11774</v>
      </c>
      <c r="N842" s="4">
        <v>56733</v>
      </c>
      <c r="O842" s="5">
        <f t="shared" si="13"/>
        <v>8.6708535274041987E-2</v>
      </c>
      <c r="P842" s="2" t="s">
        <v>22</v>
      </c>
    </row>
    <row r="843" spans="1:16" x14ac:dyDescent="0.25">
      <c r="A843" s="6" t="s">
        <v>1755</v>
      </c>
      <c r="B843" s="6" t="s">
        <v>1756</v>
      </c>
      <c r="C843" s="6" t="s">
        <v>18</v>
      </c>
      <c r="D843" s="7" t="s">
        <v>57</v>
      </c>
      <c r="E843" s="7" t="s">
        <v>34</v>
      </c>
      <c r="F843" s="6" t="s">
        <v>58</v>
      </c>
      <c r="G843" s="8">
        <v>635177</v>
      </c>
      <c r="H843" s="8">
        <v>294056</v>
      </c>
      <c r="I843" s="8">
        <v>232084</v>
      </c>
      <c r="J843" s="8">
        <v>9142</v>
      </c>
      <c r="K843" s="8">
        <v>331</v>
      </c>
      <c r="L843" s="8">
        <v>1139</v>
      </c>
      <c r="M843" s="8">
        <v>1815</v>
      </c>
      <c r="N843" s="8">
        <v>9182</v>
      </c>
      <c r="O843" s="9">
        <f t="shared" si="13"/>
        <v>5.3545268092587167E-2</v>
      </c>
      <c r="P843" s="6" t="s">
        <v>22</v>
      </c>
    </row>
    <row r="844" spans="1:16" x14ac:dyDescent="0.25">
      <c r="A844" s="2" t="s">
        <v>1757</v>
      </c>
      <c r="B844" s="2" t="s">
        <v>1758</v>
      </c>
      <c r="C844" s="2" t="s">
        <v>25</v>
      </c>
      <c r="D844" s="3" t="s">
        <v>61</v>
      </c>
      <c r="E844" s="3" t="s">
        <v>50</v>
      </c>
      <c r="F844" s="2" t="s">
        <v>28</v>
      </c>
      <c r="G844" s="4">
        <v>488808</v>
      </c>
      <c r="H844" s="4">
        <v>213553</v>
      </c>
      <c r="I844" s="4">
        <v>191310</v>
      </c>
      <c r="J844" s="4">
        <v>15079</v>
      </c>
      <c r="K844" s="4">
        <v>942</v>
      </c>
      <c r="L844" s="4">
        <v>348</v>
      </c>
      <c r="M844" s="4">
        <v>791</v>
      </c>
      <c r="N844" s="4">
        <v>6382</v>
      </c>
      <c r="O844" s="5">
        <f t="shared" si="13"/>
        <v>8.9697349851027133E-2</v>
      </c>
      <c r="P844" s="2" t="s">
        <v>29</v>
      </c>
    </row>
    <row r="845" spans="1:16" x14ac:dyDescent="0.25">
      <c r="A845" s="6" t="s">
        <v>1759</v>
      </c>
      <c r="B845" s="6" t="s">
        <v>1760</v>
      </c>
      <c r="C845" s="6" t="s">
        <v>18</v>
      </c>
      <c r="D845" s="7" t="s">
        <v>57</v>
      </c>
      <c r="E845" s="7" t="s">
        <v>39</v>
      </c>
      <c r="F845" s="6" t="s">
        <v>73</v>
      </c>
      <c r="G845" s="8">
        <v>792978</v>
      </c>
      <c r="H845" s="8">
        <v>285677</v>
      </c>
      <c r="I845" s="8">
        <v>237478</v>
      </c>
      <c r="J845" s="8">
        <v>19340</v>
      </c>
      <c r="K845" s="8">
        <v>2515</v>
      </c>
      <c r="L845" s="8">
        <v>2744</v>
      </c>
      <c r="M845" s="8">
        <v>1267</v>
      </c>
      <c r="N845" s="8">
        <v>2347</v>
      </c>
      <c r="O845" s="9">
        <f t="shared" si="13"/>
        <v>0.10891956307531644</v>
      </c>
      <c r="P845" s="6" t="s">
        <v>22</v>
      </c>
    </row>
    <row r="846" spans="1:16" x14ac:dyDescent="0.25">
      <c r="A846" s="2" t="s">
        <v>1761</v>
      </c>
      <c r="B846" s="2" t="s">
        <v>1762</v>
      </c>
      <c r="C846" s="2" t="s">
        <v>76</v>
      </c>
      <c r="D846" s="3" t="s">
        <v>103</v>
      </c>
      <c r="E846" s="3" t="s">
        <v>34</v>
      </c>
      <c r="F846" s="2" t="s">
        <v>78</v>
      </c>
      <c r="G846" s="4">
        <v>469179</v>
      </c>
      <c r="H846" s="4">
        <v>189465</v>
      </c>
      <c r="I846" s="4">
        <v>136678</v>
      </c>
      <c r="J846" s="4">
        <v>7973</v>
      </c>
      <c r="K846" s="4">
        <v>1011</v>
      </c>
      <c r="L846" s="4">
        <v>1165</v>
      </c>
      <c r="M846" s="4">
        <v>1581</v>
      </c>
      <c r="N846" s="4">
        <v>3066</v>
      </c>
      <c r="O846" s="5">
        <f t="shared" si="13"/>
        <v>8.5822151333791827E-2</v>
      </c>
      <c r="P846" s="2" t="s">
        <v>22</v>
      </c>
    </row>
    <row r="847" spans="1:16" x14ac:dyDescent="0.25">
      <c r="A847" s="6" t="s">
        <v>1763</v>
      </c>
      <c r="B847" s="6" t="s">
        <v>1764</v>
      </c>
      <c r="C847" s="6" t="s">
        <v>76</v>
      </c>
      <c r="D847" s="7" t="s">
        <v>77</v>
      </c>
      <c r="E847" s="7" t="s">
        <v>50</v>
      </c>
      <c r="F847" s="6" t="s">
        <v>155</v>
      </c>
      <c r="G847" s="8">
        <v>277987</v>
      </c>
      <c r="H847" s="8">
        <v>169955</v>
      </c>
      <c r="I847" s="8">
        <v>153164</v>
      </c>
      <c r="J847" s="8">
        <v>4626</v>
      </c>
      <c r="K847" s="8">
        <v>580</v>
      </c>
      <c r="L847" s="8">
        <v>665</v>
      </c>
      <c r="M847" s="8">
        <v>964</v>
      </c>
      <c r="N847" s="8">
        <v>5338</v>
      </c>
      <c r="O847" s="9">
        <f t="shared" si="13"/>
        <v>4.4625368885638922E-2</v>
      </c>
      <c r="P847" s="6" t="s">
        <v>66</v>
      </c>
    </row>
    <row r="848" spans="1:16" x14ac:dyDescent="0.25">
      <c r="A848" s="2" t="s">
        <v>1765</v>
      </c>
      <c r="B848" s="2" t="s">
        <v>1766</v>
      </c>
      <c r="C848" s="2" t="s">
        <v>25</v>
      </c>
      <c r="D848" s="3" t="s">
        <v>26</v>
      </c>
      <c r="E848" s="3" t="s">
        <v>27</v>
      </c>
      <c r="F848" s="2" t="s">
        <v>28</v>
      </c>
      <c r="G848" s="4">
        <v>285685</v>
      </c>
      <c r="H848" s="4">
        <v>1152606</v>
      </c>
      <c r="I848" s="4">
        <v>992296</v>
      </c>
      <c r="J848" s="4">
        <v>33653</v>
      </c>
      <c r="K848" s="4">
        <v>1338</v>
      </c>
      <c r="L848" s="4">
        <v>3639</v>
      </c>
      <c r="M848" s="4">
        <v>1883</v>
      </c>
      <c r="N848" s="4">
        <v>22963</v>
      </c>
      <c r="O848" s="5">
        <f t="shared" si="13"/>
        <v>4.0827535332199266E-2</v>
      </c>
      <c r="P848" s="2" t="s">
        <v>29</v>
      </c>
    </row>
    <row r="849" spans="1:16" x14ac:dyDescent="0.25">
      <c r="A849" s="6" t="s">
        <v>1767</v>
      </c>
      <c r="B849" s="6" t="s">
        <v>1768</v>
      </c>
      <c r="C849" s="6" t="s">
        <v>76</v>
      </c>
      <c r="D849" s="7" t="s">
        <v>77</v>
      </c>
      <c r="E849" s="7" t="s">
        <v>50</v>
      </c>
      <c r="F849" s="6" t="s">
        <v>78</v>
      </c>
      <c r="G849" s="8">
        <v>756290</v>
      </c>
      <c r="H849" s="8">
        <v>406208</v>
      </c>
      <c r="I849" s="8">
        <v>344331</v>
      </c>
      <c r="J849" s="8">
        <v>31599</v>
      </c>
      <c r="K849" s="8">
        <v>1839</v>
      </c>
      <c r="L849" s="8">
        <v>3465</v>
      </c>
      <c r="M849" s="8">
        <v>6701</v>
      </c>
      <c r="N849" s="8">
        <v>14166</v>
      </c>
      <c r="O849" s="9">
        <f t="shared" si="13"/>
        <v>0.12663396557382287</v>
      </c>
      <c r="P849" s="6" t="s">
        <v>22</v>
      </c>
    </row>
    <row r="850" spans="1:16" x14ac:dyDescent="0.25">
      <c r="A850" s="2" t="s">
        <v>1769</v>
      </c>
      <c r="B850" s="2" t="s">
        <v>1770</v>
      </c>
      <c r="C850" s="2" t="s">
        <v>32</v>
      </c>
      <c r="D850" s="3" t="s">
        <v>49</v>
      </c>
      <c r="E850" s="3" t="s">
        <v>45</v>
      </c>
      <c r="F850" s="2" t="s">
        <v>128</v>
      </c>
      <c r="G850" s="4">
        <v>302934</v>
      </c>
      <c r="H850" s="4">
        <v>127501</v>
      </c>
      <c r="I850" s="4">
        <v>112271</v>
      </c>
      <c r="J850" s="4">
        <v>6716</v>
      </c>
      <c r="K850" s="4">
        <v>577</v>
      </c>
      <c r="L850" s="4">
        <v>921</v>
      </c>
      <c r="M850" s="4">
        <v>46</v>
      </c>
      <c r="N850" s="4">
        <v>2745</v>
      </c>
      <c r="O850" s="5">
        <f t="shared" si="13"/>
        <v>7.3571982079076517E-2</v>
      </c>
      <c r="P850" s="2" t="s">
        <v>22</v>
      </c>
    </row>
    <row r="851" spans="1:16" x14ac:dyDescent="0.25">
      <c r="A851" s="6" t="s">
        <v>1771</v>
      </c>
      <c r="B851" s="6" t="s">
        <v>1772</v>
      </c>
      <c r="C851" s="6" t="s">
        <v>25</v>
      </c>
      <c r="D851" s="7" t="s">
        <v>61</v>
      </c>
      <c r="E851" s="7" t="s">
        <v>39</v>
      </c>
      <c r="F851" s="6" t="s">
        <v>28</v>
      </c>
      <c r="G851" s="8">
        <v>492692</v>
      </c>
      <c r="H851" s="8">
        <v>254903</v>
      </c>
      <c r="I851" s="8">
        <v>224092</v>
      </c>
      <c r="J851" s="8">
        <v>16594</v>
      </c>
      <c r="K851" s="8">
        <v>1728</v>
      </c>
      <c r="L851" s="8">
        <v>1501</v>
      </c>
      <c r="M851" s="8">
        <v>2025</v>
      </c>
      <c r="N851" s="8">
        <v>4575</v>
      </c>
      <c r="O851" s="9">
        <f t="shared" si="13"/>
        <v>9.7495671420666508E-2</v>
      </c>
      <c r="P851" s="6" t="s">
        <v>29</v>
      </c>
    </row>
    <row r="852" spans="1:16" x14ac:dyDescent="0.25">
      <c r="A852" s="2" t="s">
        <v>1773</v>
      </c>
      <c r="B852" s="2" t="s">
        <v>1774</v>
      </c>
      <c r="C852" s="2" t="s">
        <v>18</v>
      </c>
      <c r="D852" s="3" t="s">
        <v>57</v>
      </c>
      <c r="E852" s="3" t="s">
        <v>39</v>
      </c>
      <c r="F852" s="2" t="s">
        <v>73</v>
      </c>
      <c r="G852" s="4">
        <v>715885</v>
      </c>
      <c r="H852" s="4">
        <v>74717</v>
      </c>
      <c r="I852" s="4">
        <v>67396</v>
      </c>
      <c r="J852" s="4">
        <v>5899</v>
      </c>
      <c r="K852" s="4">
        <v>305</v>
      </c>
      <c r="L852" s="4">
        <v>379</v>
      </c>
      <c r="M852" s="4">
        <v>1041</v>
      </c>
      <c r="N852" s="4">
        <v>2043</v>
      </c>
      <c r="O852" s="5">
        <f t="shared" si="13"/>
        <v>0.11312244050091994</v>
      </c>
      <c r="P852" s="2" t="s">
        <v>29</v>
      </c>
    </row>
    <row r="853" spans="1:16" x14ac:dyDescent="0.25">
      <c r="A853" s="6" t="s">
        <v>1775</v>
      </c>
      <c r="B853" s="6" t="s">
        <v>1776</v>
      </c>
      <c r="C853" s="6" t="s">
        <v>25</v>
      </c>
      <c r="D853" s="7" t="s">
        <v>26</v>
      </c>
      <c r="E853" s="7" t="s">
        <v>34</v>
      </c>
      <c r="F853" s="6" t="s">
        <v>65</v>
      </c>
      <c r="G853" s="8">
        <v>119814</v>
      </c>
      <c r="H853" s="8">
        <v>46736</v>
      </c>
      <c r="I853" s="8">
        <v>33782</v>
      </c>
      <c r="J853" s="8">
        <v>946</v>
      </c>
      <c r="K853" s="8">
        <v>160</v>
      </c>
      <c r="L853" s="8">
        <v>100</v>
      </c>
      <c r="M853" s="8">
        <v>78</v>
      </c>
      <c r="N853" s="8">
        <v>551</v>
      </c>
      <c r="O853" s="9">
        <f t="shared" si="13"/>
        <v>3.8008406843881355E-2</v>
      </c>
      <c r="P853" s="6" t="s">
        <v>29</v>
      </c>
    </row>
    <row r="854" spans="1:16" x14ac:dyDescent="0.25">
      <c r="A854" s="2" t="s">
        <v>1777</v>
      </c>
      <c r="B854" s="2" t="s">
        <v>1778</v>
      </c>
      <c r="C854" s="2" t="s">
        <v>18</v>
      </c>
      <c r="D854" s="3" t="s">
        <v>92</v>
      </c>
      <c r="E854" s="3" t="s">
        <v>39</v>
      </c>
      <c r="F854" s="2" t="s">
        <v>73</v>
      </c>
      <c r="G854" s="4">
        <v>691301</v>
      </c>
      <c r="H854" s="4">
        <v>141627</v>
      </c>
      <c r="I854" s="4">
        <v>122501</v>
      </c>
      <c r="J854" s="4">
        <v>8677</v>
      </c>
      <c r="K854" s="4">
        <v>1546</v>
      </c>
      <c r="L854" s="4">
        <v>428</v>
      </c>
      <c r="M854" s="4">
        <v>1551</v>
      </c>
      <c r="N854" s="4">
        <v>1369</v>
      </c>
      <c r="O854" s="5">
        <f t="shared" si="13"/>
        <v>9.9607350144080453E-2</v>
      </c>
      <c r="P854" s="2" t="s">
        <v>29</v>
      </c>
    </row>
    <row r="855" spans="1:16" x14ac:dyDescent="0.25">
      <c r="A855" s="6" t="s">
        <v>1779</v>
      </c>
      <c r="B855" s="6" t="s">
        <v>1780</v>
      </c>
      <c r="C855" s="6" t="s">
        <v>43</v>
      </c>
      <c r="D855" s="7" t="s">
        <v>81</v>
      </c>
      <c r="E855" s="7" t="s">
        <v>39</v>
      </c>
      <c r="F855" s="6" t="s">
        <v>70</v>
      </c>
      <c r="G855" s="8">
        <v>78214</v>
      </c>
      <c r="H855" s="8">
        <v>19923</v>
      </c>
      <c r="I855" s="8">
        <v>15726</v>
      </c>
      <c r="J855" s="8">
        <v>1384</v>
      </c>
      <c r="K855" s="8">
        <v>154</v>
      </c>
      <c r="L855" s="8">
        <v>45</v>
      </c>
      <c r="M855" s="8">
        <v>12</v>
      </c>
      <c r="N855" s="8">
        <v>113</v>
      </c>
      <c r="O855" s="9">
        <f t="shared" si="13"/>
        <v>0.10142439272542286</v>
      </c>
      <c r="P855" s="6" t="s">
        <v>22</v>
      </c>
    </row>
    <row r="856" spans="1:16" x14ac:dyDescent="0.25">
      <c r="A856" s="2" t="s">
        <v>1781</v>
      </c>
      <c r="B856" s="2" t="s">
        <v>1782</v>
      </c>
      <c r="C856" s="2" t="s">
        <v>76</v>
      </c>
      <c r="D856" s="3" t="s">
        <v>77</v>
      </c>
      <c r="E856" s="3" t="s">
        <v>50</v>
      </c>
      <c r="F856" s="2" t="s">
        <v>104</v>
      </c>
      <c r="G856" s="4">
        <v>127231</v>
      </c>
      <c r="H856" s="4">
        <v>36106</v>
      </c>
      <c r="I856" s="4">
        <v>25358</v>
      </c>
      <c r="J856" s="4">
        <v>2016</v>
      </c>
      <c r="K856" s="4">
        <v>164</v>
      </c>
      <c r="L856" s="4">
        <v>138</v>
      </c>
      <c r="M856" s="4">
        <v>223</v>
      </c>
      <c r="N856" s="4">
        <v>851</v>
      </c>
      <c r="O856" s="5">
        <f t="shared" si="13"/>
        <v>0.10020506349081158</v>
      </c>
      <c r="P856" s="2" t="s">
        <v>66</v>
      </c>
    </row>
    <row r="857" spans="1:16" x14ac:dyDescent="0.25">
      <c r="A857" s="6" t="s">
        <v>1783</v>
      </c>
      <c r="B857" s="6" t="s">
        <v>1784</v>
      </c>
      <c r="C857" s="6" t="s">
        <v>32</v>
      </c>
      <c r="D857" s="7" t="s">
        <v>175</v>
      </c>
      <c r="E857" s="7" t="s">
        <v>39</v>
      </c>
      <c r="F857" s="6" t="s">
        <v>40</v>
      </c>
      <c r="G857" s="8">
        <v>371071</v>
      </c>
      <c r="H857" s="8">
        <v>1726534</v>
      </c>
      <c r="I857" s="8">
        <v>1354338</v>
      </c>
      <c r="J857" s="8">
        <v>90368</v>
      </c>
      <c r="K857" s="8">
        <v>4039</v>
      </c>
      <c r="L857" s="8">
        <v>9896</v>
      </c>
      <c r="M857" s="8">
        <v>39</v>
      </c>
      <c r="N857" s="8">
        <v>54246</v>
      </c>
      <c r="O857" s="9">
        <f t="shared" si="13"/>
        <v>7.7042806153264545E-2</v>
      </c>
      <c r="P857" s="6" t="s">
        <v>66</v>
      </c>
    </row>
    <row r="858" spans="1:16" x14ac:dyDescent="0.25">
      <c r="A858" s="2" t="s">
        <v>1785</v>
      </c>
      <c r="B858" s="2" t="s">
        <v>1786</v>
      </c>
      <c r="C858" s="2" t="s">
        <v>76</v>
      </c>
      <c r="D858" s="3" t="s">
        <v>182</v>
      </c>
      <c r="E858" s="3" t="s">
        <v>34</v>
      </c>
      <c r="F858" s="2" t="s">
        <v>104</v>
      </c>
      <c r="G858" s="4">
        <v>266905</v>
      </c>
      <c r="H858" s="4">
        <v>33974</v>
      </c>
      <c r="I858" s="4">
        <v>29990</v>
      </c>
      <c r="J858" s="4">
        <v>1966</v>
      </c>
      <c r="K858" s="4">
        <v>86</v>
      </c>
      <c r="L858" s="4">
        <v>136</v>
      </c>
      <c r="M858" s="4">
        <v>230</v>
      </c>
      <c r="N858" s="4">
        <v>785</v>
      </c>
      <c r="O858" s="5">
        <f t="shared" si="13"/>
        <v>8.06268756252084E-2</v>
      </c>
      <c r="P858" s="2" t="s">
        <v>22</v>
      </c>
    </row>
    <row r="859" spans="1:16" x14ac:dyDescent="0.25">
      <c r="A859" s="6" t="s">
        <v>1787</v>
      </c>
      <c r="B859" s="6" t="s">
        <v>1788</v>
      </c>
      <c r="C859" s="6" t="s">
        <v>32</v>
      </c>
      <c r="D859" s="7" t="s">
        <v>49</v>
      </c>
      <c r="E859" s="7" t="s">
        <v>27</v>
      </c>
      <c r="F859" s="6" t="s">
        <v>35</v>
      </c>
      <c r="G859" s="8">
        <v>102066</v>
      </c>
      <c r="H859" s="8">
        <v>212065</v>
      </c>
      <c r="I859" s="8">
        <v>184874</v>
      </c>
      <c r="J859" s="8">
        <v>16144</v>
      </c>
      <c r="K859" s="8">
        <v>1560</v>
      </c>
      <c r="L859" s="8">
        <v>1376</v>
      </c>
      <c r="M859" s="8">
        <v>29</v>
      </c>
      <c r="N859" s="8">
        <v>2808</v>
      </c>
      <c r="O859" s="9">
        <f t="shared" si="13"/>
        <v>0.10336228999210273</v>
      </c>
      <c r="P859" s="6" t="s">
        <v>22</v>
      </c>
    </row>
    <row r="860" spans="1:16" x14ac:dyDescent="0.25">
      <c r="A860" s="2" t="s">
        <v>1789</v>
      </c>
      <c r="B860" s="2" t="s">
        <v>1790</v>
      </c>
      <c r="C860" s="2" t="s">
        <v>76</v>
      </c>
      <c r="D860" s="3" t="s">
        <v>103</v>
      </c>
      <c r="E860" s="3" t="s">
        <v>27</v>
      </c>
      <c r="F860" s="2" t="s">
        <v>87</v>
      </c>
      <c r="G860" s="4">
        <v>734633</v>
      </c>
      <c r="H860" s="4">
        <v>131597</v>
      </c>
      <c r="I860" s="4">
        <v>100611</v>
      </c>
      <c r="J860" s="4">
        <v>3916</v>
      </c>
      <c r="K860" s="4">
        <v>287</v>
      </c>
      <c r="L860" s="4">
        <v>247</v>
      </c>
      <c r="M860" s="4">
        <v>281</v>
      </c>
      <c r="N860" s="4">
        <v>1269</v>
      </c>
      <c r="O860" s="5">
        <f t="shared" si="13"/>
        <v>4.7022691355815965E-2</v>
      </c>
      <c r="P860" s="2" t="s">
        <v>29</v>
      </c>
    </row>
    <row r="861" spans="1:16" x14ac:dyDescent="0.25">
      <c r="A861" s="6" t="s">
        <v>1791</v>
      </c>
      <c r="B861" s="6" t="s">
        <v>1792</v>
      </c>
      <c r="C861" s="6" t="s">
        <v>76</v>
      </c>
      <c r="D861" s="7" t="s">
        <v>182</v>
      </c>
      <c r="E861" s="7" t="s">
        <v>45</v>
      </c>
      <c r="F861" s="6" t="s">
        <v>155</v>
      </c>
      <c r="G861" s="8">
        <v>812485</v>
      </c>
      <c r="H861" s="8">
        <v>204988</v>
      </c>
      <c r="I861" s="8">
        <v>158827</v>
      </c>
      <c r="J861" s="8">
        <v>12500</v>
      </c>
      <c r="K861" s="8">
        <v>1960</v>
      </c>
      <c r="L861" s="8">
        <v>621</v>
      </c>
      <c r="M861" s="8">
        <v>1736</v>
      </c>
      <c r="N861" s="8">
        <v>5334</v>
      </c>
      <c r="O861" s="9">
        <f t="shared" si="13"/>
        <v>0.10588250108608738</v>
      </c>
      <c r="P861" s="6" t="s">
        <v>66</v>
      </c>
    </row>
    <row r="862" spans="1:16" x14ac:dyDescent="0.25">
      <c r="A862" s="2" t="s">
        <v>1793</v>
      </c>
      <c r="B862" s="2" t="s">
        <v>1794</v>
      </c>
      <c r="C862" s="2" t="s">
        <v>43</v>
      </c>
      <c r="D862" s="3" t="s">
        <v>172</v>
      </c>
      <c r="E862" s="3" t="s">
        <v>34</v>
      </c>
      <c r="F862" s="2" t="s">
        <v>46</v>
      </c>
      <c r="G862" s="4">
        <v>522746</v>
      </c>
      <c r="H862" s="4">
        <v>250073</v>
      </c>
      <c r="I862" s="4">
        <v>214024</v>
      </c>
      <c r="J862" s="4">
        <v>18470</v>
      </c>
      <c r="K862" s="4">
        <v>1574</v>
      </c>
      <c r="L862" s="4">
        <v>1674</v>
      </c>
      <c r="M862" s="4">
        <v>26</v>
      </c>
      <c r="N862" s="4">
        <v>4803</v>
      </c>
      <c r="O862" s="5">
        <f t="shared" si="13"/>
        <v>0.101596082682316</v>
      </c>
      <c r="P862" s="2" t="s">
        <v>22</v>
      </c>
    </row>
    <row r="863" spans="1:16" x14ac:dyDescent="0.25">
      <c r="A863" s="6" t="s">
        <v>1795</v>
      </c>
      <c r="B863" s="6" t="s">
        <v>1796</v>
      </c>
      <c r="C863" s="6" t="s">
        <v>76</v>
      </c>
      <c r="D863" s="7" t="s">
        <v>77</v>
      </c>
      <c r="E863" s="7" t="s">
        <v>50</v>
      </c>
      <c r="F863" s="6" t="s">
        <v>78</v>
      </c>
      <c r="G863" s="8">
        <v>500180</v>
      </c>
      <c r="H863" s="8">
        <v>302101</v>
      </c>
      <c r="I863" s="8">
        <v>219513</v>
      </c>
      <c r="J863" s="8">
        <v>8978</v>
      </c>
      <c r="K863" s="8">
        <v>1037</v>
      </c>
      <c r="L863" s="8">
        <v>955</v>
      </c>
      <c r="M863" s="8">
        <v>1249</v>
      </c>
      <c r="N863" s="8">
        <v>10541</v>
      </c>
      <c r="O863" s="9">
        <f t="shared" si="13"/>
        <v>5.5664129231526152E-2</v>
      </c>
      <c r="P863" s="6" t="s">
        <v>22</v>
      </c>
    </row>
    <row r="864" spans="1:16" x14ac:dyDescent="0.25">
      <c r="A864" s="2" t="s">
        <v>1797</v>
      </c>
      <c r="B864" s="2" t="s">
        <v>1798</v>
      </c>
      <c r="C864" s="2" t="s">
        <v>25</v>
      </c>
      <c r="D864" s="3" t="s">
        <v>61</v>
      </c>
      <c r="E864" s="3" t="s">
        <v>39</v>
      </c>
      <c r="F864" s="2" t="s">
        <v>54</v>
      </c>
      <c r="G864" s="4">
        <v>589352</v>
      </c>
      <c r="H864" s="4">
        <v>1420935</v>
      </c>
      <c r="I864" s="4">
        <v>1036298</v>
      </c>
      <c r="J864" s="4">
        <v>88223</v>
      </c>
      <c r="K864" s="4">
        <v>2794</v>
      </c>
      <c r="L864" s="4">
        <v>2452</v>
      </c>
      <c r="M864" s="4">
        <v>18316</v>
      </c>
      <c r="N864" s="4">
        <v>11911</v>
      </c>
      <c r="O864" s="5">
        <f t="shared" si="13"/>
        <v>0.10786955103647793</v>
      </c>
      <c r="P864" s="2" t="s">
        <v>29</v>
      </c>
    </row>
    <row r="865" spans="1:16" x14ac:dyDescent="0.25">
      <c r="A865" s="6" t="s">
        <v>1799</v>
      </c>
      <c r="B865" s="6" t="s">
        <v>1800</v>
      </c>
      <c r="C865" s="6" t="s">
        <v>25</v>
      </c>
      <c r="D865" s="7" t="s">
        <v>244</v>
      </c>
      <c r="E865" s="7" t="s">
        <v>20</v>
      </c>
      <c r="F865" s="6" t="s">
        <v>65</v>
      </c>
      <c r="G865" s="8">
        <v>842645</v>
      </c>
      <c r="H865" s="8">
        <v>386353</v>
      </c>
      <c r="I865" s="8">
        <v>311138</v>
      </c>
      <c r="J865" s="8">
        <v>10023</v>
      </c>
      <c r="K865" s="8">
        <v>883</v>
      </c>
      <c r="L865" s="8">
        <v>1025</v>
      </c>
      <c r="M865" s="8">
        <v>1586</v>
      </c>
      <c r="N865" s="8">
        <v>11249</v>
      </c>
      <c r="O865" s="9">
        <f t="shared" si="13"/>
        <v>4.34437452191632E-2</v>
      </c>
      <c r="P865" s="6" t="s">
        <v>22</v>
      </c>
    </row>
    <row r="866" spans="1:16" x14ac:dyDescent="0.25">
      <c r="A866" s="2" t="s">
        <v>1801</v>
      </c>
      <c r="B866" s="2" t="s">
        <v>1802</v>
      </c>
      <c r="C866" s="2" t="s">
        <v>76</v>
      </c>
      <c r="D866" s="3" t="s">
        <v>182</v>
      </c>
      <c r="E866" s="3" t="s">
        <v>27</v>
      </c>
      <c r="F866" s="2" t="s">
        <v>87</v>
      </c>
      <c r="G866" s="4">
        <v>596159</v>
      </c>
      <c r="H866" s="4">
        <v>260733</v>
      </c>
      <c r="I866" s="4">
        <v>230683</v>
      </c>
      <c r="J866" s="4">
        <v>10873</v>
      </c>
      <c r="K866" s="4">
        <v>693</v>
      </c>
      <c r="L866" s="4">
        <v>588</v>
      </c>
      <c r="M866" s="4">
        <v>673</v>
      </c>
      <c r="N866" s="4">
        <v>4681</v>
      </c>
      <c r="O866" s="5">
        <f t="shared" si="13"/>
        <v>5.5604444193980487E-2</v>
      </c>
      <c r="P866" s="2" t="s">
        <v>29</v>
      </c>
    </row>
    <row r="867" spans="1:16" x14ac:dyDescent="0.25">
      <c r="A867" s="6" t="s">
        <v>1803</v>
      </c>
      <c r="B867" s="6" t="s">
        <v>1804</v>
      </c>
      <c r="C867" s="6" t="s">
        <v>18</v>
      </c>
      <c r="D867" s="7" t="s">
        <v>57</v>
      </c>
      <c r="E867" s="7" t="s">
        <v>39</v>
      </c>
      <c r="F867" s="6" t="s">
        <v>73</v>
      </c>
      <c r="G867" s="8">
        <v>238137</v>
      </c>
      <c r="H867" s="8">
        <v>36333</v>
      </c>
      <c r="I867" s="8">
        <v>33021</v>
      </c>
      <c r="J867" s="8">
        <v>1837</v>
      </c>
      <c r="K867" s="8">
        <v>167</v>
      </c>
      <c r="L867" s="8">
        <v>244</v>
      </c>
      <c r="M867" s="8">
        <v>325</v>
      </c>
      <c r="N867" s="8">
        <v>444</v>
      </c>
      <c r="O867" s="9">
        <f t="shared" si="13"/>
        <v>7.7920111444232457E-2</v>
      </c>
      <c r="P867" s="6" t="s">
        <v>22</v>
      </c>
    </row>
    <row r="868" spans="1:16" x14ac:dyDescent="0.25">
      <c r="A868" s="2" t="s">
        <v>1805</v>
      </c>
      <c r="B868" s="2" t="s">
        <v>1806</v>
      </c>
      <c r="C868" s="2" t="s">
        <v>76</v>
      </c>
      <c r="D868" s="3" t="s">
        <v>182</v>
      </c>
      <c r="E868" s="3" t="s">
        <v>34</v>
      </c>
      <c r="F868" s="2" t="s">
        <v>87</v>
      </c>
      <c r="G868" s="4">
        <v>741194</v>
      </c>
      <c r="H868" s="4">
        <v>120793</v>
      </c>
      <c r="I868" s="4">
        <v>85616</v>
      </c>
      <c r="J868" s="4">
        <v>4426</v>
      </c>
      <c r="K868" s="4">
        <v>319</v>
      </c>
      <c r="L868" s="4">
        <v>462</v>
      </c>
      <c r="M868" s="4">
        <v>1094</v>
      </c>
      <c r="N868" s="4">
        <v>1841</v>
      </c>
      <c r="O868" s="5">
        <f t="shared" si="13"/>
        <v>7.3596056811810875E-2</v>
      </c>
      <c r="P868" s="2" t="s">
        <v>29</v>
      </c>
    </row>
    <row r="869" spans="1:16" x14ac:dyDescent="0.25">
      <c r="A869" s="6" t="s">
        <v>1807</v>
      </c>
      <c r="B869" s="6" t="s">
        <v>1808</v>
      </c>
      <c r="C869" s="6" t="s">
        <v>32</v>
      </c>
      <c r="D869" s="7" t="s">
        <v>33</v>
      </c>
      <c r="E869" s="7" t="s">
        <v>39</v>
      </c>
      <c r="F869" s="6" t="s">
        <v>35</v>
      </c>
      <c r="G869" s="8">
        <v>796710</v>
      </c>
      <c r="H869" s="8">
        <v>376379</v>
      </c>
      <c r="I869" s="8">
        <v>309850</v>
      </c>
      <c r="J869" s="8">
        <v>22933</v>
      </c>
      <c r="K869" s="8">
        <v>2749</v>
      </c>
      <c r="L869" s="8">
        <v>2801</v>
      </c>
      <c r="M869" s="8">
        <v>8</v>
      </c>
      <c r="N869" s="8">
        <v>7181</v>
      </c>
      <c r="O869" s="9">
        <f t="shared" si="13"/>
        <v>9.1950944005163793E-2</v>
      </c>
      <c r="P869" s="6" t="s">
        <v>22</v>
      </c>
    </row>
    <row r="870" spans="1:16" x14ac:dyDescent="0.25">
      <c r="A870" s="2" t="s">
        <v>1809</v>
      </c>
      <c r="B870" s="2" t="s">
        <v>1810</v>
      </c>
      <c r="C870" s="2" t="s">
        <v>43</v>
      </c>
      <c r="D870" s="3" t="s">
        <v>81</v>
      </c>
      <c r="E870" s="3" t="s">
        <v>50</v>
      </c>
      <c r="F870" s="2" t="s">
        <v>107</v>
      </c>
      <c r="G870" s="4">
        <v>283740</v>
      </c>
      <c r="H870" s="4">
        <v>164174</v>
      </c>
      <c r="I870" s="4">
        <v>133469</v>
      </c>
      <c r="J870" s="4">
        <v>6367</v>
      </c>
      <c r="K870" s="4">
        <v>1056</v>
      </c>
      <c r="L870" s="4">
        <v>878</v>
      </c>
      <c r="M870" s="4">
        <v>36</v>
      </c>
      <c r="N870" s="4">
        <v>1762</v>
      </c>
      <c r="O870" s="5">
        <f t="shared" si="13"/>
        <v>6.2463942938060527E-2</v>
      </c>
      <c r="P870" s="2" t="s">
        <v>66</v>
      </c>
    </row>
    <row r="871" spans="1:16" x14ac:dyDescent="0.25">
      <c r="A871" s="6" t="s">
        <v>1811</v>
      </c>
      <c r="B871" s="6" t="s">
        <v>1812</v>
      </c>
      <c r="C871" s="6" t="s">
        <v>32</v>
      </c>
      <c r="D871" s="7" t="s">
        <v>38</v>
      </c>
      <c r="E871" s="7" t="s">
        <v>50</v>
      </c>
      <c r="F871" s="6" t="s">
        <v>35</v>
      </c>
      <c r="G871" s="8">
        <v>704715</v>
      </c>
      <c r="H871" s="8">
        <v>364999</v>
      </c>
      <c r="I871" s="8">
        <v>266683</v>
      </c>
      <c r="J871" s="8">
        <v>24160</v>
      </c>
      <c r="K871" s="8">
        <v>1793</v>
      </c>
      <c r="L871" s="8">
        <v>2641</v>
      </c>
      <c r="M871" s="8">
        <v>23</v>
      </c>
      <c r="N871" s="8">
        <v>9628</v>
      </c>
      <c r="O871" s="9">
        <f t="shared" si="13"/>
        <v>0.10730717743538208</v>
      </c>
      <c r="P871" s="6" t="s">
        <v>22</v>
      </c>
    </row>
    <row r="872" spans="1:16" x14ac:dyDescent="0.25">
      <c r="A872" s="2" t="s">
        <v>1813</v>
      </c>
      <c r="B872" s="2" t="s">
        <v>1814</v>
      </c>
      <c r="C872" s="2" t="s">
        <v>25</v>
      </c>
      <c r="D872" s="3" t="s">
        <v>145</v>
      </c>
      <c r="E872" s="3" t="s">
        <v>45</v>
      </c>
      <c r="F872" s="2" t="s">
        <v>28</v>
      </c>
      <c r="G872" s="4">
        <v>672115</v>
      </c>
      <c r="H872" s="4">
        <v>282916</v>
      </c>
      <c r="I872" s="4">
        <v>249725</v>
      </c>
      <c r="J872" s="4">
        <v>8766</v>
      </c>
      <c r="K872" s="4">
        <v>1114</v>
      </c>
      <c r="L872" s="4">
        <v>741</v>
      </c>
      <c r="M872" s="4">
        <v>868</v>
      </c>
      <c r="N872" s="4">
        <v>5525</v>
      </c>
      <c r="O872" s="5">
        <f t="shared" si="13"/>
        <v>4.6006607267994791E-2</v>
      </c>
      <c r="P872" s="2" t="s">
        <v>22</v>
      </c>
    </row>
    <row r="873" spans="1:16" x14ac:dyDescent="0.25">
      <c r="A873" s="6" t="s">
        <v>1815</v>
      </c>
      <c r="B873" s="6" t="s">
        <v>1816</v>
      </c>
      <c r="C873" s="6" t="s">
        <v>25</v>
      </c>
      <c r="D873" s="7" t="s">
        <v>244</v>
      </c>
      <c r="E873" s="7" t="s">
        <v>27</v>
      </c>
      <c r="F873" s="6" t="s">
        <v>54</v>
      </c>
      <c r="G873" s="8">
        <v>267302</v>
      </c>
      <c r="H873" s="8">
        <v>78757</v>
      </c>
      <c r="I873" s="8">
        <v>72176</v>
      </c>
      <c r="J873" s="8">
        <v>1590</v>
      </c>
      <c r="K873" s="8">
        <v>92</v>
      </c>
      <c r="L873" s="8">
        <v>224</v>
      </c>
      <c r="M873" s="8">
        <v>374</v>
      </c>
      <c r="N873" s="8">
        <v>1468</v>
      </c>
      <c r="O873" s="9">
        <f t="shared" si="13"/>
        <v>3.1589448015960982E-2</v>
      </c>
      <c r="P873" s="6" t="s">
        <v>66</v>
      </c>
    </row>
    <row r="874" spans="1:16" x14ac:dyDescent="0.25">
      <c r="A874" s="2" t="s">
        <v>1817</v>
      </c>
      <c r="B874" s="2" t="s">
        <v>1818</v>
      </c>
      <c r="C874" s="2" t="s">
        <v>32</v>
      </c>
      <c r="D874" s="3" t="s">
        <v>49</v>
      </c>
      <c r="E874" s="3" t="s">
        <v>50</v>
      </c>
      <c r="F874" s="2" t="s">
        <v>128</v>
      </c>
      <c r="G874" s="4">
        <v>450983</v>
      </c>
      <c r="H874" s="4">
        <v>161924</v>
      </c>
      <c r="I874" s="4">
        <v>130316</v>
      </c>
      <c r="J874" s="4">
        <v>6997</v>
      </c>
      <c r="K874" s="4">
        <v>335</v>
      </c>
      <c r="L874" s="4">
        <v>304</v>
      </c>
      <c r="M874" s="4">
        <v>23</v>
      </c>
      <c r="N874" s="4">
        <v>4502</v>
      </c>
      <c r="O874" s="5">
        <f t="shared" si="13"/>
        <v>5.8772522176862393E-2</v>
      </c>
      <c r="P874" s="2" t="s">
        <v>66</v>
      </c>
    </row>
    <row r="875" spans="1:16" x14ac:dyDescent="0.25">
      <c r="A875" s="6" t="s">
        <v>1819</v>
      </c>
      <c r="B875" s="6" t="s">
        <v>1820</v>
      </c>
      <c r="C875" s="6" t="s">
        <v>43</v>
      </c>
      <c r="D875" s="7" t="s">
        <v>172</v>
      </c>
      <c r="E875" s="7" t="s">
        <v>50</v>
      </c>
      <c r="F875" s="6" t="s">
        <v>70</v>
      </c>
      <c r="G875" s="8">
        <v>824447</v>
      </c>
      <c r="H875" s="8">
        <v>415128</v>
      </c>
      <c r="I875" s="8">
        <v>309302</v>
      </c>
      <c r="J875" s="8">
        <v>30503</v>
      </c>
      <c r="K875" s="8">
        <v>3507</v>
      </c>
      <c r="L875" s="8">
        <v>649</v>
      </c>
      <c r="M875" s="8">
        <v>21</v>
      </c>
      <c r="N875" s="8">
        <v>14241</v>
      </c>
      <c r="O875" s="9">
        <f t="shared" si="13"/>
        <v>0.11212342629533595</v>
      </c>
      <c r="P875" s="6" t="s">
        <v>29</v>
      </c>
    </row>
    <row r="876" spans="1:16" x14ac:dyDescent="0.25">
      <c r="A876" s="2" t="s">
        <v>1821</v>
      </c>
      <c r="B876" s="2" t="s">
        <v>1822</v>
      </c>
      <c r="C876" s="2" t="s">
        <v>25</v>
      </c>
      <c r="D876" s="3" t="s">
        <v>61</v>
      </c>
      <c r="E876" s="3" t="s">
        <v>27</v>
      </c>
      <c r="F876" s="2" t="s">
        <v>28</v>
      </c>
      <c r="G876" s="4">
        <v>581959</v>
      </c>
      <c r="H876" s="4">
        <v>124962</v>
      </c>
      <c r="I876" s="4">
        <v>102695</v>
      </c>
      <c r="J876" s="4">
        <v>4873</v>
      </c>
      <c r="K876" s="4">
        <v>306</v>
      </c>
      <c r="L876" s="4">
        <v>607</v>
      </c>
      <c r="M876" s="4">
        <v>1047</v>
      </c>
      <c r="N876" s="4">
        <v>1386</v>
      </c>
      <c r="O876" s="5">
        <f t="shared" si="13"/>
        <v>6.6536832367690729E-2</v>
      </c>
      <c r="P876" s="2" t="s">
        <v>29</v>
      </c>
    </row>
    <row r="877" spans="1:16" x14ac:dyDescent="0.25">
      <c r="A877" s="6" t="s">
        <v>1823</v>
      </c>
      <c r="B877" s="6" t="s">
        <v>1824</v>
      </c>
      <c r="C877" s="6" t="s">
        <v>43</v>
      </c>
      <c r="D877" s="7" t="s">
        <v>110</v>
      </c>
      <c r="E877" s="7" t="s">
        <v>39</v>
      </c>
      <c r="F877" s="6" t="s">
        <v>70</v>
      </c>
      <c r="G877" s="8">
        <v>102831</v>
      </c>
      <c r="H877" s="8">
        <v>32047</v>
      </c>
      <c r="I877" s="8">
        <v>25672</v>
      </c>
      <c r="J877" s="8">
        <v>959</v>
      </c>
      <c r="K877" s="8">
        <v>53</v>
      </c>
      <c r="L877" s="8">
        <v>46</v>
      </c>
      <c r="M877" s="8">
        <v>6</v>
      </c>
      <c r="N877" s="8">
        <v>163</v>
      </c>
      <c r="O877" s="9">
        <f t="shared" si="13"/>
        <v>4.1445933312558428E-2</v>
      </c>
      <c r="P877" s="6" t="s">
        <v>29</v>
      </c>
    </row>
    <row r="878" spans="1:16" x14ac:dyDescent="0.25">
      <c r="A878" s="2" t="s">
        <v>1825</v>
      </c>
      <c r="B878" s="2" t="s">
        <v>1826</v>
      </c>
      <c r="C878" s="2" t="s">
        <v>32</v>
      </c>
      <c r="D878" s="3" t="s">
        <v>121</v>
      </c>
      <c r="E878" s="3" t="s">
        <v>20</v>
      </c>
      <c r="F878" s="2" t="s">
        <v>51</v>
      </c>
      <c r="G878" s="4">
        <v>107742</v>
      </c>
      <c r="H878" s="4">
        <v>33708</v>
      </c>
      <c r="I878" s="4">
        <v>26877</v>
      </c>
      <c r="J878" s="4">
        <v>2169</v>
      </c>
      <c r="K878" s="4">
        <v>190</v>
      </c>
      <c r="L878" s="4">
        <v>216</v>
      </c>
      <c r="M878" s="4">
        <v>24</v>
      </c>
      <c r="N878" s="4">
        <v>191</v>
      </c>
      <c r="O878" s="5">
        <f t="shared" si="13"/>
        <v>9.6699780481452544E-2</v>
      </c>
      <c r="P878" s="2" t="s">
        <v>29</v>
      </c>
    </row>
    <row r="879" spans="1:16" x14ac:dyDescent="0.25">
      <c r="A879" s="6" t="s">
        <v>1827</v>
      </c>
      <c r="B879" s="6" t="s">
        <v>1828</v>
      </c>
      <c r="C879" s="6" t="s">
        <v>43</v>
      </c>
      <c r="D879" s="7" t="s">
        <v>110</v>
      </c>
      <c r="E879" s="7" t="s">
        <v>50</v>
      </c>
      <c r="F879" s="6" t="s">
        <v>70</v>
      </c>
      <c r="G879" s="8">
        <v>525773</v>
      </c>
      <c r="H879" s="8">
        <v>158312</v>
      </c>
      <c r="I879" s="8">
        <v>131943</v>
      </c>
      <c r="J879" s="8">
        <v>6708</v>
      </c>
      <c r="K879" s="8">
        <v>909</v>
      </c>
      <c r="L879" s="8">
        <v>658</v>
      </c>
      <c r="M879" s="8">
        <v>44</v>
      </c>
      <c r="N879" s="8">
        <v>4036</v>
      </c>
      <c r="O879" s="9">
        <f t="shared" si="13"/>
        <v>6.3049953388963423E-2</v>
      </c>
      <c r="P879" s="6" t="s">
        <v>22</v>
      </c>
    </row>
    <row r="880" spans="1:16" x14ac:dyDescent="0.25">
      <c r="A880" s="2" t="s">
        <v>1829</v>
      </c>
      <c r="B880" s="2" t="s">
        <v>1830</v>
      </c>
      <c r="C880" s="2" t="s">
        <v>18</v>
      </c>
      <c r="D880" s="3" t="s">
        <v>57</v>
      </c>
      <c r="E880" s="3" t="s">
        <v>50</v>
      </c>
      <c r="F880" s="2" t="s">
        <v>21</v>
      </c>
      <c r="G880" s="4">
        <v>752162</v>
      </c>
      <c r="H880" s="4">
        <v>159165</v>
      </c>
      <c r="I880" s="4">
        <v>142150</v>
      </c>
      <c r="J880" s="4">
        <v>12357</v>
      </c>
      <c r="K880" s="4">
        <v>1643</v>
      </c>
      <c r="L880" s="4">
        <v>1152</v>
      </c>
      <c r="M880" s="4">
        <v>2213</v>
      </c>
      <c r="N880" s="4">
        <v>1104</v>
      </c>
      <c r="O880" s="5">
        <f t="shared" si="13"/>
        <v>0.12215969046781569</v>
      </c>
      <c r="P880" s="2" t="s">
        <v>29</v>
      </c>
    </row>
    <row r="881" spans="1:16" x14ac:dyDescent="0.25">
      <c r="A881" s="6" t="s">
        <v>1831</v>
      </c>
      <c r="B881" s="6" t="s">
        <v>1832</v>
      </c>
      <c r="C881" s="6" t="s">
        <v>18</v>
      </c>
      <c r="D881" s="7" t="s">
        <v>57</v>
      </c>
      <c r="E881" s="7" t="s">
        <v>34</v>
      </c>
      <c r="F881" s="6" t="s">
        <v>58</v>
      </c>
      <c r="G881" s="8">
        <v>459985</v>
      </c>
      <c r="H881" s="8">
        <v>275180</v>
      </c>
      <c r="I881" s="8">
        <v>219103</v>
      </c>
      <c r="J881" s="8">
        <v>11253</v>
      </c>
      <c r="K881" s="8">
        <v>791</v>
      </c>
      <c r="L881" s="8">
        <v>1558</v>
      </c>
      <c r="M881" s="8">
        <v>1147</v>
      </c>
      <c r="N881" s="8">
        <v>2681</v>
      </c>
      <c r="O881" s="9">
        <f t="shared" si="13"/>
        <v>6.731537222219687E-2</v>
      </c>
      <c r="P881" s="6" t="s">
        <v>22</v>
      </c>
    </row>
    <row r="882" spans="1:16" x14ac:dyDescent="0.25">
      <c r="A882" s="2" t="s">
        <v>1833</v>
      </c>
      <c r="B882" s="2" t="s">
        <v>1834</v>
      </c>
      <c r="C882" s="2" t="s">
        <v>43</v>
      </c>
      <c r="D882" s="3" t="s">
        <v>44</v>
      </c>
      <c r="E882" s="3" t="s">
        <v>34</v>
      </c>
      <c r="F882" s="2" t="s">
        <v>46</v>
      </c>
      <c r="G882" s="4">
        <v>384781</v>
      </c>
      <c r="H882" s="4">
        <v>80915</v>
      </c>
      <c r="I882" s="4">
        <v>72943</v>
      </c>
      <c r="J882" s="4">
        <v>2066</v>
      </c>
      <c r="K882" s="4">
        <v>277</v>
      </c>
      <c r="L882" s="4">
        <v>54</v>
      </c>
      <c r="M882" s="4">
        <v>5</v>
      </c>
      <c r="N882" s="4">
        <v>1679</v>
      </c>
      <c r="O882" s="5">
        <f t="shared" si="13"/>
        <v>3.2929821915742431E-2</v>
      </c>
      <c r="P882" s="2" t="s">
        <v>22</v>
      </c>
    </row>
    <row r="883" spans="1:16" x14ac:dyDescent="0.25">
      <c r="A883" s="6" t="s">
        <v>1835</v>
      </c>
      <c r="B883" s="6" t="s">
        <v>1836</v>
      </c>
      <c r="C883" s="6" t="s">
        <v>32</v>
      </c>
      <c r="D883" s="7" t="s">
        <v>38</v>
      </c>
      <c r="E883" s="7" t="s">
        <v>20</v>
      </c>
      <c r="F883" s="6" t="s">
        <v>51</v>
      </c>
      <c r="G883" s="8">
        <v>431854</v>
      </c>
      <c r="H883" s="8">
        <v>162674</v>
      </c>
      <c r="I883" s="8">
        <v>145072</v>
      </c>
      <c r="J883" s="8">
        <v>9314</v>
      </c>
      <c r="K883" s="8">
        <v>1079</v>
      </c>
      <c r="L883" s="8">
        <v>1134</v>
      </c>
      <c r="M883" s="8">
        <v>47</v>
      </c>
      <c r="N883" s="8">
        <v>1672</v>
      </c>
      <c r="O883" s="9">
        <f t="shared" si="13"/>
        <v>7.9781074225212315E-2</v>
      </c>
      <c r="P883" s="6" t="s">
        <v>22</v>
      </c>
    </row>
    <row r="884" spans="1:16" x14ac:dyDescent="0.25">
      <c r="A884" s="2" t="s">
        <v>1837</v>
      </c>
      <c r="B884" s="2" t="s">
        <v>1838</v>
      </c>
      <c r="C884" s="2" t="s">
        <v>25</v>
      </c>
      <c r="D884" s="3" t="s">
        <v>61</v>
      </c>
      <c r="E884" s="3" t="s">
        <v>45</v>
      </c>
      <c r="F884" s="2" t="s">
        <v>54</v>
      </c>
      <c r="G884" s="4">
        <v>73155</v>
      </c>
      <c r="H884" s="4">
        <v>17071</v>
      </c>
      <c r="I884" s="4">
        <v>12620</v>
      </c>
      <c r="J884" s="4">
        <v>468</v>
      </c>
      <c r="K884" s="4">
        <v>46</v>
      </c>
      <c r="L884" s="4">
        <v>55</v>
      </c>
      <c r="M884" s="4">
        <v>91</v>
      </c>
      <c r="N884" s="4">
        <v>163</v>
      </c>
      <c r="O884" s="5">
        <f t="shared" si="13"/>
        <v>5.2297939778129951E-2</v>
      </c>
      <c r="P884" s="2" t="s">
        <v>66</v>
      </c>
    </row>
    <row r="885" spans="1:16" x14ac:dyDescent="0.25">
      <c r="A885" s="6" t="s">
        <v>1839</v>
      </c>
      <c r="B885" s="6" t="s">
        <v>1840</v>
      </c>
      <c r="C885" s="6" t="s">
        <v>25</v>
      </c>
      <c r="D885" s="7" t="s">
        <v>244</v>
      </c>
      <c r="E885" s="7" t="s">
        <v>27</v>
      </c>
      <c r="F885" s="6" t="s">
        <v>54</v>
      </c>
      <c r="G885" s="8">
        <v>527745</v>
      </c>
      <c r="H885" s="8">
        <v>59320</v>
      </c>
      <c r="I885" s="8">
        <v>43703</v>
      </c>
      <c r="J885" s="8">
        <v>2855</v>
      </c>
      <c r="K885" s="8">
        <v>448</v>
      </c>
      <c r="L885" s="8">
        <v>146</v>
      </c>
      <c r="M885" s="8">
        <v>490</v>
      </c>
      <c r="N885" s="8">
        <v>950</v>
      </c>
      <c r="O885" s="9">
        <f t="shared" si="13"/>
        <v>9.013111228062147E-2</v>
      </c>
      <c r="P885" s="6" t="s">
        <v>29</v>
      </c>
    </row>
    <row r="886" spans="1:16" x14ac:dyDescent="0.25">
      <c r="A886" s="2" t="s">
        <v>1841</v>
      </c>
      <c r="B886" s="2" t="s">
        <v>1842</v>
      </c>
      <c r="C886" s="2" t="s">
        <v>76</v>
      </c>
      <c r="D886" s="3" t="s">
        <v>86</v>
      </c>
      <c r="E886" s="3" t="s">
        <v>20</v>
      </c>
      <c r="F886" s="2" t="s">
        <v>87</v>
      </c>
      <c r="G886" s="4">
        <v>72832</v>
      </c>
      <c r="H886" s="4">
        <v>11468</v>
      </c>
      <c r="I886" s="4">
        <v>9190</v>
      </c>
      <c r="J886" s="4">
        <v>779</v>
      </c>
      <c r="K886" s="4">
        <v>102</v>
      </c>
      <c r="L886" s="4">
        <v>55</v>
      </c>
      <c r="M886" s="4">
        <v>123</v>
      </c>
      <c r="N886" s="4">
        <v>196</v>
      </c>
      <c r="O886" s="5">
        <f t="shared" si="13"/>
        <v>0.11523394994559304</v>
      </c>
      <c r="P886" s="2" t="s">
        <v>22</v>
      </c>
    </row>
    <row r="887" spans="1:16" x14ac:dyDescent="0.25">
      <c r="A887" s="6" t="s">
        <v>1843</v>
      </c>
      <c r="B887" s="6" t="s">
        <v>1844</v>
      </c>
      <c r="C887" s="6" t="s">
        <v>43</v>
      </c>
      <c r="D887" s="7" t="s">
        <v>172</v>
      </c>
      <c r="E887" s="7" t="s">
        <v>45</v>
      </c>
      <c r="F887" s="6" t="s">
        <v>107</v>
      </c>
      <c r="G887" s="8">
        <v>427381</v>
      </c>
      <c r="H887" s="8">
        <v>161711</v>
      </c>
      <c r="I887" s="8">
        <v>119135</v>
      </c>
      <c r="J887" s="8">
        <v>11558</v>
      </c>
      <c r="K887" s="8">
        <v>565</v>
      </c>
      <c r="L887" s="8">
        <v>285</v>
      </c>
      <c r="M887" s="8">
        <v>4</v>
      </c>
      <c r="N887" s="8">
        <v>3718</v>
      </c>
      <c r="O887" s="9">
        <f t="shared" si="13"/>
        <v>0.1041843287027322</v>
      </c>
      <c r="P887" s="6" t="s">
        <v>22</v>
      </c>
    </row>
    <row r="888" spans="1:16" x14ac:dyDescent="0.25">
      <c r="A888" s="2" t="s">
        <v>1845</v>
      </c>
      <c r="B888" s="2" t="s">
        <v>1846</v>
      </c>
      <c r="C888" s="2" t="s">
        <v>32</v>
      </c>
      <c r="D888" s="3" t="s">
        <v>121</v>
      </c>
      <c r="E888" s="3" t="s">
        <v>39</v>
      </c>
      <c r="F888" s="2" t="s">
        <v>40</v>
      </c>
      <c r="G888" s="4">
        <v>394272</v>
      </c>
      <c r="H888" s="4">
        <v>1455848</v>
      </c>
      <c r="I888" s="4">
        <v>1024231</v>
      </c>
      <c r="J888" s="4">
        <v>67161</v>
      </c>
      <c r="K888" s="4">
        <v>8446</v>
      </c>
      <c r="L888" s="4">
        <v>2628</v>
      </c>
      <c r="M888" s="4">
        <v>37</v>
      </c>
      <c r="N888" s="4">
        <v>41805</v>
      </c>
      <c r="O888" s="5">
        <f t="shared" si="13"/>
        <v>7.6420260663854156E-2</v>
      </c>
      <c r="P888" s="2" t="s">
        <v>29</v>
      </c>
    </row>
    <row r="889" spans="1:16" x14ac:dyDescent="0.25">
      <c r="A889" s="6" t="s">
        <v>1847</v>
      </c>
      <c r="B889" s="6" t="s">
        <v>1848</v>
      </c>
      <c r="C889" s="6" t="s">
        <v>25</v>
      </c>
      <c r="D889" s="7" t="s">
        <v>145</v>
      </c>
      <c r="E889" s="7" t="s">
        <v>20</v>
      </c>
      <c r="F889" s="6" t="s">
        <v>65</v>
      </c>
      <c r="G889" s="8">
        <v>267705</v>
      </c>
      <c r="H889" s="8">
        <v>92577</v>
      </c>
      <c r="I889" s="8">
        <v>72371</v>
      </c>
      <c r="J889" s="8">
        <v>2988</v>
      </c>
      <c r="K889" s="8">
        <v>148</v>
      </c>
      <c r="L889" s="8">
        <v>432</v>
      </c>
      <c r="M889" s="8">
        <v>296</v>
      </c>
      <c r="N889" s="8">
        <v>867</v>
      </c>
      <c r="O889" s="9">
        <f t="shared" si="13"/>
        <v>5.3391551864697184E-2</v>
      </c>
      <c r="P889" s="6" t="s">
        <v>29</v>
      </c>
    </row>
    <row r="890" spans="1:16" x14ac:dyDescent="0.25">
      <c r="A890" s="2" t="s">
        <v>1849</v>
      </c>
      <c r="B890" s="2" t="s">
        <v>1850</v>
      </c>
      <c r="C890" s="2" t="s">
        <v>18</v>
      </c>
      <c r="D890" s="3" t="s">
        <v>57</v>
      </c>
      <c r="E890" s="3" t="s">
        <v>39</v>
      </c>
      <c r="F890" s="2" t="s">
        <v>73</v>
      </c>
      <c r="G890" s="4">
        <v>456934</v>
      </c>
      <c r="H890" s="4">
        <v>113114</v>
      </c>
      <c r="I890" s="4">
        <v>91934</v>
      </c>
      <c r="J890" s="4">
        <v>5500</v>
      </c>
      <c r="K890" s="4">
        <v>935</v>
      </c>
      <c r="L890" s="4">
        <v>731</v>
      </c>
      <c r="M890" s="4">
        <v>802</v>
      </c>
      <c r="N890" s="4">
        <v>1761</v>
      </c>
      <c r="O890" s="5">
        <f t="shared" si="13"/>
        <v>8.6670872582504846E-2</v>
      </c>
      <c r="P890" s="2" t="s">
        <v>22</v>
      </c>
    </row>
    <row r="891" spans="1:16" x14ac:dyDescent="0.25">
      <c r="A891" s="6" t="s">
        <v>1851</v>
      </c>
      <c r="B891" s="6" t="s">
        <v>1852</v>
      </c>
      <c r="C891" s="6" t="s">
        <v>25</v>
      </c>
      <c r="D891" s="7" t="s">
        <v>61</v>
      </c>
      <c r="E891" s="7" t="s">
        <v>50</v>
      </c>
      <c r="F891" s="6" t="s">
        <v>54</v>
      </c>
      <c r="G891" s="8">
        <v>28382</v>
      </c>
      <c r="H891" s="8">
        <v>12473</v>
      </c>
      <c r="I891" s="8">
        <v>8797</v>
      </c>
      <c r="J891" s="8">
        <v>551</v>
      </c>
      <c r="K891" s="8">
        <v>82</v>
      </c>
      <c r="L891" s="8">
        <v>43</v>
      </c>
      <c r="M891" s="8">
        <v>96</v>
      </c>
      <c r="N891" s="8">
        <v>168</v>
      </c>
      <c r="O891" s="9">
        <f t="shared" si="13"/>
        <v>8.7757189951119696E-2</v>
      </c>
      <c r="P891" s="6" t="s">
        <v>22</v>
      </c>
    </row>
    <row r="892" spans="1:16" x14ac:dyDescent="0.25">
      <c r="A892" s="2" t="s">
        <v>1853</v>
      </c>
      <c r="B892" s="2" t="s">
        <v>1854</v>
      </c>
      <c r="C892" s="2" t="s">
        <v>32</v>
      </c>
      <c r="D892" s="3" t="s">
        <v>121</v>
      </c>
      <c r="E892" s="3" t="s">
        <v>39</v>
      </c>
      <c r="F892" s="2" t="s">
        <v>128</v>
      </c>
      <c r="G892" s="4">
        <v>701187</v>
      </c>
      <c r="H892" s="4">
        <v>347325</v>
      </c>
      <c r="I892" s="4">
        <v>281787</v>
      </c>
      <c r="J892" s="4">
        <v>27757</v>
      </c>
      <c r="K892" s="4">
        <v>1471</v>
      </c>
      <c r="L892" s="4">
        <v>3531</v>
      </c>
      <c r="M892" s="4">
        <v>21</v>
      </c>
      <c r="N892" s="4">
        <v>8620</v>
      </c>
      <c r="O892" s="5">
        <f t="shared" si="13"/>
        <v>0.11632900027325604</v>
      </c>
      <c r="P892" s="2" t="s">
        <v>22</v>
      </c>
    </row>
    <row r="893" spans="1:16" x14ac:dyDescent="0.25">
      <c r="A893" s="6" t="s">
        <v>1855</v>
      </c>
      <c r="B893" s="6" t="s">
        <v>1856</v>
      </c>
      <c r="C893" s="6" t="s">
        <v>25</v>
      </c>
      <c r="D893" s="7" t="s">
        <v>64</v>
      </c>
      <c r="E893" s="7" t="s">
        <v>34</v>
      </c>
      <c r="F893" s="6" t="s">
        <v>65</v>
      </c>
      <c r="G893" s="8">
        <v>291655</v>
      </c>
      <c r="H893" s="8">
        <v>30296</v>
      </c>
      <c r="I893" s="8">
        <v>21287</v>
      </c>
      <c r="J893" s="8">
        <v>847</v>
      </c>
      <c r="K893" s="8">
        <v>78</v>
      </c>
      <c r="L893" s="8">
        <v>38</v>
      </c>
      <c r="M893" s="8">
        <v>177</v>
      </c>
      <c r="N893" s="8">
        <v>954</v>
      </c>
      <c r="O893" s="9">
        <f t="shared" si="13"/>
        <v>5.3553812185841126E-2</v>
      </c>
      <c r="P893" s="6" t="s">
        <v>22</v>
      </c>
    </row>
    <row r="894" spans="1:16" x14ac:dyDescent="0.25">
      <c r="A894" s="2" t="s">
        <v>1857</v>
      </c>
      <c r="B894" s="2" t="s">
        <v>1858</v>
      </c>
      <c r="C894" s="2" t="s">
        <v>76</v>
      </c>
      <c r="D894" s="3" t="s">
        <v>77</v>
      </c>
      <c r="E894" s="3" t="s">
        <v>20</v>
      </c>
      <c r="F894" s="2" t="s">
        <v>87</v>
      </c>
      <c r="G894" s="4">
        <v>280904</v>
      </c>
      <c r="H894" s="4">
        <v>148484</v>
      </c>
      <c r="I894" s="4">
        <v>119236</v>
      </c>
      <c r="J894" s="4">
        <v>11711</v>
      </c>
      <c r="K894" s="4">
        <v>1975</v>
      </c>
      <c r="L894" s="4">
        <v>985</v>
      </c>
      <c r="M894" s="4">
        <v>772</v>
      </c>
      <c r="N894" s="4">
        <v>2789</v>
      </c>
      <c r="O894" s="5">
        <f t="shared" si="13"/>
        <v>0.12951625348049248</v>
      </c>
      <c r="P894" s="2" t="s">
        <v>66</v>
      </c>
    </row>
    <row r="895" spans="1:16" x14ac:dyDescent="0.25">
      <c r="A895" s="6" t="s">
        <v>1859</v>
      </c>
      <c r="B895" s="6" t="s">
        <v>1860</v>
      </c>
      <c r="C895" s="6" t="s">
        <v>32</v>
      </c>
      <c r="D895" s="7" t="s">
        <v>38</v>
      </c>
      <c r="E895" s="7" t="s">
        <v>27</v>
      </c>
      <c r="F895" s="6" t="s">
        <v>40</v>
      </c>
      <c r="G895" s="8">
        <v>664701</v>
      </c>
      <c r="H895" s="8">
        <v>252735</v>
      </c>
      <c r="I895" s="8">
        <v>214832</v>
      </c>
      <c r="J895" s="8">
        <v>15920</v>
      </c>
      <c r="K895" s="8">
        <v>1719</v>
      </c>
      <c r="L895" s="8">
        <v>895</v>
      </c>
      <c r="M895" s="8">
        <v>38</v>
      </c>
      <c r="N895" s="8">
        <v>7164</v>
      </c>
      <c r="O895" s="9">
        <f t="shared" si="13"/>
        <v>8.6448946153273254E-2</v>
      </c>
      <c r="P895" s="6" t="s">
        <v>22</v>
      </c>
    </row>
    <row r="896" spans="1:16" x14ac:dyDescent="0.25">
      <c r="A896" s="2" t="s">
        <v>1861</v>
      </c>
      <c r="B896" s="2" t="s">
        <v>1862</v>
      </c>
      <c r="C896" s="2" t="s">
        <v>18</v>
      </c>
      <c r="D896" s="3" t="s">
        <v>231</v>
      </c>
      <c r="E896" s="3" t="s">
        <v>27</v>
      </c>
      <c r="F896" s="2" t="s">
        <v>58</v>
      </c>
      <c r="G896" s="4">
        <v>525607</v>
      </c>
      <c r="H896" s="4">
        <v>339041</v>
      </c>
      <c r="I896" s="4">
        <v>308344</v>
      </c>
      <c r="J896" s="4">
        <v>12890</v>
      </c>
      <c r="K896" s="4">
        <v>2055</v>
      </c>
      <c r="L896" s="4">
        <v>436</v>
      </c>
      <c r="M896" s="4">
        <v>1025</v>
      </c>
      <c r="N896" s="4">
        <v>3969</v>
      </c>
      <c r="O896" s="5">
        <f t="shared" si="13"/>
        <v>5.3206807980696887E-2</v>
      </c>
      <c r="P896" s="2" t="s">
        <v>29</v>
      </c>
    </row>
    <row r="897" spans="1:16" x14ac:dyDescent="0.25">
      <c r="A897" s="6" t="s">
        <v>1863</v>
      </c>
      <c r="B897" s="6" t="s">
        <v>1864</v>
      </c>
      <c r="C897" s="6" t="s">
        <v>25</v>
      </c>
      <c r="D897" s="7" t="s">
        <v>145</v>
      </c>
      <c r="E897" s="7" t="s">
        <v>45</v>
      </c>
      <c r="F897" s="6" t="s">
        <v>28</v>
      </c>
      <c r="G897" s="8">
        <v>435189</v>
      </c>
      <c r="H897" s="8">
        <v>138823</v>
      </c>
      <c r="I897" s="8">
        <v>106310</v>
      </c>
      <c r="J897" s="8">
        <v>4796</v>
      </c>
      <c r="K897" s="8">
        <v>592</v>
      </c>
      <c r="L897" s="8">
        <v>687</v>
      </c>
      <c r="M897" s="8">
        <v>875</v>
      </c>
      <c r="N897" s="8">
        <v>3921</v>
      </c>
      <c r="O897" s="9">
        <f t="shared" si="13"/>
        <v>6.5374847145141565E-2</v>
      </c>
      <c r="P897" s="6" t="s">
        <v>66</v>
      </c>
    </row>
    <row r="898" spans="1:16" x14ac:dyDescent="0.25">
      <c r="A898" s="2" t="s">
        <v>1865</v>
      </c>
      <c r="B898" s="2" t="s">
        <v>1866</v>
      </c>
      <c r="C898" s="2" t="s">
        <v>32</v>
      </c>
      <c r="D898" s="3" t="s">
        <v>49</v>
      </c>
      <c r="E898" s="3" t="s">
        <v>39</v>
      </c>
      <c r="F898" s="2" t="s">
        <v>35</v>
      </c>
      <c r="G898" s="4">
        <v>34581</v>
      </c>
      <c r="H898" s="4">
        <v>10067</v>
      </c>
      <c r="I898" s="4">
        <v>7568</v>
      </c>
      <c r="J898" s="4">
        <v>732</v>
      </c>
      <c r="K898" s="4">
        <v>75</v>
      </c>
      <c r="L898" s="4">
        <v>105</v>
      </c>
      <c r="M898" s="4">
        <v>37</v>
      </c>
      <c r="N898" s="4">
        <v>114</v>
      </c>
      <c r="O898" s="5">
        <f t="shared" ref="O898:O961" si="14">IF(I898&gt;0, (J898+K898+L898+M898)/I898, 0)</f>
        <v>0.12539640591966172</v>
      </c>
      <c r="P898" s="2" t="s">
        <v>22</v>
      </c>
    </row>
    <row r="899" spans="1:16" x14ac:dyDescent="0.25">
      <c r="A899" s="6" t="s">
        <v>1867</v>
      </c>
      <c r="B899" s="6" t="s">
        <v>1868</v>
      </c>
      <c r="C899" s="6" t="s">
        <v>25</v>
      </c>
      <c r="D899" s="7" t="s">
        <v>244</v>
      </c>
      <c r="E899" s="7" t="s">
        <v>20</v>
      </c>
      <c r="F899" s="6" t="s">
        <v>28</v>
      </c>
      <c r="G899" s="8">
        <v>624773</v>
      </c>
      <c r="H899" s="8">
        <v>79496</v>
      </c>
      <c r="I899" s="8">
        <v>57086</v>
      </c>
      <c r="J899" s="8">
        <v>5107</v>
      </c>
      <c r="K899" s="8">
        <v>268</v>
      </c>
      <c r="L899" s="8">
        <v>386</v>
      </c>
      <c r="M899" s="8">
        <v>1171</v>
      </c>
      <c r="N899" s="8">
        <v>2625</v>
      </c>
      <c r="O899" s="9">
        <f t="shared" si="14"/>
        <v>0.1214308236695512</v>
      </c>
      <c r="P899" s="6" t="s">
        <v>29</v>
      </c>
    </row>
    <row r="900" spans="1:16" x14ac:dyDescent="0.25">
      <c r="A900" s="2" t="s">
        <v>1869</v>
      </c>
      <c r="B900" s="2" t="s">
        <v>1870</v>
      </c>
      <c r="C900" s="2" t="s">
        <v>76</v>
      </c>
      <c r="D900" s="3" t="s">
        <v>182</v>
      </c>
      <c r="E900" s="3" t="s">
        <v>20</v>
      </c>
      <c r="F900" s="2" t="s">
        <v>87</v>
      </c>
      <c r="G900" s="4">
        <v>142467</v>
      </c>
      <c r="H900" s="4">
        <v>79901</v>
      </c>
      <c r="I900" s="4">
        <v>67983</v>
      </c>
      <c r="J900" s="4">
        <v>5561</v>
      </c>
      <c r="K900" s="4">
        <v>464</v>
      </c>
      <c r="L900" s="4">
        <v>524</v>
      </c>
      <c r="M900" s="4">
        <v>323</v>
      </c>
      <c r="N900" s="4">
        <v>2539</v>
      </c>
      <c r="O900" s="5">
        <f t="shared" si="14"/>
        <v>0.10108409455305002</v>
      </c>
      <c r="P900" s="2" t="s">
        <v>22</v>
      </c>
    </row>
    <row r="901" spans="1:16" x14ac:dyDescent="0.25">
      <c r="A901" s="6" t="s">
        <v>1871</v>
      </c>
      <c r="B901" s="6" t="s">
        <v>1872</v>
      </c>
      <c r="C901" s="6" t="s">
        <v>43</v>
      </c>
      <c r="D901" s="7" t="s">
        <v>81</v>
      </c>
      <c r="E901" s="7" t="s">
        <v>20</v>
      </c>
      <c r="F901" s="6" t="s">
        <v>70</v>
      </c>
      <c r="G901" s="8">
        <v>412350</v>
      </c>
      <c r="H901" s="8">
        <v>148241</v>
      </c>
      <c r="I901" s="8">
        <v>123120</v>
      </c>
      <c r="J901" s="8">
        <v>8438</v>
      </c>
      <c r="K901" s="8">
        <v>919</v>
      </c>
      <c r="L901" s="8">
        <v>1081</v>
      </c>
      <c r="M901" s="8">
        <v>18</v>
      </c>
      <c r="N901" s="8">
        <v>1357</v>
      </c>
      <c r="O901" s="9">
        <f t="shared" si="14"/>
        <v>8.492527615334633E-2</v>
      </c>
      <c r="P901" s="6" t="s">
        <v>22</v>
      </c>
    </row>
    <row r="902" spans="1:16" x14ac:dyDescent="0.25">
      <c r="A902" s="2" t="s">
        <v>1873</v>
      </c>
      <c r="B902" s="2" t="s">
        <v>1874</v>
      </c>
      <c r="C902" s="2" t="s">
        <v>43</v>
      </c>
      <c r="D902" s="3" t="s">
        <v>81</v>
      </c>
      <c r="E902" s="3" t="s">
        <v>39</v>
      </c>
      <c r="F902" s="2" t="s">
        <v>107</v>
      </c>
      <c r="G902" s="4">
        <v>237162</v>
      </c>
      <c r="H902" s="4">
        <v>23303</v>
      </c>
      <c r="I902" s="4">
        <v>19721</v>
      </c>
      <c r="J902" s="4">
        <v>1437</v>
      </c>
      <c r="K902" s="4">
        <v>217</v>
      </c>
      <c r="L902" s="4">
        <v>95</v>
      </c>
      <c r="M902" s="4">
        <v>32</v>
      </c>
      <c r="N902" s="4">
        <v>330</v>
      </c>
      <c r="O902" s="5">
        <f t="shared" si="14"/>
        <v>9.0309822017139094E-2</v>
      </c>
      <c r="P902" s="2" t="s">
        <v>29</v>
      </c>
    </row>
    <row r="903" spans="1:16" x14ac:dyDescent="0.25">
      <c r="A903" s="6" t="s">
        <v>1875</v>
      </c>
      <c r="B903" s="6" t="s">
        <v>1876</v>
      </c>
      <c r="C903" s="6" t="s">
        <v>25</v>
      </c>
      <c r="D903" s="7" t="s">
        <v>244</v>
      </c>
      <c r="E903" s="7" t="s">
        <v>45</v>
      </c>
      <c r="F903" s="6" t="s">
        <v>28</v>
      </c>
      <c r="G903" s="8">
        <v>223274</v>
      </c>
      <c r="H903" s="8">
        <v>36789</v>
      </c>
      <c r="I903" s="8">
        <v>26050</v>
      </c>
      <c r="J903" s="8">
        <v>865</v>
      </c>
      <c r="K903" s="8">
        <v>139</v>
      </c>
      <c r="L903" s="8">
        <v>33</v>
      </c>
      <c r="M903" s="8">
        <v>215</v>
      </c>
      <c r="N903" s="8">
        <v>323</v>
      </c>
      <c r="O903" s="9">
        <f t="shared" si="14"/>
        <v>4.8061420345489443E-2</v>
      </c>
      <c r="P903" s="6" t="s">
        <v>29</v>
      </c>
    </row>
    <row r="904" spans="1:16" x14ac:dyDescent="0.25">
      <c r="A904" s="2" t="s">
        <v>1877</v>
      </c>
      <c r="B904" s="2" t="s">
        <v>1878</v>
      </c>
      <c r="C904" s="2" t="s">
        <v>43</v>
      </c>
      <c r="D904" s="3" t="s">
        <v>44</v>
      </c>
      <c r="E904" s="3" t="s">
        <v>45</v>
      </c>
      <c r="F904" s="2" t="s">
        <v>46</v>
      </c>
      <c r="G904" s="4">
        <v>458981</v>
      </c>
      <c r="H904" s="4">
        <v>279991</v>
      </c>
      <c r="I904" s="4">
        <v>254054</v>
      </c>
      <c r="J904" s="4">
        <v>14875</v>
      </c>
      <c r="K904" s="4">
        <v>1757</v>
      </c>
      <c r="L904" s="4">
        <v>2110</v>
      </c>
      <c r="M904" s="4">
        <v>13</v>
      </c>
      <c r="N904" s="4">
        <v>8922</v>
      </c>
      <c r="O904" s="5">
        <f t="shared" si="14"/>
        <v>7.3822888047422985E-2</v>
      </c>
      <c r="P904" s="2" t="s">
        <v>29</v>
      </c>
    </row>
    <row r="905" spans="1:16" x14ac:dyDescent="0.25">
      <c r="A905" s="6" t="s">
        <v>1879</v>
      </c>
      <c r="B905" s="6" t="s">
        <v>1880</v>
      </c>
      <c r="C905" s="6" t="s">
        <v>18</v>
      </c>
      <c r="D905" s="7" t="s">
        <v>226</v>
      </c>
      <c r="E905" s="7" t="s">
        <v>34</v>
      </c>
      <c r="F905" s="6" t="s">
        <v>21</v>
      </c>
      <c r="G905" s="8">
        <v>845164</v>
      </c>
      <c r="H905" s="8">
        <v>157488</v>
      </c>
      <c r="I905" s="8">
        <v>126300</v>
      </c>
      <c r="J905" s="8">
        <v>12282</v>
      </c>
      <c r="K905" s="8">
        <v>1812</v>
      </c>
      <c r="L905" s="8">
        <v>1622</v>
      </c>
      <c r="M905" s="8">
        <v>1718</v>
      </c>
      <c r="N905" s="8">
        <v>4641</v>
      </c>
      <c r="O905" s="9">
        <f t="shared" si="14"/>
        <v>0.13803642121931908</v>
      </c>
      <c r="P905" s="6" t="s">
        <v>29</v>
      </c>
    </row>
    <row r="906" spans="1:16" x14ac:dyDescent="0.25">
      <c r="A906" s="2" t="s">
        <v>1881</v>
      </c>
      <c r="B906" s="2" t="s">
        <v>1882</v>
      </c>
      <c r="C906" s="2" t="s">
        <v>43</v>
      </c>
      <c r="D906" s="3" t="s">
        <v>44</v>
      </c>
      <c r="E906" s="3" t="s">
        <v>34</v>
      </c>
      <c r="F906" s="2" t="s">
        <v>70</v>
      </c>
      <c r="G906" s="4">
        <v>265273</v>
      </c>
      <c r="H906" s="4">
        <v>94842</v>
      </c>
      <c r="I906" s="4">
        <v>69480</v>
      </c>
      <c r="J906" s="4">
        <v>6928</v>
      </c>
      <c r="K906" s="4">
        <v>457</v>
      </c>
      <c r="L906" s="4">
        <v>682</v>
      </c>
      <c r="M906" s="4">
        <v>17</v>
      </c>
      <c r="N906" s="4">
        <v>3055</v>
      </c>
      <c r="O906" s="5">
        <f t="shared" si="14"/>
        <v>0.11635002878526195</v>
      </c>
      <c r="P906" s="2" t="s">
        <v>29</v>
      </c>
    </row>
    <row r="907" spans="1:16" x14ac:dyDescent="0.25">
      <c r="A907" s="6" t="s">
        <v>1883</v>
      </c>
      <c r="B907" s="6" t="s">
        <v>1884</v>
      </c>
      <c r="C907" s="6" t="s">
        <v>18</v>
      </c>
      <c r="D907" s="7" t="s">
        <v>231</v>
      </c>
      <c r="E907" s="7" t="s">
        <v>27</v>
      </c>
      <c r="F907" s="6" t="s">
        <v>58</v>
      </c>
      <c r="G907" s="8">
        <v>356058</v>
      </c>
      <c r="H907" s="8">
        <v>1307655</v>
      </c>
      <c r="I907" s="8">
        <v>1194203</v>
      </c>
      <c r="J907" s="8">
        <v>41979</v>
      </c>
      <c r="K907" s="8">
        <v>2190</v>
      </c>
      <c r="L907" s="8">
        <v>4552</v>
      </c>
      <c r="M907" s="8">
        <v>9300</v>
      </c>
      <c r="N907" s="8">
        <v>35727</v>
      </c>
      <c r="O907" s="9">
        <f t="shared" si="14"/>
        <v>4.8585541989092304E-2</v>
      </c>
      <c r="P907" s="6" t="s">
        <v>22</v>
      </c>
    </row>
    <row r="908" spans="1:16" x14ac:dyDescent="0.25">
      <c r="A908" s="2" t="s">
        <v>1885</v>
      </c>
      <c r="B908" s="2" t="s">
        <v>1886</v>
      </c>
      <c r="C908" s="2" t="s">
        <v>43</v>
      </c>
      <c r="D908" s="3" t="s">
        <v>44</v>
      </c>
      <c r="E908" s="3" t="s">
        <v>39</v>
      </c>
      <c r="F908" s="2" t="s">
        <v>107</v>
      </c>
      <c r="G908" s="4">
        <v>841653</v>
      </c>
      <c r="H908" s="4">
        <v>4914110</v>
      </c>
      <c r="I908" s="4">
        <v>4031374</v>
      </c>
      <c r="J908" s="4">
        <v>257143</v>
      </c>
      <c r="K908" s="4">
        <v>36865</v>
      </c>
      <c r="L908" s="4">
        <v>6630</v>
      </c>
      <c r="M908" s="4">
        <v>21</v>
      </c>
      <c r="N908" s="4">
        <v>27211</v>
      </c>
      <c r="O908" s="5">
        <f t="shared" si="14"/>
        <v>7.4579783468365871E-2</v>
      </c>
      <c r="P908" s="2" t="s">
        <v>22</v>
      </c>
    </row>
    <row r="909" spans="1:16" x14ac:dyDescent="0.25">
      <c r="A909" s="6" t="s">
        <v>1887</v>
      </c>
      <c r="B909" s="6" t="s">
        <v>1888</v>
      </c>
      <c r="C909" s="6" t="s">
        <v>32</v>
      </c>
      <c r="D909" s="7" t="s">
        <v>121</v>
      </c>
      <c r="E909" s="7" t="s">
        <v>27</v>
      </c>
      <c r="F909" s="6" t="s">
        <v>51</v>
      </c>
      <c r="G909" s="8">
        <v>332989</v>
      </c>
      <c r="H909" s="8">
        <v>68946</v>
      </c>
      <c r="I909" s="8">
        <v>52816</v>
      </c>
      <c r="J909" s="8">
        <v>4076</v>
      </c>
      <c r="K909" s="8">
        <v>145</v>
      </c>
      <c r="L909" s="8">
        <v>203</v>
      </c>
      <c r="M909" s="8">
        <v>37</v>
      </c>
      <c r="N909" s="8">
        <v>870</v>
      </c>
      <c r="O909" s="9">
        <f t="shared" si="14"/>
        <v>8.446304150257497E-2</v>
      </c>
      <c r="P909" s="6" t="s">
        <v>22</v>
      </c>
    </row>
    <row r="910" spans="1:16" x14ac:dyDescent="0.25">
      <c r="A910" s="2" t="s">
        <v>1889</v>
      </c>
      <c r="B910" s="2" t="s">
        <v>1890</v>
      </c>
      <c r="C910" s="2" t="s">
        <v>32</v>
      </c>
      <c r="D910" s="3" t="s">
        <v>49</v>
      </c>
      <c r="E910" s="3" t="s">
        <v>39</v>
      </c>
      <c r="F910" s="2" t="s">
        <v>128</v>
      </c>
      <c r="G910" s="4">
        <v>453398</v>
      </c>
      <c r="H910" s="4">
        <v>55940</v>
      </c>
      <c r="I910" s="4">
        <v>42525</v>
      </c>
      <c r="J910" s="4">
        <v>3852</v>
      </c>
      <c r="K910" s="4">
        <v>431</v>
      </c>
      <c r="L910" s="4">
        <v>285</v>
      </c>
      <c r="M910" s="4">
        <v>32</v>
      </c>
      <c r="N910" s="4">
        <v>1737</v>
      </c>
      <c r="O910" s="5">
        <f t="shared" si="14"/>
        <v>0.10817166372721929</v>
      </c>
      <c r="P910" s="2" t="s">
        <v>29</v>
      </c>
    </row>
    <row r="911" spans="1:16" x14ac:dyDescent="0.25">
      <c r="A911" s="6" t="s">
        <v>1891</v>
      </c>
      <c r="B911" s="6" t="s">
        <v>1892</v>
      </c>
      <c r="C911" s="6" t="s">
        <v>43</v>
      </c>
      <c r="D911" s="7" t="s">
        <v>81</v>
      </c>
      <c r="E911" s="7" t="s">
        <v>39</v>
      </c>
      <c r="F911" s="6" t="s">
        <v>107</v>
      </c>
      <c r="G911" s="8">
        <v>226281</v>
      </c>
      <c r="H911" s="8">
        <v>89345</v>
      </c>
      <c r="I911" s="8">
        <v>64819</v>
      </c>
      <c r="J911" s="8">
        <v>3045</v>
      </c>
      <c r="K911" s="8">
        <v>543</v>
      </c>
      <c r="L911" s="8">
        <v>282</v>
      </c>
      <c r="M911" s="8">
        <v>21</v>
      </c>
      <c r="N911" s="8">
        <v>921</v>
      </c>
      <c r="O911" s="9">
        <f t="shared" si="14"/>
        <v>6.0028695289961277E-2</v>
      </c>
      <c r="P911" s="6" t="s">
        <v>29</v>
      </c>
    </row>
    <row r="912" spans="1:16" x14ac:dyDescent="0.25">
      <c r="A912" s="2" t="s">
        <v>1893</v>
      </c>
      <c r="B912" s="2" t="s">
        <v>1894</v>
      </c>
      <c r="C912" s="2" t="s">
        <v>18</v>
      </c>
      <c r="D912" s="3" t="s">
        <v>19</v>
      </c>
      <c r="E912" s="3" t="s">
        <v>39</v>
      </c>
      <c r="F912" s="2" t="s">
        <v>21</v>
      </c>
      <c r="G912" s="4">
        <v>106791</v>
      </c>
      <c r="H912" s="4">
        <v>54160</v>
      </c>
      <c r="I912" s="4">
        <v>39925</v>
      </c>
      <c r="J912" s="4">
        <v>2033</v>
      </c>
      <c r="K912" s="4">
        <v>139</v>
      </c>
      <c r="L912" s="4">
        <v>83</v>
      </c>
      <c r="M912" s="4">
        <v>275</v>
      </c>
      <c r="N912" s="4">
        <v>1455</v>
      </c>
      <c r="O912" s="5">
        <f t="shared" si="14"/>
        <v>6.3368816530995617E-2</v>
      </c>
      <c r="P912" s="2" t="s">
        <v>22</v>
      </c>
    </row>
    <row r="913" spans="1:16" x14ac:dyDescent="0.25">
      <c r="A913" s="6" t="s">
        <v>1895</v>
      </c>
      <c r="B913" s="6" t="s">
        <v>1896</v>
      </c>
      <c r="C913" s="6" t="s">
        <v>43</v>
      </c>
      <c r="D913" s="7" t="s">
        <v>81</v>
      </c>
      <c r="E913" s="7" t="s">
        <v>34</v>
      </c>
      <c r="F913" s="6" t="s">
        <v>70</v>
      </c>
      <c r="G913" s="8">
        <v>129839</v>
      </c>
      <c r="H913" s="8">
        <v>10633</v>
      </c>
      <c r="I913" s="8">
        <v>7597</v>
      </c>
      <c r="J913" s="8">
        <v>704</v>
      </c>
      <c r="K913" s="8">
        <v>101</v>
      </c>
      <c r="L913" s="8">
        <v>38</v>
      </c>
      <c r="M913" s="8">
        <v>11</v>
      </c>
      <c r="N913" s="8">
        <v>89</v>
      </c>
      <c r="O913" s="9">
        <f t="shared" si="14"/>
        <v>0.11241279452415427</v>
      </c>
      <c r="P913" s="6" t="s">
        <v>22</v>
      </c>
    </row>
    <row r="914" spans="1:16" x14ac:dyDescent="0.25">
      <c r="A914" s="2" t="s">
        <v>1897</v>
      </c>
      <c r="B914" s="2" t="s">
        <v>1898</v>
      </c>
      <c r="C914" s="2" t="s">
        <v>43</v>
      </c>
      <c r="D914" s="3" t="s">
        <v>69</v>
      </c>
      <c r="E914" s="3" t="s">
        <v>27</v>
      </c>
      <c r="F914" s="2" t="s">
        <v>70</v>
      </c>
      <c r="G914" s="4">
        <v>507118</v>
      </c>
      <c r="H914" s="4">
        <v>121014</v>
      </c>
      <c r="I914" s="4">
        <v>94194</v>
      </c>
      <c r="J914" s="4">
        <v>3088</v>
      </c>
      <c r="K914" s="4">
        <v>174</v>
      </c>
      <c r="L914" s="4">
        <v>385</v>
      </c>
      <c r="M914" s="4">
        <v>34</v>
      </c>
      <c r="N914" s="4">
        <v>4035</v>
      </c>
      <c r="O914" s="5">
        <f t="shared" si="14"/>
        <v>3.9078922224345503E-2</v>
      </c>
      <c r="P914" s="2" t="s">
        <v>29</v>
      </c>
    </row>
    <row r="915" spans="1:16" x14ac:dyDescent="0.25">
      <c r="A915" s="6" t="s">
        <v>1899</v>
      </c>
      <c r="B915" s="6" t="s">
        <v>1900</v>
      </c>
      <c r="C915" s="6" t="s">
        <v>25</v>
      </c>
      <c r="D915" s="7" t="s">
        <v>244</v>
      </c>
      <c r="E915" s="7" t="s">
        <v>20</v>
      </c>
      <c r="F915" s="6" t="s">
        <v>146</v>
      </c>
      <c r="G915" s="8">
        <v>504443</v>
      </c>
      <c r="H915" s="8">
        <v>258107</v>
      </c>
      <c r="I915" s="8">
        <v>182366</v>
      </c>
      <c r="J915" s="8">
        <v>18379</v>
      </c>
      <c r="K915" s="8">
        <v>2736</v>
      </c>
      <c r="L915" s="8">
        <v>1400</v>
      </c>
      <c r="M915" s="8">
        <v>3886</v>
      </c>
      <c r="N915" s="8">
        <v>7298</v>
      </c>
      <c r="O915" s="9">
        <f t="shared" si="14"/>
        <v>0.14476931006876281</v>
      </c>
      <c r="P915" s="6" t="s">
        <v>22</v>
      </c>
    </row>
    <row r="916" spans="1:16" x14ac:dyDescent="0.25">
      <c r="A916" s="2" t="s">
        <v>1901</v>
      </c>
      <c r="B916" s="2" t="s">
        <v>1902</v>
      </c>
      <c r="C916" s="2" t="s">
        <v>32</v>
      </c>
      <c r="D916" s="3" t="s">
        <v>33</v>
      </c>
      <c r="E916" s="3" t="s">
        <v>45</v>
      </c>
      <c r="F916" s="2" t="s">
        <v>128</v>
      </c>
      <c r="G916" s="4">
        <v>783323</v>
      </c>
      <c r="H916" s="4">
        <v>356023</v>
      </c>
      <c r="I916" s="4">
        <v>287938</v>
      </c>
      <c r="J916" s="4">
        <v>23586</v>
      </c>
      <c r="K916" s="4">
        <v>2077</v>
      </c>
      <c r="L916" s="4">
        <v>2441</v>
      </c>
      <c r="M916" s="4">
        <v>12</v>
      </c>
      <c r="N916" s="4">
        <v>11392</v>
      </c>
      <c r="O916" s="5">
        <f t="shared" si="14"/>
        <v>9.7646021018413687E-2</v>
      </c>
      <c r="P916" s="2" t="s">
        <v>22</v>
      </c>
    </row>
    <row r="917" spans="1:16" x14ac:dyDescent="0.25">
      <c r="A917" s="6" t="s">
        <v>1903</v>
      </c>
      <c r="B917" s="6" t="s">
        <v>1904</v>
      </c>
      <c r="C917" s="6" t="s">
        <v>76</v>
      </c>
      <c r="D917" s="7" t="s">
        <v>103</v>
      </c>
      <c r="E917" s="7" t="s">
        <v>45</v>
      </c>
      <c r="F917" s="6" t="s">
        <v>78</v>
      </c>
      <c r="G917" s="8">
        <v>438218</v>
      </c>
      <c r="H917" s="8">
        <v>36915</v>
      </c>
      <c r="I917" s="8">
        <v>32841</v>
      </c>
      <c r="J917" s="8">
        <v>927</v>
      </c>
      <c r="K917" s="8">
        <v>145</v>
      </c>
      <c r="L917" s="8">
        <v>90</v>
      </c>
      <c r="M917" s="8">
        <v>150</v>
      </c>
      <c r="N917" s="8">
        <v>313</v>
      </c>
      <c r="O917" s="9">
        <f t="shared" si="14"/>
        <v>3.9950062421972535E-2</v>
      </c>
      <c r="P917" s="6" t="s">
        <v>22</v>
      </c>
    </row>
    <row r="918" spans="1:16" x14ac:dyDescent="0.25">
      <c r="A918" s="2" t="s">
        <v>1905</v>
      </c>
      <c r="B918" s="2" t="s">
        <v>1906</v>
      </c>
      <c r="C918" s="2" t="s">
        <v>18</v>
      </c>
      <c r="D918" s="3" t="s">
        <v>226</v>
      </c>
      <c r="E918" s="3" t="s">
        <v>27</v>
      </c>
      <c r="F918" s="2" t="s">
        <v>21</v>
      </c>
      <c r="G918" s="4">
        <v>826834</v>
      </c>
      <c r="H918" s="4">
        <v>215578</v>
      </c>
      <c r="I918" s="4">
        <v>176376</v>
      </c>
      <c r="J918" s="4">
        <v>9817</v>
      </c>
      <c r="K918" s="4">
        <v>351</v>
      </c>
      <c r="L918" s="4">
        <v>332</v>
      </c>
      <c r="M918" s="4">
        <v>2334</v>
      </c>
      <c r="N918" s="4">
        <v>5377</v>
      </c>
      <c r="O918" s="5">
        <f t="shared" si="14"/>
        <v>7.2765002041094026E-2</v>
      </c>
      <c r="P918" s="2" t="s">
        <v>66</v>
      </c>
    </row>
    <row r="919" spans="1:16" x14ac:dyDescent="0.25">
      <c r="A919" s="6" t="s">
        <v>1907</v>
      </c>
      <c r="B919" s="6" t="s">
        <v>1908</v>
      </c>
      <c r="C919" s="6" t="s">
        <v>25</v>
      </c>
      <c r="D919" s="7" t="s">
        <v>244</v>
      </c>
      <c r="E919" s="7" t="s">
        <v>50</v>
      </c>
      <c r="F919" s="6" t="s">
        <v>65</v>
      </c>
      <c r="G919" s="8">
        <v>80511</v>
      </c>
      <c r="H919" s="8">
        <v>23135</v>
      </c>
      <c r="I919" s="8">
        <v>17764</v>
      </c>
      <c r="J919" s="8">
        <v>878</v>
      </c>
      <c r="K919" s="8">
        <v>29</v>
      </c>
      <c r="L919" s="8">
        <v>129</v>
      </c>
      <c r="M919" s="8">
        <v>101</v>
      </c>
      <c r="N919" s="8">
        <v>609</v>
      </c>
      <c r="O919" s="9">
        <f t="shared" si="14"/>
        <v>6.4005854537266385E-2</v>
      </c>
      <c r="P919" s="6" t="s">
        <v>29</v>
      </c>
    </row>
    <row r="920" spans="1:16" x14ac:dyDescent="0.25">
      <c r="A920" s="2" t="s">
        <v>1909</v>
      </c>
      <c r="B920" s="2" t="s">
        <v>1910</v>
      </c>
      <c r="C920" s="2" t="s">
        <v>76</v>
      </c>
      <c r="D920" s="3" t="s">
        <v>103</v>
      </c>
      <c r="E920" s="3" t="s">
        <v>34</v>
      </c>
      <c r="F920" s="2" t="s">
        <v>87</v>
      </c>
      <c r="G920" s="4">
        <v>279533</v>
      </c>
      <c r="H920" s="4">
        <v>73080</v>
      </c>
      <c r="I920" s="4">
        <v>54092</v>
      </c>
      <c r="J920" s="4">
        <v>2392</v>
      </c>
      <c r="K920" s="4">
        <v>358</v>
      </c>
      <c r="L920" s="4">
        <v>119</v>
      </c>
      <c r="M920" s="4">
        <v>251</v>
      </c>
      <c r="N920" s="4">
        <v>2210</v>
      </c>
      <c r="O920" s="5">
        <f t="shared" si="14"/>
        <v>5.7679508984692748E-2</v>
      </c>
      <c r="P920" s="2" t="s">
        <v>22</v>
      </c>
    </row>
    <row r="921" spans="1:16" x14ac:dyDescent="0.25">
      <c r="A921" s="6" t="s">
        <v>1911</v>
      </c>
      <c r="B921" s="6" t="s">
        <v>1912</v>
      </c>
      <c r="C921" s="6" t="s">
        <v>43</v>
      </c>
      <c r="D921" s="7" t="s">
        <v>172</v>
      </c>
      <c r="E921" s="7" t="s">
        <v>45</v>
      </c>
      <c r="F921" s="6" t="s">
        <v>107</v>
      </c>
      <c r="G921" s="8">
        <v>314143</v>
      </c>
      <c r="H921" s="8">
        <v>142935</v>
      </c>
      <c r="I921" s="8">
        <v>128208</v>
      </c>
      <c r="J921" s="8">
        <v>9310</v>
      </c>
      <c r="K921" s="8">
        <v>336</v>
      </c>
      <c r="L921" s="8">
        <v>1298</v>
      </c>
      <c r="M921" s="8">
        <v>26</v>
      </c>
      <c r="N921" s="8">
        <v>1113</v>
      </c>
      <c r="O921" s="9">
        <f t="shared" si="14"/>
        <v>8.5564083364532639E-2</v>
      </c>
      <c r="P921" s="6" t="s">
        <v>22</v>
      </c>
    </row>
    <row r="922" spans="1:16" x14ac:dyDescent="0.25">
      <c r="A922" s="2" t="s">
        <v>1913</v>
      </c>
      <c r="B922" s="2" t="s">
        <v>1914</v>
      </c>
      <c r="C922" s="2" t="s">
        <v>76</v>
      </c>
      <c r="D922" s="3" t="s">
        <v>189</v>
      </c>
      <c r="E922" s="3" t="s">
        <v>34</v>
      </c>
      <c r="F922" s="2" t="s">
        <v>87</v>
      </c>
      <c r="G922" s="4">
        <v>502646</v>
      </c>
      <c r="H922" s="4">
        <v>272140</v>
      </c>
      <c r="I922" s="4">
        <v>222945</v>
      </c>
      <c r="J922" s="4">
        <v>9758</v>
      </c>
      <c r="K922" s="4">
        <v>1157</v>
      </c>
      <c r="L922" s="4">
        <v>907</v>
      </c>
      <c r="M922" s="4">
        <v>2037</v>
      </c>
      <c r="N922" s="4">
        <v>2030</v>
      </c>
      <c r="O922" s="5">
        <f t="shared" si="14"/>
        <v>6.2163313821794616E-2</v>
      </c>
      <c r="P922" s="2" t="s">
        <v>22</v>
      </c>
    </row>
    <row r="923" spans="1:16" x14ac:dyDescent="0.25">
      <c r="A923" s="6" t="s">
        <v>1915</v>
      </c>
      <c r="B923" s="6" t="s">
        <v>1916</v>
      </c>
      <c r="C923" s="6" t="s">
        <v>76</v>
      </c>
      <c r="D923" s="7" t="s">
        <v>77</v>
      </c>
      <c r="E923" s="7" t="s">
        <v>39</v>
      </c>
      <c r="F923" s="6" t="s">
        <v>155</v>
      </c>
      <c r="G923" s="8">
        <v>766648</v>
      </c>
      <c r="H923" s="8">
        <v>135344</v>
      </c>
      <c r="I923" s="8">
        <v>120461</v>
      </c>
      <c r="J923" s="8">
        <v>6845</v>
      </c>
      <c r="K923" s="8">
        <v>1221</v>
      </c>
      <c r="L923" s="8">
        <v>141</v>
      </c>
      <c r="M923" s="8">
        <v>1058</v>
      </c>
      <c r="N923" s="8">
        <v>1786</v>
      </c>
      <c r="O923" s="9">
        <f t="shared" si="14"/>
        <v>7.6912859763740959E-2</v>
      </c>
      <c r="P923" s="6" t="s">
        <v>29</v>
      </c>
    </row>
    <row r="924" spans="1:16" x14ac:dyDescent="0.25">
      <c r="A924" s="2" t="s">
        <v>1917</v>
      </c>
      <c r="B924" s="2" t="s">
        <v>1918</v>
      </c>
      <c r="C924" s="2" t="s">
        <v>25</v>
      </c>
      <c r="D924" s="3" t="s">
        <v>145</v>
      </c>
      <c r="E924" s="3" t="s">
        <v>39</v>
      </c>
      <c r="F924" s="2" t="s">
        <v>146</v>
      </c>
      <c r="G924" s="4">
        <v>645547</v>
      </c>
      <c r="H924" s="4">
        <v>122466</v>
      </c>
      <c r="I924" s="4">
        <v>93612</v>
      </c>
      <c r="J924" s="4">
        <v>3450</v>
      </c>
      <c r="K924" s="4">
        <v>607</v>
      </c>
      <c r="L924" s="4">
        <v>253</v>
      </c>
      <c r="M924" s="4">
        <v>571</v>
      </c>
      <c r="N924" s="4">
        <v>1601</v>
      </c>
      <c r="O924" s="5">
        <f t="shared" si="14"/>
        <v>5.2140751185745418E-2</v>
      </c>
      <c r="P924" s="2" t="s">
        <v>29</v>
      </c>
    </row>
    <row r="925" spans="1:16" x14ac:dyDescent="0.25">
      <c r="A925" s="6" t="s">
        <v>1919</v>
      </c>
      <c r="B925" s="6" t="s">
        <v>1920</v>
      </c>
      <c r="C925" s="6" t="s">
        <v>18</v>
      </c>
      <c r="D925" s="7" t="s">
        <v>92</v>
      </c>
      <c r="E925" s="7" t="s">
        <v>39</v>
      </c>
      <c r="F925" s="6" t="s">
        <v>21</v>
      </c>
      <c r="G925" s="8">
        <v>122678</v>
      </c>
      <c r="H925" s="8">
        <v>23181</v>
      </c>
      <c r="I925" s="8">
        <v>19752</v>
      </c>
      <c r="J925" s="8">
        <v>1265</v>
      </c>
      <c r="K925" s="8">
        <v>192</v>
      </c>
      <c r="L925" s="8">
        <v>120</v>
      </c>
      <c r="M925" s="8">
        <v>307</v>
      </c>
      <c r="N925" s="8">
        <v>288</v>
      </c>
      <c r="O925" s="9">
        <f t="shared" si="14"/>
        <v>9.5382746051032807E-2</v>
      </c>
      <c r="P925" s="6" t="s">
        <v>29</v>
      </c>
    </row>
    <row r="926" spans="1:16" x14ac:dyDescent="0.25">
      <c r="A926" s="2" t="s">
        <v>1921</v>
      </c>
      <c r="B926" s="2" t="s">
        <v>1922</v>
      </c>
      <c r="C926" s="2" t="s">
        <v>76</v>
      </c>
      <c r="D926" s="3" t="s">
        <v>182</v>
      </c>
      <c r="E926" s="3" t="s">
        <v>20</v>
      </c>
      <c r="F926" s="2" t="s">
        <v>155</v>
      </c>
      <c r="G926" s="4">
        <v>292482</v>
      </c>
      <c r="H926" s="4">
        <v>119188</v>
      </c>
      <c r="I926" s="4">
        <v>88943</v>
      </c>
      <c r="J926" s="4">
        <v>3175</v>
      </c>
      <c r="K926" s="4">
        <v>426</v>
      </c>
      <c r="L926" s="4">
        <v>234</v>
      </c>
      <c r="M926" s="4">
        <v>375</v>
      </c>
      <c r="N926" s="4">
        <v>2194</v>
      </c>
      <c r="O926" s="5">
        <f t="shared" si="14"/>
        <v>4.733368561887951E-2</v>
      </c>
      <c r="P926" s="2" t="s">
        <v>22</v>
      </c>
    </row>
    <row r="927" spans="1:16" x14ac:dyDescent="0.25">
      <c r="A927" s="6" t="s">
        <v>1923</v>
      </c>
      <c r="B927" s="6" t="s">
        <v>1924</v>
      </c>
      <c r="C927" s="6" t="s">
        <v>18</v>
      </c>
      <c r="D927" s="7" t="s">
        <v>57</v>
      </c>
      <c r="E927" s="7" t="s">
        <v>39</v>
      </c>
      <c r="F927" s="6" t="s">
        <v>73</v>
      </c>
      <c r="G927" s="8">
        <v>546570</v>
      </c>
      <c r="H927" s="8">
        <v>181868</v>
      </c>
      <c r="I927" s="8">
        <v>161627</v>
      </c>
      <c r="J927" s="8">
        <v>5229</v>
      </c>
      <c r="K927" s="8">
        <v>462</v>
      </c>
      <c r="L927" s="8">
        <v>232</v>
      </c>
      <c r="M927" s="8">
        <v>957</v>
      </c>
      <c r="N927" s="8">
        <v>6074</v>
      </c>
      <c r="O927" s="9">
        <f t="shared" si="14"/>
        <v>4.2567145340815585E-2</v>
      </c>
      <c r="P927" s="6" t="s">
        <v>22</v>
      </c>
    </row>
    <row r="928" spans="1:16" x14ac:dyDescent="0.25">
      <c r="A928" s="2" t="s">
        <v>1925</v>
      </c>
      <c r="B928" s="2" t="s">
        <v>1926</v>
      </c>
      <c r="C928" s="2" t="s">
        <v>18</v>
      </c>
      <c r="D928" s="3" t="s">
        <v>226</v>
      </c>
      <c r="E928" s="3" t="s">
        <v>39</v>
      </c>
      <c r="F928" s="2" t="s">
        <v>58</v>
      </c>
      <c r="G928" s="4">
        <v>168809</v>
      </c>
      <c r="H928" s="4">
        <v>99039</v>
      </c>
      <c r="I928" s="4">
        <v>85632</v>
      </c>
      <c r="J928" s="4">
        <v>5096</v>
      </c>
      <c r="K928" s="4">
        <v>308</v>
      </c>
      <c r="L928" s="4">
        <v>175</v>
      </c>
      <c r="M928" s="4">
        <v>547</v>
      </c>
      <c r="N928" s="4">
        <v>1337</v>
      </c>
      <c r="O928" s="5">
        <f t="shared" si="14"/>
        <v>7.1538677130044845E-2</v>
      </c>
      <c r="P928" s="2" t="s">
        <v>22</v>
      </c>
    </row>
    <row r="929" spans="1:16" x14ac:dyDescent="0.25">
      <c r="A929" s="6" t="s">
        <v>1927</v>
      </c>
      <c r="B929" s="6" t="s">
        <v>1928</v>
      </c>
      <c r="C929" s="6" t="s">
        <v>43</v>
      </c>
      <c r="D929" s="7" t="s">
        <v>81</v>
      </c>
      <c r="E929" s="7" t="s">
        <v>27</v>
      </c>
      <c r="F929" s="6" t="s">
        <v>46</v>
      </c>
      <c r="G929" s="8">
        <v>367239</v>
      </c>
      <c r="H929" s="8">
        <v>76334</v>
      </c>
      <c r="I929" s="8">
        <v>64994</v>
      </c>
      <c r="J929" s="8">
        <v>2789</v>
      </c>
      <c r="K929" s="8">
        <v>283</v>
      </c>
      <c r="L929" s="8">
        <v>197</v>
      </c>
      <c r="M929" s="8">
        <v>10</v>
      </c>
      <c r="N929" s="8">
        <v>1481</v>
      </c>
      <c r="O929" s="9">
        <f t="shared" si="14"/>
        <v>5.0450810844077917E-2</v>
      </c>
      <c r="P929" s="6" t="s">
        <v>22</v>
      </c>
    </row>
    <row r="930" spans="1:16" x14ac:dyDescent="0.25">
      <c r="A930" s="2" t="s">
        <v>1929</v>
      </c>
      <c r="B930" s="2" t="s">
        <v>1930</v>
      </c>
      <c r="C930" s="2" t="s">
        <v>32</v>
      </c>
      <c r="D930" s="3" t="s">
        <v>121</v>
      </c>
      <c r="E930" s="3" t="s">
        <v>20</v>
      </c>
      <c r="F930" s="2" t="s">
        <v>51</v>
      </c>
      <c r="G930" s="4">
        <v>117659</v>
      </c>
      <c r="H930" s="4">
        <v>34282</v>
      </c>
      <c r="I930" s="4">
        <v>29200</v>
      </c>
      <c r="J930" s="4">
        <v>1244</v>
      </c>
      <c r="K930" s="4">
        <v>160</v>
      </c>
      <c r="L930" s="4">
        <v>154</v>
      </c>
      <c r="M930" s="4">
        <v>47</v>
      </c>
      <c r="N930" s="4">
        <v>586</v>
      </c>
      <c r="O930" s="5">
        <f t="shared" si="14"/>
        <v>5.4965753424657537E-2</v>
      </c>
      <c r="P930" s="2" t="s">
        <v>22</v>
      </c>
    </row>
    <row r="931" spans="1:16" x14ac:dyDescent="0.25">
      <c r="A931" s="6" t="s">
        <v>1931</v>
      </c>
      <c r="B931" s="6" t="s">
        <v>1932</v>
      </c>
      <c r="C931" s="6" t="s">
        <v>18</v>
      </c>
      <c r="D931" s="7" t="s">
        <v>231</v>
      </c>
      <c r="E931" s="7" t="s">
        <v>20</v>
      </c>
      <c r="F931" s="6" t="s">
        <v>73</v>
      </c>
      <c r="G931" s="8">
        <v>585464</v>
      </c>
      <c r="H931" s="8">
        <v>238527</v>
      </c>
      <c r="I931" s="8">
        <v>215342</v>
      </c>
      <c r="J931" s="8">
        <v>13751</v>
      </c>
      <c r="K931" s="8">
        <v>2428</v>
      </c>
      <c r="L931" s="8">
        <v>281</v>
      </c>
      <c r="M931" s="8">
        <v>3323</v>
      </c>
      <c r="N931" s="8">
        <v>3535</v>
      </c>
      <c r="O931" s="9">
        <f t="shared" si="14"/>
        <v>9.1867819561441799E-2</v>
      </c>
      <c r="P931" s="6" t="s">
        <v>29</v>
      </c>
    </row>
    <row r="932" spans="1:16" x14ac:dyDescent="0.25">
      <c r="A932" s="2" t="s">
        <v>1933</v>
      </c>
      <c r="B932" s="2" t="s">
        <v>1934</v>
      </c>
      <c r="C932" s="2" t="s">
        <v>76</v>
      </c>
      <c r="D932" s="3" t="s">
        <v>182</v>
      </c>
      <c r="E932" s="3" t="s">
        <v>20</v>
      </c>
      <c r="F932" s="2" t="s">
        <v>155</v>
      </c>
      <c r="G932" s="4">
        <v>116235</v>
      </c>
      <c r="H932" s="4">
        <v>57059</v>
      </c>
      <c r="I932" s="4">
        <v>43094</v>
      </c>
      <c r="J932" s="4">
        <v>3895</v>
      </c>
      <c r="K932" s="4">
        <v>459</v>
      </c>
      <c r="L932" s="4">
        <v>396</v>
      </c>
      <c r="M932" s="4">
        <v>716</v>
      </c>
      <c r="N932" s="4">
        <v>1929</v>
      </c>
      <c r="O932" s="5">
        <f t="shared" si="14"/>
        <v>0.1268390031094816</v>
      </c>
      <c r="P932" s="2" t="s">
        <v>22</v>
      </c>
    </row>
    <row r="933" spans="1:16" x14ac:dyDescent="0.25">
      <c r="A933" s="6" t="s">
        <v>1935</v>
      </c>
      <c r="B933" s="6" t="s">
        <v>1936</v>
      </c>
      <c r="C933" s="6" t="s">
        <v>43</v>
      </c>
      <c r="D933" s="7" t="s">
        <v>44</v>
      </c>
      <c r="E933" s="7" t="s">
        <v>20</v>
      </c>
      <c r="F933" s="6" t="s">
        <v>46</v>
      </c>
      <c r="G933" s="8">
        <v>50528</v>
      </c>
      <c r="H933" s="8">
        <v>14320</v>
      </c>
      <c r="I933" s="8">
        <v>10783</v>
      </c>
      <c r="J933" s="8">
        <v>572</v>
      </c>
      <c r="K933" s="8">
        <v>36</v>
      </c>
      <c r="L933" s="8">
        <v>82</v>
      </c>
      <c r="M933" s="8">
        <v>1</v>
      </c>
      <c r="N933" s="8">
        <v>367</v>
      </c>
      <c r="O933" s="9">
        <f t="shared" si="14"/>
        <v>6.4082351850134472E-2</v>
      </c>
      <c r="P933" s="6" t="s">
        <v>22</v>
      </c>
    </row>
    <row r="934" spans="1:16" x14ac:dyDescent="0.25">
      <c r="A934" s="2" t="s">
        <v>1937</v>
      </c>
      <c r="B934" s="2" t="s">
        <v>1938</v>
      </c>
      <c r="C934" s="2" t="s">
        <v>76</v>
      </c>
      <c r="D934" s="3" t="s">
        <v>86</v>
      </c>
      <c r="E934" s="3" t="s">
        <v>39</v>
      </c>
      <c r="F934" s="2" t="s">
        <v>104</v>
      </c>
      <c r="G934" s="4">
        <v>563467</v>
      </c>
      <c r="H934" s="4">
        <v>68396</v>
      </c>
      <c r="I934" s="4">
        <v>62770</v>
      </c>
      <c r="J934" s="4">
        <v>3619</v>
      </c>
      <c r="K934" s="4">
        <v>498</v>
      </c>
      <c r="L934" s="4">
        <v>176</v>
      </c>
      <c r="M934" s="4">
        <v>336</v>
      </c>
      <c r="N934" s="4">
        <v>1102</v>
      </c>
      <c r="O934" s="5">
        <f t="shared" si="14"/>
        <v>7.3745419786522229E-2</v>
      </c>
      <c r="P934" s="2" t="s">
        <v>22</v>
      </c>
    </row>
    <row r="935" spans="1:16" x14ac:dyDescent="0.25">
      <c r="A935" s="6" t="s">
        <v>1939</v>
      </c>
      <c r="B935" s="6" t="s">
        <v>1940</v>
      </c>
      <c r="C935" s="6" t="s">
        <v>18</v>
      </c>
      <c r="D935" s="7" t="s">
        <v>92</v>
      </c>
      <c r="E935" s="7" t="s">
        <v>39</v>
      </c>
      <c r="F935" s="6" t="s">
        <v>21</v>
      </c>
      <c r="G935" s="8">
        <v>100523</v>
      </c>
      <c r="H935" s="8">
        <v>21604</v>
      </c>
      <c r="I935" s="8">
        <v>15567</v>
      </c>
      <c r="J935" s="8">
        <v>756</v>
      </c>
      <c r="K935" s="8">
        <v>90</v>
      </c>
      <c r="L935" s="8">
        <v>88</v>
      </c>
      <c r="M935" s="8">
        <v>179</v>
      </c>
      <c r="N935" s="8">
        <v>264</v>
      </c>
      <c r="O935" s="9">
        <f t="shared" si="14"/>
        <v>7.1497398342647914E-2</v>
      </c>
      <c r="P935" s="6" t="s">
        <v>22</v>
      </c>
    </row>
    <row r="936" spans="1:16" x14ac:dyDescent="0.25">
      <c r="A936" s="2" t="s">
        <v>1941</v>
      </c>
      <c r="B936" s="2" t="s">
        <v>1942</v>
      </c>
      <c r="C936" s="2" t="s">
        <v>76</v>
      </c>
      <c r="D936" s="3" t="s">
        <v>182</v>
      </c>
      <c r="E936" s="3" t="s">
        <v>20</v>
      </c>
      <c r="F936" s="2" t="s">
        <v>104</v>
      </c>
      <c r="G936" s="4">
        <v>349310</v>
      </c>
      <c r="H936" s="4">
        <v>128234</v>
      </c>
      <c r="I936" s="4">
        <v>115854</v>
      </c>
      <c r="J936" s="4">
        <v>4701</v>
      </c>
      <c r="K936" s="4">
        <v>442</v>
      </c>
      <c r="L936" s="4">
        <v>307</v>
      </c>
      <c r="M936" s="4">
        <v>570</v>
      </c>
      <c r="N936" s="4">
        <v>2381</v>
      </c>
      <c r="O936" s="5">
        <f t="shared" si="14"/>
        <v>5.1961952112141142E-2</v>
      </c>
      <c r="P936" s="2" t="s">
        <v>29</v>
      </c>
    </row>
    <row r="937" spans="1:16" x14ac:dyDescent="0.25">
      <c r="A937" s="6" t="s">
        <v>1943</v>
      </c>
      <c r="B937" s="6" t="s">
        <v>1944</v>
      </c>
      <c r="C937" s="6" t="s">
        <v>43</v>
      </c>
      <c r="D937" s="7" t="s">
        <v>81</v>
      </c>
      <c r="E937" s="7" t="s">
        <v>45</v>
      </c>
      <c r="F937" s="6" t="s">
        <v>46</v>
      </c>
      <c r="G937" s="8">
        <v>204397</v>
      </c>
      <c r="H937" s="8">
        <v>34637</v>
      </c>
      <c r="I937" s="8">
        <v>24590</v>
      </c>
      <c r="J937" s="8">
        <v>1065</v>
      </c>
      <c r="K937" s="8">
        <v>164</v>
      </c>
      <c r="L937" s="8">
        <v>48</v>
      </c>
      <c r="M937" s="8">
        <v>18</v>
      </c>
      <c r="N937" s="8">
        <v>652</v>
      </c>
      <c r="O937" s="9">
        <f t="shared" si="14"/>
        <v>5.2663684424562832E-2</v>
      </c>
      <c r="P937" s="6" t="s">
        <v>29</v>
      </c>
    </row>
    <row r="938" spans="1:16" x14ac:dyDescent="0.25">
      <c r="A938" s="2" t="s">
        <v>1945</v>
      </c>
      <c r="B938" s="2" t="s">
        <v>1946</v>
      </c>
      <c r="C938" s="2" t="s">
        <v>76</v>
      </c>
      <c r="D938" s="3" t="s">
        <v>86</v>
      </c>
      <c r="E938" s="3" t="s">
        <v>50</v>
      </c>
      <c r="F938" s="2" t="s">
        <v>78</v>
      </c>
      <c r="G938" s="4">
        <v>722619</v>
      </c>
      <c r="H938" s="4">
        <v>341157</v>
      </c>
      <c r="I938" s="4">
        <v>274365</v>
      </c>
      <c r="J938" s="4">
        <v>6979</v>
      </c>
      <c r="K938" s="4">
        <v>601</v>
      </c>
      <c r="L938" s="4">
        <v>623</v>
      </c>
      <c r="M938" s="4">
        <v>1304</v>
      </c>
      <c r="N938" s="4">
        <v>10844</v>
      </c>
      <c r="O938" s="5">
        <f t="shared" si="14"/>
        <v>3.4650921218085398E-2</v>
      </c>
      <c r="P938" s="2" t="s">
        <v>22</v>
      </c>
    </row>
    <row r="939" spans="1:16" x14ac:dyDescent="0.25">
      <c r="A939" s="6" t="s">
        <v>1947</v>
      </c>
      <c r="B939" s="6" t="s">
        <v>1948</v>
      </c>
      <c r="C939" s="6" t="s">
        <v>25</v>
      </c>
      <c r="D939" s="7" t="s">
        <v>26</v>
      </c>
      <c r="E939" s="7" t="s">
        <v>34</v>
      </c>
      <c r="F939" s="6" t="s">
        <v>65</v>
      </c>
      <c r="G939" s="8">
        <v>242893</v>
      </c>
      <c r="H939" s="8">
        <v>42440</v>
      </c>
      <c r="I939" s="8">
        <v>34565</v>
      </c>
      <c r="J939" s="8">
        <v>2262</v>
      </c>
      <c r="K939" s="8">
        <v>297</v>
      </c>
      <c r="L939" s="8">
        <v>324</v>
      </c>
      <c r="M939" s="8">
        <v>534</v>
      </c>
      <c r="N939" s="8">
        <v>1356</v>
      </c>
      <c r="O939" s="9">
        <f t="shared" si="14"/>
        <v>9.8857225517141614E-2</v>
      </c>
      <c r="P939" s="6" t="s">
        <v>66</v>
      </c>
    </row>
    <row r="940" spans="1:16" x14ac:dyDescent="0.25">
      <c r="A940" s="2" t="s">
        <v>1949</v>
      </c>
      <c r="B940" s="2" t="s">
        <v>1950</v>
      </c>
      <c r="C940" s="2" t="s">
        <v>43</v>
      </c>
      <c r="D940" s="3" t="s">
        <v>172</v>
      </c>
      <c r="E940" s="3" t="s">
        <v>45</v>
      </c>
      <c r="F940" s="2" t="s">
        <v>107</v>
      </c>
      <c r="G940" s="4">
        <v>228559</v>
      </c>
      <c r="H940" s="4">
        <v>73638</v>
      </c>
      <c r="I940" s="4">
        <v>65101</v>
      </c>
      <c r="J940" s="4">
        <v>3439</v>
      </c>
      <c r="K940" s="4">
        <v>266</v>
      </c>
      <c r="L940" s="4">
        <v>339</v>
      </c>
      <c r="M940" s="4">
        <v>46</v>
      </c>
      <c r="N940" s="4">
        <v>2131</v>
      </c>
      <c r="O940" s="5">
        <f t="shared" si="14"/>
        <v>6.2825455830171573E-2</v>
      </c>
      <c r="P940" s="2" t="s">
        <v>29</v>
      </c>
    </row>
    <row r="941" spans="1:16" x14ac:dyDescent="0.25">
      <c r="A941" s="6" t="s">
        <v>1951</v>
      </c>
      <c r="B941" s="6" t="s">
        <v>1952</v>
      </c>
      <c r="C941" s="6" t="s">
        <v>43</v>
      </c>
      <c r="D941" s="7" t="s">
        <v>69</v>
      </c>
      <c r="E941" s="7" t="s">
        <v>34</v>
      </c>
      <c r="F941" s="6" t="s">
        <v>107</v>
      </c>
      <c r="G941" s="8">
        <v>123450</v>
      </c>
      <c r="H941" s="8">
        <v>18796</v>
      </c>
      <c r="I941" s="8">
        <v>14107</v>
      </c>
      <c r="J941" s="8">
        <v>1165</v>
      </c>
      <c r="K941" s="8">
        <v>200</v>
      </c>
      <c r="L941" s="8">
        <v>40</v>
      </c>
      <c r="M941" s="8">
        <v>30</v>
      </c>
      <c r="N941" s="8">
        <v>316</v>
      </c>
      <c r="O941" s="9">
        <f t="shared" si="14"/>
        <v>0.10172254908910471</v>
      </c>
      <c r="P941" s="6" t="s">
        <v>29</v>
      </c>
    </row>
    <row r="942" spans="1:16" x14ac:dyDescent="0.25">
      <c r="A942" s="2" t="s">
        <v>1953</v>
      </c>
      <c r="B942" s="2" t="s">
        <v>1954</v>
      </c>
      <c r="C942" s="2" t="s">
        <v>76</v>
      </c>
      <c r="D942" s="3" t="s">
        <v>189</v>
      </c>
      <c r="E942" s="3" t="s">
        <v>20</v>
      </c>
      <c r="F942" s="2" t="s">
        <v>155</v>
      </c>
      <c r="G942" s="4">
        <v>840252</v>
      </c>
      <c r="H942" s="4">
        <v>502101</v>
      </c>
      <c r="I942" s="4">
        <v>446280</v>
      </c>
      <c r="J942" s="4">
        <v>26420</v>
      </c>
      <c r="K942" s="4">
        <v>1086</v>
      </c>
      <c r="L942" s="4">
        <v>2379</v>
      </c>
      <c r="M942" s="4">
        <v>1762</v>
      </c>
      <c r="N942" s="4">
        <v>10419</v>
      </c>
      <c r="O942" s="5">
        <f t="shared" si="14"/>
        <v>7.091287980639957E-2</v>
      </c>
      <c r="P942" s="2" t="s">
        <v>22</v>
      </c>
    </row>
    <row r="943" spans="1:16" x14ac:dyDescent="0.25">
      <c r="A943" s="6" t="s">
        <v>1955</v>
      </c>
      <c r="B943" s="6" t="s">
        <v>1956</v>
      </c>
      <c r="C943" s="6" t="s">
        <v>25</v>
      </c>
      <c r="D943" s="7" t="s">
        <v>145</v>
      </c>
      <c r="E943" s="7" t="s">
        <v>39</v>
      </c>
      <c r="F943" s="6" t="s">
        <v>65</v>
      </c>
      <c r="G943" s="8">
        <v>217773</v>
      </c>
      <c r="H943" s="8">
        <v>115488</v>
      </c>
      <c r="I943" s="8">
        <v>97007</v>
      </c>
      <c r="J943" s="8">
        <v>5898</v>
      </c>
      <c r="K943" s="8">
        <v>729</v>
      </c>
      <c r="L943" s="8">
        <v>172</v>
      </c>
      <c r="M943" s="8">
        <v>1145</v>
      </c>
      <c r="N943" s="8">
        <v>2471</v>
      </c>
      <c r="O943" s="9">
        <f t="shared" si="14"/>
        <v>8.1890997556877343E-2</v>
      </c>
      <c r="P943" s="6" t="s">
        <v>29</v>
      </c>
    </row>
    <row r="944" spans="1:16" x14ac:dyDescent="0.25">
      <c r="A944" s="2" t="s">
        <v>1957</v>
      </c>
      <c r="B944" s="2" t="s">
        <v>1958</v>
      </c>
      <c r="C944" s="2" t="s">
        <v>18</v>
      </c>
      <c r="D944" s="3" t="s">
        <v>231</v>
      </c>
      <c r="E944" s="3" t="s">
        <v>34</v>
      </c>
      <c r="F944" s="2" t="s">
        <v>21</v>
      </c>
      <c r="G944" s="4">
        <v>805163</v>
      </c>
      <c r="H944" s="4">
        <v>1306737</v>
      </c>
      <c r="I944" s="4">
        <v>1113332</v>
      </c>
      <c r="J944" s="4">
        <v>93788</v>
      </c>
      <c r="K944" s="4">
        <v>12986</v>
      </c>
      <c r="L944" s="4">
        <v>2895</v>
      </c>
      <c r="M944" s="4">
        <v>7782</v>
      </c>
      <c r="N944" s="4">
        <v>35629</v>
      </c>
      <c r="O944" s="5">
        <f t="shared" si="14"/>
        <v>0.10549503652100183</v>
      </c>
      <c r="P944" s="2" t="s">
        <v>29</v>
      </c>
    </row>
    <row r="945" spans="1:16" x14ac:dyDescent="0.25">
      <c r="A945" s="6" t="s">
        <v>1959</v>
      </c>
      <c r="B945" s="6" t="s">
        <v>1960</v>
      </c>
      <c r="C945" s="6" t="s">
        <v>32</v>
      </c>
      <c r="D945" s="7" t="s">
        <v>175</v>
      </c>
      <c r="E945" s="7" t="s">
        <v>39</v>
      </c>
      <c r="F945" s="6" t="s">
        <v>40</v>
      </c>
      <c r="G945" s="8">
        <v>62528</v>
      </c>
      <c r="H945" s="8">
        <v>31678</v>
      </c>
      <c r="I945" s="8">
        <v>22354</v>
      </c>
      <c r="J945" s="8">
        <v>918</v>
      </c>
      <c r="K945" s="8">
        <v>76</v>
      </c>
      <c r="L945" s="8">
        <v>63</v>
      </c>
      <c r="M945" s="8">
        <v>7</v>
      </c>
      <c r="N945" s="8">
        <v>913</v>
      </c>
      <c r="O945" s="9">
        <f t="shared" si="14"/>
        <v>4.759774536995616E-2</v>
      </c>
      <c r="P945" s="6" t="s">
        <v>22</v>
      </c>
    </row>
    <row r="946" spans="1:16" x14ac:dyDescent="0.25">
      <c r="A946" s="2" t="s">
        <v>1961</v>
      </c>
      <c r="B946" s="2" t="s">
        <v>1962</v>
      </c>
      <c r="C946" s="2" t="s">
        <v>76</v>
      </c>
      <c r="D946" s="3" t="s">
        <v>189</v>
      </c>
      <c r="E946" s="3" t="s">
        <v>20</v>
      </c>
      <c r="F946" s="2" t="s">
        <v>104</v>
      </c>
      <c r="G946" s="4">
        <v>303634</v>
      </c>
      <c r="H946" s="4">
        <v>181829</v>
      </c>
      <c r="I946" s="4">
        <v>133303</v>
      </c>
      <c r="J946" s="4">
        <v>12630</v>
      </c>
      <c r="K946" s="4">
        <v>926</v>
      </c>
      <c r="L946" s="4">
        <v>1273</v>
      </c>
      <c r="M946" s="4">
        <v>738</v>
      </c>
      <c r="N946" s="4">
        <v>2978</v>
      </c>
      <c r="O946" s="5">
        <f t="shared" si="14"/>
        <v>0.1167790672377966</v>
      </c>
      <c r="P946" s="2" t="s">
        <v>22</v>
      </c>
    </row>
    <row r="947" spans="1:16" x14ac:dyDescent="0.25">
      <c r="A947" s="6" t="s">
        <v>1963</v>
      </c>
      <c r="B947" s="6" t="s">
        <v>1964</v>
      </c>
      <c r="C947" s="6" t="s">
        <v>43</v>
      </c>
      <c r="D947" s="7" t="s">
        <v>81</v>
      </c>
      <c r="E947" s="7" t="s">
        <v>34</v>
      </c>
      <c r="F947" s="6" t="s">
        <v>107</v>
      </c>
      <c r="G947" s="8">
        <v>276477</v>
      </c>
      <c r="H947" s="8">
        <v>81671</v>
      </c>
      <c r="I947" s="8">
        <v>63305</v>
      </c>
      <c r="J947" s="8">
        <v>3404</v>
      </c>
      <c r="K947" s="8">
        <v>365</v>
      </c>
      <c r="L947" s="8">
        <v>302</v>
      </c>
      <c r="M947" s="8">
        <v>25</v>
      </c>
      <c r="N947" s="8">
        <v>1333</v>
      </c>
      <c r="O947" s="9">
        <f t="shared" si="14"/>
        <v>6.4702630124002847E-2</v>
      </c>
      <c r="P947" s="6" t="s">
        <v>22</v>
      </c>
    </row>
    <row r="948" spans="1:16" x14ac:dyDescent="0.25">
      <c r="A948" s="2" t="s">
        <v>1965</v>
      </c>
      <c r="B948" s="2" t="s">
        <v>1966</v>
      </c>
      <c r="C948" s="2" t="s">
        <v>43</v>
      </c>
      <c r="D948" s="3" t="s">
        <v>44</v>
      </c>
      <c r="E948" s="3" t="s">
        <v>50</v>
      </c>
      <c r="F948" s="2" t="s">
        <v>46</v>
      </c>
      <c r="G948" s="4">
        <v>695948</v>
      </c>
      <c r="H948" s="4">
        <v>178699</v>
      </c>
      <c r="I948" s="4">
        <v>155956</v>
      </c>
      <c r="J948" s="4">
        <v>7598</v>
      </c>
      <c r="K948" s="4">
        <v>275</v>
      </c>
      <c r="L948" s="4">
        <v>857</v>
      </c>
      <c r="M948" s="4">
        <v>40</v>
      </c>
      <c r="N948" s="4">
        <v>3411</v>
      </c>
      <c r="O948" s="5">
        <f t="shared" si="14"/>
        <v>5.6233809536022979E-2</v>
      </c>
      <c r="P948" s="2" t="s">
        <v>22</v>
      </c>
    </row>
    <row r="949" spans="1:16" x14ac:dyDescent="0.25">
      <c r="A949" s="6" t="s">
        <v>1967</v>
      </c>
      <c r="B949" s="6" t="s">
        <v>1968</v>
      </c>
      <c r="C949" s="6" t="s">
        <v>43</v>
      </c>
      <c r="D949" s="7" t="s">
        <v>172</v>
      </c>
      <c r="E949" s="7" t="s">
        <v>39</v>
      </c>
      <c r="F949" s="6" t="s">
        <v>107</v>
      </c>
      <c r="G949" s="8">
        <v>374825</v>
      </c>
      <c r="H949" s="8">
        <v>33616</v>
      </c>
      <c r="I949" s="8">
        <v>29289</v>
      </c>
      <c r="J949" s="8">
        <v>2594</v>
      </c>
      <c r="K949" s="8">
        <v>410</v>
      </c>
      <c r="L949" s="8">
        <v>229</v>
      </c>
      <c r="M949" s="8">
        <v>8</v>
      </c>
      <c r="N949" s="8">
        <v>233</v>
      </c>
      <c r="O949" s="9">
        <f t="shared" si="14"/>
        <v>0.11065587763324115</v>
      </c>
      <c r="P949" s="6" t="s">
        <v>22</v>
      </c>
    </row>
    <row r="950" spans="1:16" x14ac:dyDescent="0.25">
      <c r="A950" s="2" t="s">
        <v>1969</v>
      </c>
      <c r="B950" s="2" t="s">
        <v>1970</v>
      </c>
      <c r="C950" s="2" t="s">
        <v>18</v>
      </c>
      <c r="D950" s="3" t="s">
        <v>92</v>
      </c>
      <c r="E950" s="3" t="s">
        <v>34</v>
      </c>
      <c r="F950" s="2" t="s">
        <v>73</v>
      </c>
      <c r="G950" s="4">
        <v>557500</v>
      </c>
      <c r="H950" s="4">
        <v>127732</v>
      </c>
      <c r="I950" s="4">
        <v>96681</v>
      </c>
      <c r="J950" s="4">
        <v>9122</v>
      </c>
      <c r="K950" s="4">
        <v>516</v>
      </c>
      <c r="L950" s="4">
        <v>1307</v>
      </c>
      <c r="M950" s="4">
        <v>1365</v>
      </c>
      <c r="N950" s="4">
        <v>4205</v>
      </c>
      <c r="O950" s="5">
        <f t="shared" si="14"/>
        <v>0.12732594822147061</v>
      </c>
      <c r="P950" s="2" t="s">
        <v>22</v>
      </c>
    </row>
    <row r="951" spans="1:16" x14ac:dyDescent="0.25">
      <c r="A951" s="6" t="s">
        <v>1971</v>
      </c>
      <c r="B951" s="6" t="s">
        <v>1972</v>
      </c>
      <c r="C951" s="6" t="s">
        <v>43</v>
      </c>
      <c r="D951" s="7" t="s">
        <v>81</v>
      </c>
      <c r="E951" s="7" t="s">
        <v>39</v>
      </c>
      <c r="F951" s="6" t="s">
        <v>46</v>
      </c>
      <c r="G951" s="8">
        <v>256493</v>
      </c>
      <c r="H951" s="8">
        <v>30100</v>
      </c>
      <c r="I951" s="8">
        <v>23719</v>
      </c>
      <c r="J951" s="8">
        <v>1826</v>
      </c>
      <c r="K951" s="8">
        <v>253</v>
      </c>
      <c r="L951" s="8">
        <v>160</v>
      </c>
      <c r="M951" s="8">
        <v>41</v>
      </c>
      <c r="N951" s="8">
        <v>755</v>
      </c>
      <c r="O951" s="9">
        <f t="shared" si="14"/>
        <v>9.6125469033264466E-2</v>
      </c>
      <c r="P951" s="6" t="s">
        <v>29</v>
      </c>
    </row>
    <row r="952" spans="1:16" x14ac:dyDescent="0.25">
      <c r="A952" s="2" t="s">
        <v>1973</v>
      </c>
      <c r="B952" s="2" t="s">
        <v>1974</v>
      </c>
      <c r="C952" s="2" t="s">
        <v>25</v>
      </c>
      <c r="D952" s="3" t="s">
        <v>26</v>
      </c>
      <c r="E952" s="3" t="s">
        <v>45</v>
      </c>
      <c r="F952" s="2" t="s">
        <v>146</v>
      </c>
      <c r="G952" s="4">
        <v>388644</v>
      </c>
      <c r="H952" s="4">
        <v>218290</v>
      </c>
      <c r="I952" s="4">
        <v>163074</v>
      </c>
      <c r="J952" s="4">
        <v>8420</v>
      </c>
      <c r="K952" s="4">
        <v>1235</v>
      </c>
      <c r="L952" s="4">
        <v>258</v>
      </c>
      <c r="M952" s="4">
        <v>1891</v>
      </c>
      <c r="N952" s="4">
        <v>6474</v>
      </c>
      <c r="O952" s="5">
        <f t="shared" si="14"/>
        <v>7.2384316322651063E-2</v>
      </c>
      <c r="P952" s="2" t="s">
        <v>22</v>
      </c>
    </row>
    <row r="953" spans="1:16" x14ac:dyDescent="0.25">
      <c r="A953" s="6" t="s">
        <v>1975</v>
      </c>
      <c r="B953" s="6" t="s">
        <v>1976</v>
      </c>
      <c r="C953" s="6" t="s">
        <v>18</v>
      </c>
      <c r="D953" s="7" t="s">
        <v>231</v>
      </c>
      <c r="E953" s="7" t="s">
        <v>34</v>
      </c>
      <c r="F953" s="6" t="s">
        <v>21</v>
      </c>
      <c r="G953" s="8">
        <v>425368</v>
      </c>
      <c r="H953" s="8">
        <v>208873</v>
      </c>
      <c r="I953" s="8">
        <v>161831</v>
      </c>
      <c r="J953" s="8">
        <v>12739</v>
      </c>
      <c r="K953" s="8">
        <v>943</v>
      </c>
      <c r="L953" s="8">
        <v>1843</v>
      </c>
      <c r="M953" s="8">
        <v>2959</v>
      </c>
      <c r="N953" s="8">
        <v>1190</v>
      </c>
      <c r="O953" s="9">
        <f t="shared" si="14"/>
        <v>0.11421791869295747</v>
      </c>
      <c r="P953" s="6" t="s">
        <v>22</v>
      </c>
    </row>
    <row r="954" spans="1:16" x14ac:dyDescent="0.25">
      <c r="A954" s="2" t="s">
        <v>1977</v>
      </c>
      <c r="B954" s="2" t="s">
        <v>1978</v>
      </c>
      <c r="C954" s="2" t="s">
        <v>18</v>
      </c>
      <c r="D954" s="3" t="s">
        <v>231</v>
      </c>
      <c r="E954" s="3" t="s">
        <v>27</v>
      </c>
      <c r="F954" s="2" t="s">
        <v>73</v>
      </c>
      <c r="G954" s="4">
        <v>558617</v>
      </c>
      <c r="H954" s="4">
        <v>337007</v>
      </c>
      <c r="I954" s="4">
        <v>252650</v>
      </c>
      <c r="J954" s="4">
        <v>8943</v>
      </c>
      <c r="K954" s="4">
        <v>592</v>
      </c>
      <c r="L954" s="4">
        <v>989</v>
      </c>
      <c r="M954" s="4">
        <v>1374</v>
      </c>
      <c r="N954" s="4">
        <v>10080</v>
      </c>
      <c r="O954" s="5">
        <f t="shared" si="14"/>
        <v>4.7092816148822485E-2</v>
      </c>
      <c r="P954" s="2" t="s">
        <v>22</v>
      </c>
    </row>
    <row r="955" spans="1:16" x14ac:dyDescent="0.25">
      <c r="A955" s="6" t="s">
        <v>1979</v>
      </c>
      <c r="B955" s="6" t="s">
        <v>1980</v>
      </c>
      <c r="C955" s="6" t="s">
        <v>76</v>
      </c>
      <c r="D955" s="7" t="s">
        <v>103</v>
      </c>
      <c r="E955" s="7" t="s">
        <v>34</v>
      </c>
      <c r="F955" s="6" t="s">
        <v>78</v>
      </c>
      <c r="G955" s="8">
        <v>722690</v>
      </c>
      <c r="H955" s="8">
        <v>466916</v>
      </c>
      <c r="I955" s="8">
        <v>351372</v>
      </c>
      <c r="J955" s="8">
        <v>35013</v>
      </c>
      <c r="K955" s="8">
        <v>2147</v>
      </c>
      <c r="L955" s="8">
        <v>4182</v>
      </c>
      <c r="M955" s="8">
        <v>4237</v>
      </c>
      <c r="N955" s="8">
        <v>13940</v>
      </c>
      <c r="O955" s="9">
        <f t="shared" si="14"/>
        <v>0.12971722277244629</v>
      </c>
      <c r="P955" s="6" t="s">
        <v>22</v>
      </c>
    </row>
    <row r="956" spans="1:16" x14ac:dyDescent="0.25">
      <c r="A956" s="2" t="s">
        <v>1981</v>
      </c>
      <c r="B956" s="2" t="s">
        <v>1982</v>
      </c>
      <c r="C956" s="2" t="s">
        <v>25</v>
      </c>
      <c r="D956" s="3" t="s">
        <v>64</v>
      </c>
      <c r="E956" s="3" t="s">
        <v>34</v>
      </c>
      <c r="F956" s="2" t="s">
        <v>54</v>
      </c>
      <c r="G956" s="4">
        <v>101668</v>
      </c>
      <c r="H956" s="4">
        <v>34486</v>
      </c>
      <c r="I956" s="4">
        <v>29612</v>
      </c>
      <c r="J956" s="4">
        <v>2318</v>
      </c>
      <c r="K956" s="4">
        <v>258</v>
      </c>
      <c r="L956" s="4">
        <v>229</v>
      </c>
      <c r="M956" s="4">
        <v>207</v>
      </c>
      <c r="N956" s="4">
        <v>786</v>
      </c>
      <c r="O956" s="5">
        <f t="shared" si="14"/>
        <v>0.10171552073483722</v>
      </c>
      <c r="P956" s="2" t="s">
        <v>29</v>
      </c>
    </row>
    <row r="957" spans="1:16" x14ac:dyDescent="0.25">
      <c r="A957" s="6" t="s">
        <v>1983</v>
      </c>
      <c r="B957" s="6" t="s">
        <v>1984</v>
      </c>
      <c r="C957" s="6" t="s">
        <v>32</v>
      </c>
      <c r="D957" s="7" t="s">
        <v>38</v>
      </c>
      <c r="E957" s="7" t="s">
        <v>20</v>
      </c>
      <c r="F957" s="6" t="s">
        <v>128</v>
      </c>
      <c r="G957" s="8">
        <v>428900</v>
      </c>
      <c r="H957" s="8">
        <v>211154</v>
      </c>
      <c r="I957" s="8">
        <v>190458</v>
      </c>
      <c r="J957" s="8">
        <v>11975</v>
      </c>
      <c r="K957" s="8">
        <v>1266</v>
      </c>
      <c r="L957" s="8">
        <v>1420</v>
      </c>
      <c r="M957" s="8">
        <v>20</v>
      </c>
      <c r="N957" s="8">
        <v>7336</v>
      </c>
      <c r="O957" s="9">
        <f t="shared" si="14"/>
        <v>7.7082611389387684E-2</v>
      </c>
      <c r="P957" s="6" t="s">
        <v>22</v>
      </c>
    </row>
    <row r="958" spans="1:16" x14ac:dyDescent="0.25">
      <c r="A958" s="2" t="s">
        <v>1985</v>
      </c>
      <c r="B958" s="2" t="s">
        <v>1986</v>
      </c>
      <c r="C958" s="2" t="s">
        <v>43</v>
      </c>
      <c r="D958" s="3" t="s">
        <v>81</v>
      </c>
      <c r="E958" s="3" t="s">
        <v>34</v>
      </c>
      <c r="F958" s="2" t="s">
        <v>70</v>
      </c>
      <c r="G958" s="4">
        <v>221341</v>
      </c>
      <c r="H958" s="4">
        <v>143526</v>
      </c>
      <c r="I958" s="4">
        <v>118974</v>
      </c>
      <c r="J958" s="4">
        <v>5751</v>
      </c>
      <c r="K958" s="4">
        <v>530</v>
      </c>
      <c r="L958" s="4">
        <v>526</v>
      </c>
      <c r="M958" s="4">
        <v>38</v>
      </c>
      <c r="N958" s="4">
        <v>2973</v>
      </c>
      <c r="O958" s="5">
        <f t="shared" si="14"/>
        <v>5.753357876510834E-2</v>
      </c>
      <c r="P958" s="2" t="s">
        <v>22</v>
      </c>
    </row>
    <row r="959" spans="1:16" x14ac:dyDescent="0.25">
      <c r="A959" s="6" t="s">
        <v>1987</v>
      </c>
      <c r="B959" s="6" t="s">
        <v>1988</v>
      </c>
      <c r="C959" s="6" t="s">
        <v>32</v>
      </c>
      <c r="D959" s="7" t="s">
        <v>38</v>
      </c>
      <c r="E959" s="7" t="s">
        <v>45</v>
      </c>
      <c r="F959" s="6" t="s">
        <v>40</v>
      </c>
      <c r="G959" s="8">
        <v>627526</v>
      </c>
      <c r="H959" s="8">
        <v>309447</v>
      </c>
      <c r="I959" s="8">
        <v>279018</v>
      </c>
      <c r="J959" s="8">
        <v>22570</v>
      </c>
      <c r="K959" s="8">
        <v>2979</v>
      </c>
      <c r="L959" s="8">
        <v>1600</v>
      </c>
      <c r="M959" s="8">
        <v>39</v>
      </c>
      <c r="N959" s="8">
        <v>8900</v>
      </c>
      <c r="O959" s="9">
        <f t="shared" si="14"/>
        <v>9.7441742109828033E-2</v>
      </c>
      <c r="P959" s="6" t="s">
        <v>22</v>
      </c>
    </row>
    <row r="960" spans="1:16" x14ac:dyDescent="0.25">
      <c r="A960" s="2" t="s">
        <v>1989</v>
      </c>
      <c r="B960" s="2" t="s">
        <v>1990</v>
      </c>
      <c r="C960" s="2" t="s">
        <v>76</v>
      </c>
      <c r="D960" s="3" t="s">
        <v>77</v>
      </c>
      <c r="E960" s="3" t="s">
        <v>27</v>
      </c>
      <c r="F960" s="2" t="s">
        <v>78</v>
      </c>
      <c r="G960" s="4">
        <v>116643</v>
      </c>
      <c r="H960" s="4">
        <v>24347</v>
      </c>
      <c r="I960" s="4">
        <v>19881</v>
      </c>
      <c r="J960" s="4">
        <v>987</v>
      </c>
      <c r="K960" s="4">
        <v>33</v>
      </c>
      <c r="L960" s="4">
        <v>37</v>
      </c>
      <c r="M960" s="4">
        <v>246</v>
      </c>
      <c r="N960" s="4">
        <v>263</v>
      </c>
      <c r="O960" s="5">
        <f t="shared" si="14"/>
        <v>6.5539962778532274E-2</v>
      </c>
      <c r="P960" s="2" t="s">
        <v>29</v>
      </c>
    </row>
    <row r="961" spans="1:16" x14ac:dyDescent="0.25">
      <c r="A961" s="6" t="s">
        <v>1991</v>
      </c>
      <c r="B961" s="6" t="s">
        <v>1992</v>
      </c>
      <c r="C961" s="6" t="s">
        <v>43</v>
      </c>
      <c r="D961" s="7" t="s">
        <v>44</v>
      </c>
      <c r="E961" s="7" t="s">
        <v>34</v>
      </c>
      <c r="F961" s="6" t="s">
        <v>70</v>
      </c>
      <c r="G961" s="8">
        <v>475713</v>
      </c>
      <c r="H961" s="8">
        <v>129625</v>
      </c>
      <c r="I961" s="8">
        <v>93367</v>
      </c>
      <c r="J961" s="8">
        <v>9854</v>
      </c>
      <c r="K961" s="8">
        <v>1323</v>
      </c>
      <c r="L961" s="8">
        <v>1295</v>
      </c>
      <c r="M961" s="8">
        <v>18</v>
      </c>
      <c r="N961" s="8">
        <v>1153</v>
      </c>
      <c r="O961" s="9">
        <f t="shared" si="14"/>
        <v>0.13377317467627747</v>
      </c>
      <c r="P961" s="6" t="s">
        <v>22</v>
      </c>
    </row>
    <row r="962" spans="1:16" x14ac:dyDescent="0.25">
      <c r="A962" s="2" t="s">
        <v>1993</v>
      </c>
      <c r="B962" s="2" t="s">
        <v>1994</v>
      </c>
      <c r="C962" s="2" t="s">
        <v>76</v>
      </c>
      <c r="D962" s="3" t="s">
        <v>103</v>
      </c>
      <c r="E962" s="3" t="s">
        <v>20</v>
      </c>
      <c r="F962" s="2" t="s">
        <v>104</v>
      </c>
      <c r="G962" s="4">
        <v>417208</v>
      </c>
      <c r="H962" s="4">
        <v>263168</v>
      </c>
      <c r="I962" s="4">
        <v>186901</v>
      </c>
      <c r="J962" s="4">
        <v>16216</v>
      </c>
      <c r="K962" s="4">
        <v>769</v>
      </c>
      <c r="L962" s="4">
        <v>595</v>
      </c>
      <c r="M962" s="4">
        <v>3341</v>
      </c>
      <c r="N962" s="4">
        <v>1457</v>
      </c>
      <c r="O962" s="5">
        <f t="shared" ref="O962:O1025" si="15">IF(I962&gt;0, (J962+K962+L962+M962)/I962, 0)</f>
        <v>0.11193626572356488</v>
      </c>
      <c r="P962" s="2" t="s">
        <v>22</v>
      </c>
    </row>
    <row r="963" spans="1:16" x14ac:dyDescent="0.25">
      <c r="A963" s="6" t="s">
        <v>1995</v>
      </c>
      <c r="B963" s="6" t="s">
        <v>1996</v>
      </c>
      <c r="C963" s="6" t="s">
        <v>25</v>
      </c>
      <c r="D963" s="7" t="s">
        <v>244</v>
      </c>
      <c r="E963" s="7" t="s">
        <v>39</v>
      </c>
      <c r="F963" s="6" t="s">
        <v>65</v>
      </c>
      <c r="G963" s="8">
        <v>639433</v>
      </c>
      <c r="H963" s="8">
        <v>368699</v>
      </c>
      <c r="I963" s="8">
        <v>289422</v>
      </c>
      <c r="J963" s="8">
        <v>22525</v>
      </c>
      <c r="K963" s="8">
        <v>921</v>
      </c>
      <c r="L963" s="8">
        <v>3203</v>
      </c>
      <c r="M963" s="8">
        <v>2085</v>
      </c>
      <c r="N963" s="8">
        <v>12382</v>
      </c>
      <c r="O963" s="9">
        <f t="shared" si="15"/>
        <v>9.9280635197047912E-2</v>
      </c>
      <c r="P963" s="6" t="s">
        <v>29</v>
      </c>
    </row>
    <row r="964" spans="1:16" x14ac:dyDescent="0.25">
      <c r="A964" s="2" t="s">
        <v>1997</v>
      </c>
      <c r="B964" s="2" t="s">
        <v>1998</v>
      </c>
      <c r="C964" s="2" t="s">
        <v>32</v>
      </c>
      <c r="D964" s="3" t="s">
        <v>33</v>
      </c>
      <c r="E964" s="3" t="s">
        <v>27</v>
      </c>
      <c r="F964" s="2" t="s">
        <v>51</v>
      </c>
      <c r="G964" s="4">
        <v>459931</v>
      </c>
      <c r="H964" s="4">
        <v>164043</v>
      </c>
      <c r="I964" s="4">
        <v>130149</v>
      </c>
      <c r="J964" s="4">
        <v>8806</v>
      </c>
      <c r="K964" s="4">
        <v>1456</v>
      </c>
      <c r="L964" s="4">
        <v>887</v>
      </c>
      <c r="M964" s="4">
        <v>33</v>
      </c>
      <c r="N964" s="4">
        <v>4911</v>
      </c>
      <c r="O964" s="5">
        <f t="shared" si="15"/>
        <v>8.5916910617830328E-2</v>
      </c>
      <c r="P964" s="2" t="s">
        <v>22</v>
      </c>
    </row>
    <row r="965" spans="1:16" x14ac:dyDescent="0.25">
      <c r="A965" s="6" t="s">
        <v>1999</v>
      </c>
      <c r="B965" s="6" t="s">
        <v>2000</v>
      </c>
      <c r="C965" s="6" t="s">
        <v>43</v>
      </c>
      <c r="D965" s="7" t="s">
        <v>81</v>
      </c>
      <c r="E965" s="7" t="s">
        <v>27</v>
      </c>
      <c r="F965" s="6" t="s">
        <v>46</v>
      </c>
      <c r="G965" s="8">
        <v>820644</v>
      </c>
      <c r="H965" s="8">
        <v>205252</v>
      </c>
      <c r="I965" s="8">
        <v>182638</v>
      </c>
      <c r="J965" s="8">
        <v>15345</v>
      </c>
      <c r="K965" s="8">
        <v>2155</v>
      </c>
      <c r="L965" s="8">
        <v>1361</v>
      </c>
      <c r="M965" s="8">
        <v>26</v>
      </c>
      <c r="N965" s="8">
        <v>1310</v>
      </c>
      <c r="O965" s="9">
        <f t="shared" si="15"/>
        <v>0.10341221432560585</v>
      </c>
      <c r="P965" s="6" t="s">
        <v>22</v>
      </c>
    </row>
    <row r="966" spans="1:16" x14ac:dyDescent="0.25">
      <c r="A966" s="2" t="s">
        <v>2001</v>
      </c>
      <c r="B966" s="2" t="s">
        <v>2002</v>
      </c>
      <c r="C966" s="2" t="s">
        <v>76</v>
      </c>
      <c r="D966" s="3" t="s">
        <v>77</v>
      </c>
      <c r="E966" s="3" t="s">
        <v>45</v>
      </c>
      <c r="F966" s="2" t="s">
        <v>78</v>
      </c>
      <c r="G966" s="4">
        <v>475967</v>
      </c>
      <c r="H966" s="4">
        <v>42975</v>
      </c>
      <c r="I966" s="4">
        <v>30531</v>
      </c>
      <c r="J966" s="4">
        <v>1809</v>
      </c>
      <c r="K966" s="4">
        <v>207</v>
      </c>
      <c r="L966" s="4">
        <v>202</v>
      </c>
      <c r="M966" s="4">
        <v>381</v>
      </c>
      <c r="N966" s="4">
        <v>583</v>
      </c>
      <c r="O966" s="5">
        <f t="shared" si="15"/>
        <v>8.5126592643542623E-2</v>
      </c>
      <c r="P966" s="2" t="s">
        <v>22</v>
      </c>
    </row>
    <row r="967" spans="1:16" x14ac:dyDescent="0.25">
      <c r="A967" s="6" t="s">
        <v>2003</v>
      </c>
      <c r="B967" s="6" t="s">
        <v>2004</v>
      </c>
      <c r="C967" s="6" t="s">
        <v>43</v>
      </c>
      <c r="D967" s="7" t="s">
        <v>44</v>
      </c>
      <c r="E967" s="7" t="s">
        <v>39</v>
      </c>
      <c r="F967" s="6" t="s">
        <v>107</v>
      </c>
      <c r="G967" s="8">
        <v>742964</v>
      </c>
      <c r="H967" s="8">
        <v>458614</v>
      </c>
      <c r="I967" s="8">
        <v>398378</v>
      </c>
      <c r="J967" s="8">
        <v>24931</v>
      </c>
      <c r="K967" s="8">
        <v>2153</v>
      </c>
      <c r="L967" s="8">
        <v>3028</v>
      </c>
      <c r="M967" s="8">
        <v>18</v>
      </c>
      <c r="N967" s="8">
        <v>13716</v>
      </c>
      <c r="O967" s="9">
        <f t="shared" si="15"/>
        <v>7.5631686488711727E-2</v>
      </c>
      <c r="P967" s="6" t="s">
        <v>29</v>
      </c>
    </row>
    <row r="968" spans="1:16" x14ac:dyDescent="0.25">
      <c r="A968" s="2" t="s">
        <v>2005</v>
      </c>
      <c r="B968" s="2" t="s">
        <v>2006</v>
      </c>
      <c r="C968" s="2" t="s">
        <v>32</v>
      </c>
      <c r="D968" s="3" t="s">
        <v>175</v>
      </c>
      <c r="E968" s="3" t="s">
        <v>27</v>
      </c>
      <c r="F968" s="2" t="s">
        <v>40</v>
      </c>
      <c r="G968" s="4">
        <v>154733</v>
      </c>
      <c r="H968" s="4">
        <v>44674</v>
      </c>
      <c r="I968" s="4">
        <v>37530</v>
      </c>
      <c r="J968" s="4">
        <v>2418</v>
      </c>
      <c r="K968" s="4">
        <v>125</v>
      </c>
      <c r="L968" s="4">
        <v>226</v>
      </c>
      <c r="M968" s="4">
        <v>18</v>
      </c>
      <c r="N968" s="4">
        <v>251</v>
      </c>
      <c r="O968" s="5">
        <f t="shared" si="15"/>
        <v>7.426059152677858E-2</v>
      </c>
      <c r="P968" s="2" t="s">
        <v>22</v>
      </c>
    </row>
    <row r="969" spans="1:16" x14ac:dyDescent="0.25">
      <c r="A969" s="6" t="s">
        <v>2007</v>
      </c>
      <c r="B969" s="6" t="s">
        <v>2008</v>
      </c>
      <c r="C969" s="6" t="s">
        <v>25</v>
      </c>
      <c r="D969" s="7" t="s">
        <v>64</v>
      </c>
      <c r="E969" s="7" t="s">
        <v>20</v>
      </c>
      <c r="F969" s="6" t="s">
        <v>54</v>
      </c>
      <c r="G969" s="8">
        <v>196438</v>
      </c>
      <c r="H969" s="8">
        <v>106083</v>
      </c>
      <c r="I969" s="8">
        <v>81129</v>
      </c>
      <c r="J969" s="8">
        <v>3020</v>
      </c>
      <c r="K969" s="8">
        <v>529</v>
      </c>
      <c r="L969" s="8">
        <v>219</v>
      </c>
      <c r="M969" s="8">
        <v>489</v>
      </c>
      <c r="N969" s="8">
        <v>3514</v>
      </c>
      <c r="O969" s="9">
        <f t="shared" si="15"/>
        <v>5.2471989054468808E-2</v>
      </c>
      <c r="P969" s="6" t="s">
        <v>22</v>
      </c>
    </row>
    <row r="970" spans="1:16" x14ac:dyDescent="0.25">
      <c r="A970" s="2" t="s">
        <v>2009</v>
      </c>
      <c r="B970" s="2" t="s">
        <v>2010</v>
      </c>
      <c r="C970" s="2" t="s">
        <v>25</v>
      </c>
      <c r="D970" s="3" t="s">
        <v>26</v>
      </c>
      <c r="E970" s="3" t="s">
        <v>45</v>
      </c>
      <c r="F970" s="2" t="s">
        <v>54</v>
      </c>
      <c r="G970" s="4">
        <v>481889</v>
      </c>
      <c r="H970" s="4">
        <v>305630</v>
      </c>
      <c r="I970" s="4">
        <v>257103</v>
      </c>
      <c r="J970" s="4">
        <v>9301</v>
      </c>
      <c r="K970" s="4">
        <v>580</v>
      </c>
      <c r="L970" s="4">
        <v>865</v>
      </c>
      <c r="M970" s="4">
        <v>2315</v>
      </c>
      <c r="N970" s="4">
        <v>3619</v>
      </c>
      <c r="O970" s="5">
        <f t="shared" si="15"/>
        <v>5.0800651878818992E-2</v>
      </c>
      <c r="P970" s="2" t="s">
        <v>29</v>
      </c>
    </row>
    <row r="971" spans="1:16" x14ac:dyDescent="0.25">
      <c r="A971" s="6" t="s">
        <v>2011</v>
      </c>
      <c r="B971" s="6" t="s">
        <v>2012</v>
      </c>
      <c r="C971" s="6" t="s">
        <v>18</v>
      </c>
      <c r="D971" s="7" t="s">
        <v>19</v>
      </c>
      <c r="E971" s="7" t="s">
        <v>27</v>
      </c>
      <c r="F971" s="6" t="s">
        <v>21</v>
      </c>
      <c r="G971" s="8">
        <v>691686</v>
      </c>
      <c r="H971" s="8">
        <v>353795</v>
      </c>
      <c r="I971" s="8">
        <v>324007</v>
      </c>
      <c r="J971" s="8">
        <v>24652</v>
      </c>
      <c r="K971" s="8">
        <v>4057</v>
      </c>
      <c r="L971" s="8">
        <v>3569</v>
      </c>
      <c r="M971" s="8">
        <v>5607</v>
      </c>
      <c r="N971" s="8">
        <v>3019</v>
      </c>
      <c r="O971" s="9">
        <f t="shared" si="15"/>
        <v>0.11692648615616329</v>
      </c>
      <c r="P971" s="6" t="s">
        <v>22</v>
      </c>
    </row>
    <row r="972" spans="1:16" x14ac:dyDescent="0.25">
      <c r="A972" s="2" t="s">
        <v>2013</v>
      </c>
      <c r="B972" s="2" t="s">
        <v>2014</v>
      </c>
      <c r="C972" s="2" t="s">
        <v>18</v>
      </c>
      <c r="D972" s="3" t="s">
        <v>226</v>
      </c>
      <c r="E972" s="3" t="s">
        <v>27</v>
      </c>
      <c r="F972" s="2" t="s">
        <v>21</v>
      </c>
      <c r="G972" s="4">
        <v>428464</v>
      </c>
      <c r="H972" s="4">
        <v>121885</v>
      </c>
      <c r="I972" s="4">
        <v>89250</v>
      </c>
      <c r="J972" s="4">
        <v>7271</v>
      </c>
      <c r="K972" s="4">
        <v>320</v>
      </c>
      <c r="L972" s="4">
        <v>665</v>
      </c>
      <c r="M972" s="4">
        <v>1196</v>
      </c>
      <c r="N972" s="4">
        <v>1869</v>
      </c>
      <c r="O972" s="5">
        <f t="shared" si="15"/>
        <v>0.1059047619047619</v>
      </c>
      <c r="P972" s="2" t="s">
        <v>29</v>
      </c>
    </row>
    <row r="973" spans="1:16" x14ac:dyDescent="0.25">
      <c r="A973" s="6" t="s">
        <v>2015</v>
      </c>
      <c r="B973" s="6" t="s">
        <v>2016</v>
      </c>
      <c r="C973" s="6" t="s">
        <v>32</v>
      </c>
      <c r="D973" s="7" t="s">
        <v>121</v>
      </c>
      <c r="E973" s="7" t="s">
        <v>34</v>
      </c>
      <c r="F973" s="6" t="s">
        <v>51</v>
      </c>
      <c r="G973" s="8">
        <v>806224</v>
      </c>
      <c r="H973" s="8">
        <v>307370</v>
      </c>
      <c r="I973" s="8">
        <v>237937</v>
      </c>
      <c r="J973" s="8">
        <v>23184</v>
      </c>
      <c r="K973" s="8">
        <v>1113</v>
      </c>
      <c r="L973" s="8">
        <v>3005</v>
      </c>
      <c r="M973" s="8">
        <v>49</v>
      </c>
      <c r="N973" s="8">
        <v>3999</v>
      </c>
      <c r="O973" s="9">
        <f t="shared" si="15"/>
        <v>0.11495059616621206</v>
      </c>
      <c r="P973" s="6" t="s">
        <v>22</v>
      </c>
    </row>
    <row r="974" spans="1:16" x14ac:dyDescent="0.25">
      <c r="A974" s="2" t="s">
        <v>2017</v>
      </c>
      <c r="B974" s="2" t="s">
        <v>2018</v>
      </c>
      <c r="C974" s="2" t="s">
        <v>18</v>
      </c>
      <c r="D974" s="3" t="s">
        <v>92</v>
      </c>
      <c r="E974" s="3" t="s">
        <v>50</v>
      </c>
      <c r="F974" s="2" t="s">
        <v>73</v>
      </c>
      <c r="G974" s="4">
        <v>45032</v>
      </c>
      <c r="H974" s="4">
        <v>24972</v>
      </c>
      <c r="I974" s="4">
        <v>20108</v>
      </c>
      <c r="J974" s="4">
        <v>834</v>
      </c>
      <c r="K974" s="4">
        <v>25</v>
      </c>
      <c r="L974" s="4">
        <v>109</v>
      </c>
      <c r="M974" s="4">
        <v>114</v>
      </c>
      <c r="N974" s="4">
        <v>417</v>
      </c>
      <c r="O974" s="5">
        <f t="shared" si="15"/>
        <v>5.3809429082952061E-2</v>
      </c>
      <c r="P974" s="2" t="s">
        <v>66</v>
      </c>
    </row>
    <row r="975" spans="1:16" x14ac:dyDescent="0.25">
      <c r="A975" s="6" t="s">
        <v>2019</v>
      </c>
      <c r="B975" s="6" t="s">
        <v>2020</v>
      </c>
      <c r="C975" s="6" t="s">
        <v>32</v>
      </c>
      <c r="D975" s="7" t="s">
        <v>33</v>
      </c>
      <c r="E975" s="7" t="s">
        <v>20</v>
      </c>
      <c r="F975" s="6" t="s">
        <v>128</v>
      </c>
      <c r="G975" s="8">
        <v>87659</v>
      </c>
      <c r="H975" s="8">
        <v>47700</v>
      </c>
      <c r="I975" s="8">
        <v>42032</v>
      </c>
      <c r="J975" s="8">
        <v>3310</v>
      </c>
      <c r="K975" s="8">
        <v>111</v>
      </c>
      <c r="L975" s="8">
        <v>472</v>
      </c>
      <c r="M975" s="8">
        <v>24</v>
      </c>
      <c r="N975" s="8">
        <v>993</v>
      </c>
      <c r="O975" s="9">
        <f t="shared" si="15"/>
        <v>9.3190902169775408E-2</v>
      </c>
      <c r="P975" s="6" t="s">
        <v>29</v>
      </c>
    </row>
    <row r="976" spans="1:16" x14ac:dyDescent="0.25">
      <c r="A976" s="2" t="s">
        <v>2021</v>
      </c>
      <c r="B976" s="2" t="s">
        <v>2022</v>
      </c>
      <c r="C976" s="2" t="s">
        <v>43</v>
      </c>
      <c r="D976" s="3" t="s">
        <v>81</v>
      </c>
      <c r="E976" s="3" t="s">
        <v>45</v>
      </c>
      <c r="F976" s="2" t="s">
        <v>46</v>
      </c>
      <c r="G976" s="4">
        <v>59462</v>
      </c>
      <c r="H976" s="4">
        <v>30978</v>
      </c>
      <c r="I976" s="4">
        <v>25240</v>
      </c>
      <c r="J976" s="4">
        <v>2240</v>
      </c>
      <c r="K976" s="4">
        <v>386</v>
      </c>
      <c r="L976" s="4">
        <v>231</v>
      </c>
      <c r="M976" s="4">
        <v>40</v>
      </c>
      <c r="N976" s="4">
        <v>288</v>
      </c>
      <c r="O976" s="5">
        <f t="shared" si="15"/>
        <v>0.11477812995245641</v>
      </c>
      <c r="P976" s="2" t="s">
        <v>29</v>
      </c>
    </row>
    <row r="977" spans="1:16" x14ac:dyDescent="0.25">
      <c r="A977" s="6" t="s">
        <v>2023</v>
      </c>
      <c r="B977" s="6" t="s">
        <v>2024</v>
      </c>
      <c r="C977" s="6" t="s">
        <v>76</v>
      </c>
      <c r="D977" s="7" t="s">
        <v>182</v>
      </c>
      <c r="E977" s="7" t="s">
        <v>39</v>
      </c>
      <c r="F977" s="6" t="s">
        <v>104</v>
      </c>
      <c r="G977" s="8">
        <v>630424</v>
      </c>
      <c r="H977" s="8">
        <v>108759</v>
      </c>
      <c r="I977" s="8">
        <v>98692</v>
      </c>
      <c r="J977" s="8">
        <v>7953</v>
      </c>
      <c r="K977" s="8">
        <v>1104</v>
      </c>
      <c r="L977" s="8">
        <v>947</v>
      </c>
      <c r="M977" s="8">
        <v>1052</v>
      </c>
      <c r="N977" s="8">
        <v>968</v>
      </c>
      <c r="O977" s="9">
        <f t="shared" si="15"/>
        <v>0.11202529080371255</v>
      </c>
      <c r="P977" s="6" t="s">
        <v>22</v>
      </c>
    </row>
    <row r="978" spans="1:16" x14ac:dyDescent="0.25">
      <c r="A978" s="2" t="s">
        <v>2025</v>
      </c>
      <c r="B978" s="2" t="s">
        <v>2026</v>
      </c>
      <c r="C978" s="2" t="s">
        <v>32</v>
      </c>
      <c r="D978" s="3" t="s">
        <v>121</v>
      </c>
      <c r="E978" s="3" t="s">
        <v>39</v>
      </c>
      <c r="F978" s="2" t="s">
        <v>128</v>
      </c>
      <c r="G978" s="4">
        <v>171291</v>
      </c>
      <c r="H978" s="4">
        <v>104747</v>
      </c>
      <c r="I978" s="4">
        <v>91046</v>
      </c>
      <c r="J978" s="4">
        <v>3751</v>
      </c>
      <c r="K978" s="4">
        <v>336</v>
      </c>
      <c r="L978" s="4">
        <v>330</v>
      </c>
      <c r="M978" s="4">
        <v>34</v>
      </c>
      <c r="N978" s="4">
        <v>1349</v>
      </c>
      <c r="O978" s="5">
        <f t="shared" si="15"/>
        <v>4.8887375612327831E-2</v>
      </c>
      <c r="P978" s="2" t="s">
        <v>66</v>
      </c>
    </row>
    <row r="979" spans="1:16" x14ac:dyDescent="0.25">
      <c r="A979" s="6" t="s">
        <v>2027</v>
      </c>
      <c r="B979" s="6" t="s">
        <v>2028</v>
      </c>
      <c r="C979" s="6" t="s">
        <v>76</v>
      </c>
      <c r="D979" s="7" t="s">
        <v>86</v>
      </c>
      <c r="E979" s="7" t="s">
        <v>50</v>
      </c>
      <c r="F979" s="6" t="s">
        <v>78</v>
      </c>
      <c r="G979" s="8">
        <v>752146</v>
      </c>
      <c r="H979" s="8">
        <v>147038</v>
      </c>
      <c r="I979" s="8">
        <v>106443</v>
      </c>
      <c r="J979" s="8">
        <v>7746</v>
      </c>
      <c r="K979" s="8">
        <v>324</v>
      </c>
      <c r="L979" s="8">
        <v>165</v>
      </c>
      <c r="M979" s="8">
        <v>1703</v>
      </c>
      <c r="N979" s="8">
        <v>4701</v>
      </c>
      <c r="O979" s="9">
        <f t="shared" si="15"/>
        <v>9.3364523735708319E-2</v>
      </c>
      <c r="P979" s="6" t="s">
        <v>22</v>
      </c>
    </row>
    <row r="980" spans="1:16" x14ac:dyDescent="0.25">
      <c r="A980" s="2" t="s">
        <v>2029</v>
      </c>
      <c r="B980" s="2" t="s">
        <v>2030</v>
      </c>
      <c r="C980" s="2" t="s">
        <v>76</v>
      </c>
      <c r="D980" s="3" t="s">
        <v>182</v>
      </c>
      <c r="E980" s="3" t="s">
        <v>34</v>
      </c>
      <c r="F980" s="2" t="s">
        <v>155</v>
      </c>
      <c r="G980" s="4">
        <v>789286</v>
      </c>
      <c r="H980" s="4">
        <v>434379</v>
      </c>
      <c r="I980" s="4">
        <v>334431</v>
      </c>
      <c r="J980" s="4">
        <v>20877</v>
      </c>
      <c r="K980" s="4">
        <v>2336</v>
      </c>
      <c r="L980" s="4">
        <v>3067</v>
      </c>
      <c r="M980" s="4">
        <v>2613</v>
      </c>
      <c r="N980" s="4">
        <v>4652</v>
      </c>
      <c r="O980" s="5">
        <f t="shared" si="15"/>
        <v>8.6394502901943893E-2</v>
      </c>
      <c r="P980" s="2" t="s">
        <v>22</v>
      </c>
    </row>
    <row r="981" spans="1:16" x14ac:dyDescent="0.25">
      <c r="A981" s="6" t="s">
        <v>2031</v>
      </c>
      <c r="B981" s="6" t="s">
        <v>2032</v>
      </c>
      <c r="C981" s="6" t="s">
        <v>18</v>
      </c>
      <c r="D981" s="7" t="s">
        <v>231</v>
      </c>
      <c r="E981" s="7" t="s">
        <v>27</v>
      </c>
      <c r="F981" s="6" t="s">
        <v>21</v>
      </c>
      <c r="G981" s="8">
        <v>763752</v>
      </c>
      <c r="H981" s="8">
        <v>437475</v>
      </c>
      <c r="I981" s="8">
        <v>310831</v>
      </c>
      <c r="J981" s="8">
        <v>31431</v>
      </c>
      <c r="K981" s="8">
        <v>2329</v>
      </c>
      <c r="L981" s="8">
        <v>804</v>
      </c>
      <c r="M981" s="8">
        <v>6710</v>
      </c>
      <c r="N981" s="8">
        <v>7846</v>
      </c>
      <c r="O981" s="9">
        <f t="shared" si="15"/>
        <v>0.13278598338003611</v>
      </c>
      <c r="P981" s="6" t="s">
        <v>22</v>
      </c>
    </row>
    <row r="982" spans="1:16" x14ac:dyDescent="0.25">
      <c r="A982" s="2" t="s">
        <v>2033</v>
      </c>
      <c r="B982" s="2" t="s">
        <v>2034</v>
      </c>
      <c r="C982" s="2" t="s">
        <v>18</v>
      </c>
      <c r="D982" s="3" t="s">
        <v>226</v>
      </c>
      <c r="E982" s="3" t="s">
        <v>39</v>
      </c>
      <c r="F982" s="2" t="s">
        <v>58</v>
      </c>
      <c r="G982" s="4">
        <v>562630</v>
      </c>
      <c r="H982" s="4">
        <v>90476</v>
      </c>
      <c r="I982" s="4">
        <v>78080</v>
      </c>
      <c r="J982" s="4">
        <v>4521</v>
      </c>
      <c r="K982" s="4">
        <v>483</v>
      </c>
      <c r="L982" s="4">
        <v>628</v>
      </c>
      <c r="M982" s="4">
        <v>294</v>
      </c>
      <c r="N982" s="4">
        <v>2715</v>
      </c>
      <c r="O982" s="5">
        <f t="shared" si="15"/>
        <v>7.5896516393442623E-2</v>
      </c>
      <c r="P982" s="2" t="s">
        <v>29</v>
      </c>
    </row>
    <row r="983" spans="1:16" x14ac:dyDescent="0.25">
      <c r="A983" s="6" t="s">
        <v>2035</v>
      </c>
      <c r="B983" s="6" t="s">
        <v>2036</v>
      </c>
      <c r="C983" s="6" t="s">
        <v>43</v>
      </c>
      <c r="D983" s="7" t="s">
        <v>172</v>
      </c>
      <c r="E983" s="7" t="s">
        <v>20</v>
      </c>
      <c r="F983" s="6" t="s">
        <v>70</v>
      </c>
      <c r="G983" s="8">
        <v>661284</v>
      </c>
      <c r="H983" s="8">
        <v>248690</v>
      </c>
      <c r="I983" s="8">
        <v>183472</v>
      </c>
      <c r="J983" s="8">
        <v>13122</v>
      </c>
      <c r="K983" s="8">
        <v>1839</v>
      </c>
      <c r="L983" s="8">
        <v>1100</v>
      </c>
      <c r="M983" s="8">
        <v>46</v>
      </c>
      <c r="N983" s="8">
        <v>6367</v>
      </c>
      <c r="O983" s="9">
        <f t="shared" si="15"/>
        <v>8.7789962501090085E-2</v>
      </c>
      <c r="P983" s="6" t="s">
        <v>22</v>
      </c>
    </row>
    <row r="984" spans="1:16" x14ac:dyDescent="0.25">
      <c r="A984" s="2" t="s">
        <v>2037</v>
      </c>
      <c r="B984" s="2" t="s">
        <v>2038</v>
      </c>
      <c r="C984" s="2" t="s">
        <v>25</v>
      </c>
      <c r="D984" s="3" t="s">
        <v>61</v>
      </c>
      <c r="E984" s="3" t="s">
        <v>20</v>
      </c>
      <c r="F984" s="2" t="s">
        <v>54</v>
      </c>
      <c r="G984" s="4">
        <v>542831</v>
      </c>
      <c r="H984" s="4">
        <v>254301</v>
      </c>
      <c r="I984" s="4">
        <v>200860</v>
      </c>
      <c r="J984" s="4">
        <v>10250</v>
      </c>
      <c r="K984" s="4">
        <v>1187</v>
      </c>
      <c r="L984" s="4">
        <v>804</v>
      </c>
      <c r="M984" s="4">
        <v>2027</v>
      </c>
      <c r="N984" s="4">
        <v>5031</v>
      </c>
      <c r="O984" s="5">
        <f t="shared" si="15"/>
        <v>7.1034551428855924E-2</v>
      </c>
      <c r="P984" s="2" t="s">
        <v>29</v>
      </c>
    </row>
    <row r="985" spans="1:16" x14ac:dyDescent="0.25">
      <c r="A985" s="6" t="s">
        <v>2039</v>
      </c>
      <c r="B985" s="6" t="s">
        <v>2040</v>
      </c>
      <c r="C985" s="6" t="s">
        <v>32</v>
      </c>
      <c r="D985" s="7" t="s">
        <v>175</v>
      </c>
      <c r="E985" s="7" t="s">
        <v>39</v>
      </c>
      <c r="F985" s="6" t="s">
        <v>35</v>
      </c>
      <c r="G985" s="8">
        <v>736620</v>
      </c>
      <c r="H985" s="8">
        <v>420400</v>
      </c>
      <c r="I985" s="8">
        <v>316102</v>
      </c>
      <c r="J985" s="8">
        <v>18625</v>
      </c>
      <c r="K985" s="8">
        <v>2737</v>
      </c>
      <c r="L985" s="8">
        <v>727</v>
      </c>
      <c r="M985" s="8">
        <v>50</v>
      </c>
      <c r="N985" s="8">
        <v>2297</v>
      </c>
      <c r="O985" s="9">
        <f t="shared" si="15"/>
        <v>7.0037519534833698E-2</v>
      </c>
      <c r="P985" s="6" t="s">
        <v>29</v>
      </c>
    </row>
    <row r="986" spans="1:16" x14ac:dyDescent="0.25">
      <c r="A986" s="2" t="s">
        <v>2041</v>
      </c>
      <c r="B986" s="2" t="s">
        <v>2042</v>
      </c>
      <c r="C986" s="2" t="s">
        <v>25</v>
      </c>
      <c r="D986" s="3" t="s">
        <v>64</v>
      </c>
      <c r="E986" s="3" t="s">
        <v>20</v>
      </c>
      <c r="F986" s="2" t="s">
        <v>28</v>
      </c>
      <c r="G986" s="4">
        <v>346318</v>
      </c>
      <c r="H986" s="4">
        <v>44719</v>
      </c>
      <c r="I986" s="4">
        <v>37980</v>
      </c>
      <c r="J986" s="4">
        <v>2664</v>
      </c>
      <c r="K986" s="4">
        <v>85</v>
      </c>
      <c r="L986" s="4">
        <v>169</v>
      </c>
      <c r="M986" s="4">
        <v>660</v>
      </c>
      <c r="N986" s="4">
        <v>1480</v>
      </c>
      <c r="O986" s="5">
        <f t="shared" si="15"/>
        <v>9.420747761979989E-2</v>
      </c>
      <c r="P986" s="2" t="s">
        <v>29</v>
      </c>
    </row>
    <row r="987" spans="1:16" x14ac:dyDescent="0.25">
      <c r="A987" s="6" t="s">
        <v>2043</v>
      </c>
      <c r="B987" s="6" t="s">
        <v>2044</v>
      </c>
      <c r="C987" s="6" t="s">
        <v>76</v>
      </c>
      <c r="D987" s="7" t="s">
        <v>189</v>
      </c>
      <c r="E987" s="7" t="s">
        <v>45</v>
      </c>
      <c r="F987" s="6" t="s">
        <v>155</v>
      </c>
      <c r="G987" s="8">
        <v>78787</v>
      </c>
      <c r="H987" s="8">
        <v>12533</v>
      </c>
      <c r="I987" s="8">
        <v>9870</v>
      </c>
      <c r="J987" s="8">
        <v>594</v>
      </c>
      <c r="K987" s="8">
        <v>70</v>
      </c>
      <c r="L987" s="8">
        <v>14</v>
      </c>
      <c r="M987" s="8">
        <v>99</v>
      </c>
      <c r="N987" s="8">
        <v>353</v>
      </c>
      <c r="O987" s="9">
        <f t="shared" si="15"/>
        <v>7.8723404255319152E-2</v>
      </c>
      <c r="P987" s="6" t="s">
        <v>22</v>
      </c>
    </row>
    <row r="988" spans="1:16" x14ac:dyDescent="0.25">
      <c r="A988" s="2" t="s">
        <v>2045</v>
      </c>
      <c r="B988" s="2" t="s">
        <v>2046</v>
      </c>
      <c r="C988" s="2" t="s">
        <v>18</v>
      </c>
      <c r="D988" s="3" t="s">
        <v>92</v>
      </c>
      <c r="E988" s="3" t="s">
        <v>34</v>
      </c>
      <c r="F988" s="2" t="s">
        <v>21</v>
      </c>
      <c r="G988" s="4">
        <v>135537</v>
      </c>
      <c r="H988" s="4">
        <v>13762</v>
      </c>
      <c r="I988" s="4">
        <v>12050</v>
      </c>
      <c r="J988" s="4">
        <v>1060</v>
      </c>
      <c r="K988" s="4">
        <v>141</v>
      </c>
      <c r="L988" s="4">
        <v>52</v>
      </c>
      <c r="M988" s="4">
        <v>231</v>
      </c>
      <c r="N988" s="4">
        <v>247</v>
      </c>
      <c r="O988" s="5">
        <f t="shared" si="15"/>
        <v>0.12315352697095436</v>
      </c>
      <c r="P988" s="2" t="s">
        <v>29</v>
      </c>
    </row>
    <row r="989" spans="1:16" x14ac:dyDescent="0.25">
      <c r="A989" s="6" t="s">
        <v>2047</v>
      </c>
      <c r="B989" s="6" t="s">
        <v>2048</v>
      </c>
      <c r="C989" s="6" t="s">
        <v>18</v>
      </c>
      <c r="D989" s="7" t="s">
        <v>19</v>
      </c>
      <c r="E989" s="7" t="s">
        <v>50</v>
      </c>
      <c r="F989" s="6" t="s">
        <v>73</v>
      </c>
      <c r="G989" s="8">
        <v>356626</v>
      </c>
      <c r="H989" s="8">
        <v>152474</v>
      </c>
      <c r="I989" s="8">
        <v>127848</v>
      </c>
      <c r="J989" s="8">
        <v>8970</v>
      </c>
      <c r="K989" s="8">
        <v>650</v>
      </c>
      <c r="L989" s="8">
        <v>706</v>
      </c>
      <c r="M989" s="8">
        <v>1427</v>
      </c>
      <c r="N989" s="8">
        <v>2856</v>
      </c>
      <c r="O989" s="9">
        <f t="shared" si="15"/>
        <v>9.1929478756022781E-2</v>
      </c>
      <c r="P989" s="6" t="s">
        <v>29</v>
      </c>
    </row>
    <row r="990" spans="1:16" x14ac:dyDescent="0.25">
      <c r="A990" s="2" t="s">
        <v>2049</v>
      </c>
      <c r="B990" s="2" t="s">
        <v>2050</v>
      </c>
      <c r="C990" s="2" t="s">
        <v>76</v>
      </c>
      <c r="D990" s="3" t="s">
        <v>103</v>
      </c>
      <c r="E990" s="3" t="s">
        <v>20</v>
      </c>
      <c r="F990" s="2" t="s">
        <v>155</v>
      </c>
      <c r="G990" s="4">
        <v>572892</v>
      </c>
      <c r="H990" s="4">
        <v>173347</v>
      </c>
      <c r="I990" s="4">
        <v>141908</v>
      </c>
      <c r="J990" s="4">
        <v>13577</v>
      </c>
      <c r="K990" s="4">
        <v>787</v>
      </c>
      <c r="L990" s="4">
        <v>1919</v>
      </c>
      <c r="M990" s="4">
        <v>1906</v>
      </c>
      <c r="N990" s="4">
        <v>2845</v>
      </c>
      <c r="O990" s="5">
        <f t="shared" si="15"/>
        <v>0.12817459198917608</v>
      </c>
      <c r="P990" s="2" t="s">
        <v>22</v>
      </c>
    </row>
    <row r="991" spans="1:16" x14ac:dyDescent="0.25">
      <c r="A991" s="6" t="s">
        <v>2051</v>
      </c>
      <c r="B991" s="6" t="s">
        <v>2052</v>
      </c>
      <c r="C991" s="6" t="s">
        <v>32</v>
      </c>
      <c r="D991" s="7" t="s">
        <v>121</v>
      </c>
      <c r="E991" s="7" t="s">
        <v>27</v>
      </c>
      <c r="F991" s="6" t="s">
        <v>35</v>
      </c>
      <c r="G991" s="8">
        <v>405650</v>
      </c>
      <c r="H991" s="8">
        <v>230613</v>
      </c>
      <c r="I991" s="8">
        <v>207867</v>
      </c>
      <c r="J991" s="8">
        <v>11610</v>
      </c>
      <c r="K991" s="8">
        <v>1599</v>
      </c>
      <c r="L991" s="8">
        <v>464</v>
      </c>
      <c r="M991" s="8">
        <v>8</v>
      </c>
      <c r="N991" s="8">
        <v>3367</v>
      </c>
      <c r="O991" s="9">
        <f t="shared" si="15"/>
        <v>6.5816122809296329E-2</v>
      </c>
      <c r="P991" s="6" t="s">
        <v>22</v>
      </c>
    </row>
    <row r="992" spans="1:16" x14ac:dyDescent="0.25">
      <c r="A992" s="2" t="s">
        <v>2053</v>
      </c>
      <c r="B992" s="2" t="s">
        <v>2054</v>
      </c>
      <c r="C992" s="2" t="s">
        <v>43</v>
      </c>
      <c r="D992" s="3" t="s">
        <v>110</v>
      </c>
      <c r="E992" s="3" t="s">
        <v>45</v>
      </c>
      <c r="F992" s="2" t="s">
        <v>107</v>
      </c>
      <c r="G992" s="4">
        <v>3186</v>
      </c>
      <c r="H992" s="4">
        <v>790</v>
      </c>
      <c r="I992" s="4">
        <v>690</v>
      </c>
      <c r="J992" s="4">
        <v>33</v>
      </c>
      <c r="K992" s="4">
        <v>4</v>
      </c>
      <c r="L992" s="4">
        <v>4</v>
      </c>
      <c r="M992" s="4">
        <v>42</v>
      </c>
      <c r="N992" s="4">
        <v>25</v>
      </c>
      <c r="O992" s="5">
        <f t="shared" si="15"/>
        <v>0.12028985507246377</v>
      </c>
      <c r="P992" s="2" t="s">
        <v>22</v>
      </c>
    </row>
    <row r="993" spans="1:16" x14ac:dyDescent="0.25">
      <c r="A993" s="6" t="s">
        <v>2055</v>
      </c>
      <c r="B993" s="6" t="s">
        <v>2056</v>
      </c>
      <c r="C993" s="6" t="s">
        <v>18</v>
      </c>
      <c r="D993" s="7" t="s">
        <v>57</v>
      </c>
      <c r="E993" s="7" t="s">
        <v>27</v>
      </c>
      <c r="F993" s="6" t="s">
        <v>21</v>
      </c>
      <c r="G993" s="8">
        <v>34622</v>
      </c>
      <c r="H993" s="8">
        <v>6083</v>
      </c>
      <c r="I993" s="8">
        <v>4493</v>
      </c>
      <c r="J993" s="8">
        <v>394</v>
      </c>
      <c r="K993" s="8">
        <v>62</v>
      </c>
      <c r="L993" s="8">
        <v>21</v>
      </c>
      <c r="M993" s="8">
        <v>34</v>
      </c>
      <c r="N993" s="8">
        <v>125</v>
      </c>
      <c r="O993" s="9">
        <f t="shared" si="15"/>
        <v>0.11373247273536613</v>
      </c>
      <c r="P993" s="6" t="s">
        <v>22</v>
      </c>
    </row>
    <row r="994" spans="1:16" x14ac:dyDescent="0.25">
      <c r="A994" s="2" t="s">
        <v>2057</v>
      </c>
      <c r="B994" s="2" t="s">
        <v>2058</v>
      </c>
      <c r="C994" s="2" t="s">
        <v>43</v>
      </c>
      <c r="D994" s="3" t="s">
        <v>110</v>
      </c>
      <c r="E994" s="3" t="s">
        <v>20</v>
      </c>
      <c r="F994" s="2" t="s">
        <v>107</v>
      </c>
      <c r="G994" s="4">
        <v>261104</v>
      </c>
      <c r="H994" s="4">
        <v>40697</v>
      </c>
      <c r="I994" s="4">
        <v>35107</v>
      </c>
      <c r="J994" s="4">
        <v>2881</v>
      </c>
      <c r="K994" s="4">
        <v>427</v>
      </c>
      <c r="L994" s="4">
        <v>368</v>
      </c>
      <c r="M994" s="4">
        <v>14</v>
      </c>
      <c r="N994" s="4">
        <v>1261</v>
      </c>
      <c r="O994" s="5">
        <f t="shared" si="15"/>
        <v>0.10510724356965848</v>
      </c>
      <c r="P994" s="2" t="s">
        <v>22</v>
      </c>
    </row>
    <row r="995" spans="1:16" x14ac:dyDescent="0.25">
      <c r="A995" s="6" t="s">
        <v>2059</v>
      </c>
      <c r="B995" s="6" t="s">
        <v>2060</v>
      </c>
      <c r="C995" s="6" t="s">
        <v>18</v>
      </c>
      <c r="D995" s="7" t="s">
        <v>57</v>
      </c>
      <c r="E995" s="7" t="s">
        <v>20</v>
      </c>
      <c r="F995" s="6" t="s">
        <v>58</v>
      </c>
      <c r="G995" s="8">
        <v>85973</v>
      </c>
      <c r="H995" s="8">
        <v>51765</v>
      </c>
      <c r="I995" s="8">
        <v>42305</v>
      </c>
      <c r="J995" s="8">
        <v>2084</v>
      </c>
      <c r="K995" s="8">
        <v>371</v>
      </c>
      <c r="L995" s="8">
        <v>172</v>
      </c>
      <c r="M995" s="8">
        <v>485</v>
      </c>
      <c r="N995" s="8">
        <v>792</v>
      </c>
      <c r="O995" s="9">
        <f t="shared" si="15"/>
        <v>7.3561044793759606E-2</v>
      </c>
      <c r="P995" s="6" t="s">
        <v>22</v>
      </c>
    </row>
    <row r="996" spans="1:16" x14ac:dyDescent="0.25">
      <c r="A996" s="2" t="s">
        <v>2061</v>
      </c>
      <c r="B996" s="2" t="s">
        <v>2062</v>
      </c>
      <c r="C996" s="2" t="s">
        <v>25</v>
      </c>
      <c r="D996" s="3" t="s">
        <v>64</v>
      </c>
      <c r="E996" s="3" t="s">
        <v>50</v>
      </c>
      <c r="F996" s="2" t="s">
        <v>28</v>
      </c>
      <c r="G996" s="4">
        <v>109686</v>
      </c>
      <c r="H996" s="4">
        <v>70760</v>
      </c>
      <c r="I996" s="4">
        <v>51185</v>
      </c>
      <c r="J996" s="4">
        <v>4432</v>
      </c>
      <c r="K996" s="4">
        <v>378</v>
      </c>
      <c r="L996" s="4">
        <v>103</v>
      </c>
      <c r="M996" s="4">
        <v>794</v>
      </c>
      <c r="N996" s="4">
        <v>1455</v>
      </c>
      <c r="O996" s="5">
        <f t="shared" si="15"/>
        <v>0.11149750903585035</v>
      </c>
      <c r="P996" s="2" t="s">
        <v>66</v>
      </c>
    </row>
    <row r="997" spans="1:16" x14ac:dyDescent="0.25">
      <c r="A997" s="6" t="s">
        <v>2063</v>
      </c>
      <c r="B997" s="6" t="s">
        <v>2064</v>
      </c>
      <c r="C997" s="6" t="s">
        <v>43</v>
      </c>
      <c r="D997" s="7" t="s">
        <v>110</v>
      </c>
      <c r="E997" s="7" t="s">
        <v>39</v>
      </c>
      <c r="F997" s="6" t="s">
        <v>107</v>
      </c>
      <c r="G997" s="8">
        <v>303760</v>
      </c>
      <c r="H997" s="8">
        <v>63120</v>
      </c>
      <c r="I997" s="8">
        <v>48441</v>
      </c>
      <c r="J997" s="8">
        <v>3622</v>
      </c>
      <c r="K997" s="8">
        <v>585</v>
      </c>
      <c r="L997" s="8">
        <v>493</v>
      </c>
      <c r="M997" s="8">
        <v>36</v>
      </c>
      <c r="N997" s="8">
        <v>456</v>
      </c>
      <c r="O997" s="9">
        <f t="shared" si="15"/>
        <v>9.77684193142173E-2</v>
      </c>
      <c r="P997" s="6" t="s">
        <v>29</v>
      </c>
    </row>
    <row r="998" spans="1:16" x14ac:dyDescent="0.25">
      <c r="A998" s="2" t="s">
        <v>2065</v>
      </c>
      <c r="B998" s="2" t="s">
        <v>2066</v>
      </c>
      <c r="C998" s="2" t="s">
        <v>76</v>
      </c>
      <c r="D998" s="3" t="s">
        <v>86</v>
      </c>
      <c r="E998" s="3" t="s">
        <v>27</v>
      </c>
      <c r="F998" s="2" t="s">
        <v>78</v>
      </c>
      <c r="G998" s="4">
        <v>612747</v>
      </c>
      <c r="H998" s="4">
        <v>326145</v>
      </c>
      <c r="I998" s="4">
        <v>288469</v>
      </c>
      <c r="J998" s="4">
        <v>10635</v>
      </c>
      <c r="K998" s="4">
        <v>809</v>
      </c>
      <c r="L998" s="4">
        <v>662</v>
      </c>
      <c r="M998" s="4">
        <v>1496</v>
      </c>
      <c r="N998" s="4">
        <v>4827</v>
      </c>
      <c r="O998" s="5">
        <f t="shared" si="15"/>
        <v>4.715238032509559E-2</v>
      </c>
      <c r="P998" s="2" t="s">
        <v>22</v>
      </c>
    </row>
    <row r="999" spans="1:16" x14ac:dyDescent="0.25">
      <c r="A999" s="6" t="s">
        <v>2067</v>
      </c>
      <c r="B999" s="6" t="s">
        <v>2068</v>
      </c>
      <c r="C999" s="6" t="s">
        <v>18</v>
      </c>
      <c r="D999" s="7" t="s">
        <v>92</v>
      </c>
      <c r="E999" s="7" t="s">
        <v>20</v>
      </c>
      <c r="F999" s="6" t="s">
        <v>58</v>
      </c>
      <c r="G999" s="8">
        <v>501470</v>
      </c>
      <c r="H999" s="8">
        <v>311841</v>
      </c>
      <c r="I999" s="8">
        <v>234626</v>
      </c>
      <c r="J999" s="8">
        <v>14212</v>
      </c>
      <c r="K999" s="8">
        <v>2241</v>
      </c>
      <c r="L999" s="8">
        <v>368</v>
      </c>
      <c r="M999" s="8">
        <v>3438</v>
      </c>
      <c r="N999" s="8">
        <v>4045</v>
      </c>
      <c r="O999" s="9">
        <f t="shared" si="15"/>
        <v>8.6345929266151242E-2</v>
      </c>
      <c r="P999" s="6" t="s">
        <v>29</v>
      </c>
    </row>
    <row r="1000" spans="1:16" x14ac:dyDescent="0.25">
      <c r="A1000" s="2" t="s">
        <v>2069</v>
      </c>
      <c r="B1000" s="2" t="s">
        <v>2070</v>
      </c>
      <c r="C1000" s="2" t="s">
        <v>18</v>
      </c>
      <c r="D1000" s="3" t="s">
        <v>226</v>
      </c>
      <c r="E1000" s="3" t="s">
        <v>34</v>
      </c>
      <c r="F1000" s="2" t="s">
        <v>58</v>
      </c>
      <c r="G1000" s="4">
        <v>188438</v>
      </c>
      <c r="H1000" s="4">
        <v>81209</v>
      </c>
      <c r="I1000" s="4">
        <v>69282</v>
      </c>
      <c r="J1000" s="4">
        <v>4176</v>
      </c>
      <c r="K1000" s="4">
        <v>476</v>
      </c>
      <c r="L1000" s="4">
        <v>412</v>
      </c>
      <c r="M1000" s="4">
        <v>906</v>
      </c>
      <c r="N1000" s="4">
        <v>2252</v>
      </c>
      <c r="O1000" s="5">
        <f t="shared" si="15"/>
        <v>8.616956785312202E-2</v>
      </c>
      <c r="P1000" s="2" t="s">
        <v>22</v>
      </c>
    </row>
    <row r="1001" spans="1:16" x14ac:dyDescent="0.25">
      <c r="A1001" s="6" t="s">
        <v>2071</v>
      </c>
      <c r="B1001" s="6" t="s">
        <v>2072</v>
      </c>
      <c r="C1001" s="6" t="s">
        <v>43</v>
      </c>
      <c r="D1001" s="7" t="s">
        <v>172</v>
      </c>
      <c r="E1001" s="7" t="s">
        <v>27</v>
      </c>
      <c r="F1001" s="6" t="s">
        <v>46</v>
      </c>
      <c r="G1001" s="8">
        <v>424230</v>
      </c>
      <c r="H1001" s="8">
        <v>67030</v>
      </c>
      <c r="I1001" s="8">
        <v>55140</v>
      </c>
      <c r="J1001" s="8">
        <v>5012</v>
      </c>
      <c r="K1001" s="8">
        <v>733</v>
      </c>
      <c r="L1001" s="8">
        <v>371</v>
      </c>
      <c r="M1001" s="8">
        <v>20</v>
      </c>
      <c r="N1001" s="8">
        <v>2072</v>
      </c>
      <c r="O1001" s="9">
        <f t="shared" si="15"/>
        <v>0.1112803772216177</v>
      </c>
      <c r="P1001" s="6" t="s">
        <v>22</v>
      </c>
    </row>
    <row r="1002" spans="1:16" x14ac:dyDescent="0.25">
      <c r="A1002" s="2" t="s">
        <v>2073</v>
      </c>
      <c r="B1002" s="2" t="s">
        <v>2074</v>
      </c>
      <c r="C1002" s="2" t="s">
        <v>18</v>
      </c>
      <c r="D1002" s="3" t="s">
        <v>231</v>
      </c>
      <c r="E1002" s="3" t="s">
        <v>20</v>
      </c>
      <c r="F1002" s="2" t="s">
        <v>21</v>
      </c>
      <c r="G1002" s="4">
        <v>519145</v>
      </c>
      <c r="H1002" s="4">
        <v>192508</v>
      </c>
      <c r="I1002" s="4">
        <v>172582</v>
      </c>
      <c r="J1002" s="4">
        <v>7079</v>
      </c>
      <c r="K1002" s="4">
        <v>883</v>
      </c>
      <c r="L1002" s="4">
        <v>816</v>
      </c>
      <c r="M1002" s="4">
        <v>951</v>
      </c>
      <c r="N1002" s="4">
        <v>3063</v>
      </c>
      <c r="O1002" s="5">
        <f t="shared" si="15"/>
        <v>5.637320230383238E-2</v>
      </c>
      <c r="P1002" s="2" t="s">
        <v>29</v>
      </c>
    </row>
    <row r="1003" spans="1:16" x14ac:dyDescent="0.25">
      <c r="A1003" s="6" t="s">
        <v>2075</v>
      </c>
      <c r="B1003" s="6" t="s">
        <v>2076</v>
      </c>
      <c r="C1003" s="6" t="s">
        <v>18</v>
      </c>
      <c r="D1003" s="7" t="s">
        <v>19</v>
      </c>
      <c r="E1003" s="7" t="s">
        <v>27</v>
      </c>
      <c r="F1003" s="6" t="s">
        <v>21</v>
      </c>
      <c r="G1003" s="8">
        <v>321835</v>
      </c>
      <c r="H1003" s="8">
        <v>192771</v>
      </c>
      <c r="I1003" s="8">
        <v>169394</v>
      </c>
      <c r="J1003" s="8">
        <v>8807</v>
      </c>
      <c r="K1003" s="8">
        <v>703</v>
      </c>
      <c r="L1003" s="8">
        <v>331</v>
      </c>
      <c r="M1003" s="8">
        <v>1939</v>
      </c>
      <c r="N1003" s="8">
        <v>6067</v>
      </c>
      <c r="O1003" s="9">
        <f t="shared" si="15"/>
        <v>6.9542014475128991E-2</v>
      </c>
      <c r="P1003" s="6" t="s">
        <v>22</v>
      </c>
    </row>
    <row r="1004" spans="1:16" x14ac:dyDescent="0.25">
      <c r="A1004" s="2" t="s">
        <v>2077</v>
      </c>
      <c r="B1004" s="2" t="s">
        <v>2078</v>
      </c>
      <c r="C1004" s="2" t="s">
        <v>25</v>
      </c>
      <c r="D1004" s="3" t="s">
        <v>61</v>
      </c>
      <c r="E1004" s="3" t="s">
        <v>45</v>
      </c>
      <c r="F1004" s="2" t="s">
        <v>146</v>
      </c>
      <c r="G1004" s="4">
        <v>78781</v>
      </c>
      <c r="H1004" s="4">
        <v>12190</v>
      </c>
      <c r="I1004" s="4">
        <v>10901</v>
      </c>
      <c r="J1004" s="4">
        <v>848</v>
      </c>
      <c r="K1004" s="4">
        <v>127</v>
      </c>
      <c r="L1004" s="4">
        <v>112</v>
      </c>
      <c r="M1004" s="4">
        <v>54</v>
      </c>
      <c r="N1004" s="4">
        <v>62</v>
      </c>
      <c r="O1004" s="5">
        <f t="shared" si="15"/>
        <v>0.10466929639482617</v>
      </c>
      <c r="P1004" s="2" t="s">
        <v>22</v>
      </c>
    </row>
    <row r="1005" spans="1:16" x14ac:dyDescent="0.25">
      <c r="A1005" s="6" t="s">
        <v>2079</v>
      </c>
      <c r="B1005" s="6" t="s">
        <v>2080</v>
      </c>
      <c r="C1005" s="6" t="s">
        <v>32</v>
      </c>
      <c r="D1005" s="7" t="s">
        <v>33</v>
      </c>
      <c r="E1005" s="7" t="s">
        <v>45</v>
      </c>
      <c r="F1005" s="6" t="s">
        <v>51</v>
      </c>
      <c r="G1005" s="8">
        <v>717623</v>
      </c>
      <c r="H1005" s="8">
        <v>181457</v>
      </c>
      <c r="I1005" s="8">
        <v>147969</v>
      </c>
      <c r="J1005" s="8">
        <v>7799</v>
      </c>
      <c r="K1005" s="8">
        <v>920</v>
      </c>
      <c r="L1005" s="8">
        <v>1164</v>
      </c>
      <c r="M1005" s="8">
        <v>31</v>
      </c>
      <c r="N1005" s="8">
        <v>1691</v>
      </c>
      <c r="O1005" s="9">
        <f t="shared" si="15"/>
        <v>6.7000520379268624E-2</v>
      </c>
      <c r="P1005" s="6" t="s">
        <v>66</v>
      </c>
    </row>
    <row r="1006" spans="1:16" x14ac:dyDescent="0.25">
      <c r="A1006" s="2" t="s">
        <v>2081</v>
      </c>
      <c r="B1006" s="2" t="s">
        <v>2082</v>
      </c>
      <c r="C1006" s="2" t="s">
        <v>32</v>
      </c>
      <c r="D1006" s="3" t="s">
        <v>38</v>
      </c>
      <c r="E1006" s="3" t="s">
        <v>45</v>
      </c>
      <c r="F1006" s="2" t="s">
        <v>35</v>
      </c>
      <c r="G1006" s="4">
        <v>159476</v>
      </c>
      <c r="H1006" s="4">
        <v>24551</v>
      </c>
      <c r="I1006" s="4">
        <v>22504</v>
      </c>
      <c r="J1006" s="4">
        <v>1527</v>
      </c>
      <c r="K1006" s="4">
        <v>256</v>
      </c>
      <c r="L1006" s="4">
        <v>87</v>
      </c>
      <c r="M1006" s="4">
        <v>4</v>
      </c>
      <c r="N1006" s="4">
        <v>510</v>
      </c>
      <c r="O1006" s="5">
        <f t="shared" si="15"/>
        <v>8.3274084607180943E-2</v>
      </c>
      <c r="P1006" s="2" t="s">
        <v>29</v>
      </c>
    </row>
    <row r="1007" spans="1:16" x14ac:dyDescent="0.25">
      <c r="A1007" s="6" t="s">
        <v>2083</v>
      </c>
      <c r="B1007" s="6" t="s">
        <v>2084</v>
      </c>
      <c r="C1007" s="6" t="s">
        <v>76</v>
      </c>
      <c r="D1007" s="7" t="s">
        <v>86</v>
      </c>
      <c r="E1007" s="7" t="s">
        <v>20</v>
      </c>
      <c r="F1007" s="6" t="s">
        <v>87</v>
      </c>
      <c r="G1007" s="8">
        <v>134930</v>
      </c>
      <c r="H1007" s="8">
        <v>21808</v>
      </c>
      <c r="I1007" s="8">
        <v>15299</v>
      </c>
      <c r="J1007" s="8">
        <v>835</v>
      </c>
      <c r="K1007" s="8">
        <v>36</v>
      </c>
      <c r="L1007" s="8">
        <v>57</v>
      </c>
      <c r="M1007" s="8">
        <v>43</v>
      </c>
      <c r="N1007" s="8">
        <v>167</v>
      </c>
      <c r="O1007" s="9">
        <f t="shared" si="15"/>
        <v>6.3468200535982747E-2</v>
      </c>
      <c r="P1007" s="6" t="s">
        <v>22</v>
      </c>
    </row>
    <row r="1008" spans="1:16" x14ac:dyDescent="0.25">
      <c r="A1008" s="2" t="s">
        <v>2085</v>
      </c>
      <c r="B1008" s="2" t="s">
        <v>2086</v>
      </c>
      <c r="C1008" s="2" t="s">
        <v>43</v>
      </c>
      <c r="D1008" s="3" t="s">
        <v>69</v>
      </c>
      <c r="E1008" s="3" t="s">
        <v>50</v>
      </c>
      <c r="F1008" s="2" t="s">
        <v>70</v>
      </c>
      <c r="G1008" s="4">
        <v>560880</v>
      </c>
      <c r="H1008" s="4">
        <v>195661</v>
      </c>
      <c r="I1008" s="4">
        <v>167359</v>
      </c>
      <c r="J1008" s="4">
        <v>11721</v>
      </c>
      <c r="K1008" s="4">
        <v>662</v>
      </c>
      <c r="L1008" s="4">
        <v>509</v>
      </c>
      <c r="M1008" s="4">
        <v>22</v>
      </c>
      <c r="N1008" s="4">
        <v>3796</v>
      </c>
      <c r="O1008" s="5">
        <f t="shared" si="15"/>
        <v>7.7163462974802671E-2</v>
      </c>
      <c r="P1008" s="2" t="s">
        <v>22</v>
      </c>
    </row>
    <row r="1009" spans="1:16" x14ac:dyDescent="0.25">
      <c r="A1009" s="6" t="s">
        <v>2087</v>
      </c>
      <c r="B1009" s="6" t="s">
        <v>2088</v>
      </c>
      <c r="C1009" s="6" t="s">
        <v>18</v>
      </c>
      <c r="D1009" s="7" t="s">
        <v>57</v>
      </c>
      <c r="E1009" s="7" t="s">
        <v>20</v>
      </c>
      <c r="F1009" s="6" t="s">
        <v>58</v>
      </c>
      <c r="G1009" s="8">
        <v>164772</v>
      </c>
      <c r="H1009" s="8">
        <v>101667</v>
      </c>
      <c r="I1009" s="8">
        <v>74352</v>
      </c>
      <c r="J1009" s="8">
        <v>2583</v>
      </c>
      <c r="K1009" s="8">
        <v>393</v>
      </c>
      <c r="L1009" s="8">
        <v>338</v>
      </c>
      <c r="M1009" s="8">
        <v>512</v>
      </c>
      <c r="N1009" s="8">
        <v>1674</v>
      </c>
      <c r="O1009" s="9">
        <f t="shared" si="15"/>
        <v>5.1457929847213257E-2</v>
      </c>
      <c r="P1009" s="6" t="s">
        <v>29</v>
      </c>
    </row>
    <row r="1010" spans="1:16" x14ac:dyDescent="0.25">
      <c r="A1010" s="2" t="s">
        <v>2089</v>
      </c>
      <c r="B1010" s="2" t="s">
        <v>2090</v>
      </c>
      <c r="C1010" s="2" t="s">
        <v>76</v>
      </c>
      <c r="D1010" s="3" t="s">
        <v>189</v>
      </c>
      <c r="E1010" s="3" t="s">
        <v>20</v>
      </c>
      <c r="F1010" s="2" t="s">
        <v>104</v>
      </c>
      <c r="G1010" s="4">
        <v>129304</v>
      </c>
      <c r="H1010" s="4">
        <v>23282</v>
      </c>
      <c r="I1010" s="4">
        <v>19818</v>
      </c>
      <c r="J1010" s="4">
        <v>742</v>
      </c>
      <c r="K1010" s="4">
        <v>109</v>
      </c>
      <c r="L1010" s="4">
        <v>85</v>
      </c>
      <c r="M1010" s="4">
        <v>174</v>
      </c>
      <c r="N1010" s="4">
        <v>574</v>
      </c>
      <c r="O1010" s="5">
        <f t="shared" si="15"/>
        <v>5.6009688162276715E-2</v>
      </c>
      <c r="P1010" s="2" t="s">
        <v>66</v>
      </c>
    </row>
    <row r="1011" spans="1:16" x14ac:dyDescent="0.25">
      <c r="A1011" s="6" t="s">
        <v>2091</v>
      </c>
      <c r="B1011" s="6" t="s">
        <v>2092</v>
      </c>
      <c r="C1011" s="6" t="s">
        <v>25</v>
      </c>
      <c r="D1011" s="7" t="s">
        <v>64</v>
      </c>
      <c r="E1011" s="7" t="s">
        <v>27</v>
      </c>
      <c r="F1011" s="6" t="s">
        <v>146</v>
      </c>
      <c r="G1011" s="8">
        <v>779489</v>
      </c>
      <c r="H1011" s="8">
        <v>138421</v>
      </c>
      <c r="I1011" s="8">
        <v>119210</v>
      </c>
      <c r="J1011" s="8">
        <v>9407</v>
      </c>
      <c r="K1011" s="8">
        <v>1209</v>
      </c>
      <c r="L1011" s="8">
        <v>903</v>
      </c>
      <c r="M1011" s="8">
        <v>1675</v>
      </c>
      <c r="N1011" s="8">
        <v>1673</v>
      </c>
      <c r="O1011" s="9">
        <f t="shared" si="15"/>
        <v>0.11067863434275647</v>
      </c>
      <c r="P1011" s="6" t="s">
        <v>22</v>
      </c>
    </row>
    <row r="1012" spans="1:16" x14ac:dyDescent="0.25">
      <c r="A1012" s="2" t="s">
        <v>2093</v>
      </c>
      <c r="B1012" s="2" t="s">
        <v>2094</v>
      </c>
      <c r="C1012" s="2" t="s">
        <v>18</v>
      </c>
      <c r="D1012" s="3" t="s">
        <v>19</v>
      </c>
      <c r="E1012" s="3" t="s">
        <v>27</v>
      </c>
      <c r="F1012" s="2" t="s">
        <v>73</v>
      </c>
      <c r="G1012" s="4">
        <v>215556</v>
      </c>
      <c r="H1012" s="4">
        <v>132702</v>
      </c>
      <c r="I1012" s="4">
        <v>105091</v>
      </c>
      <c r="J1012" s="4">
        <v>6548</v>
      </c>
      <c r="K1012" s="4">
        <v>829</v>
      </c>
      <c r="L1012" s="4">
        <v>758</v>
      </c>
      <c r="M1012" s="4">
        <v>1483</v>
      </c>
      <c r="N1012" s="4">
        <v>1534</v>
      </c>
      <c r="O1012" s="5">
        <f t="shared" si="15"/>
        <v>9.1520682075534543E-2</v>
      </c>
      <c r="P1012" s="2" t="s">
        <v>29</v>
      </c>
    </row>
    <row r="1013" spans="1:16" x14ac:dyDescent="0.25">
      <c r="A1013" s="6" t="s">
        <v>2095</v>
      </c>
      <c r="B1013" s="6" t="s">
        <v>2096</v>
      </c>
      <c r="C1013" s="6" t="s">
        <v>18</v>
      </c>
      <c r="D1013" s="7" t="s">
        <v>231</v>
      </c>
      <c r="E1013" s="7" t="s">
        <v>50</v>
      </c>
      <c r="F1013" s="6" t="s">
        <v>73</v>
      </c>
      <c r="G1013" s="8">
        <v>815074</v>
      </c>
      <c r="H1013" s="8">
        <v>397617</v>
      </c>
      <c r="I1013" s="8">
        <v>294117</v>
      </c>
      <c r="J1013" s="8">
        <v>18612</v>
      </c>
      <c r="K1013" s="8">
        <v>2861</v>
      </c>
      <c r="L1013" s="8">
        <v>2454</v>
      </c>
      <c r="M1013" s="8">
        <v>2563</v>
      </c>
      <c r="N1013" s="8">
        <v>4216</v>
      </c>
      <c r="O1013" s="9">
        <f t="shared" si="15"/>
        <v>9.006619814563592E-2</v>
      </c>
      <c r="P1013" s="6" t="s">
        <v>22</v>
      </c>
    </row>
    <row r="1014" spans="1:16" x14ac:dyDescent="0.25">
      <c r="A1014" s="2" t="s">
        <v>2097</v>
      </c>
      <c r="B1014" s="2" t="s">
        <v>2098</v>
      </c>
      <c r="C1014" s="2" t="s">
        <v>25</v>
      </c>
      <c r="D1014" s="3" t="s">
        <v>61</v>
      </c>
      <c r="E1014" s="3" t="s">
        <v>39</v>
      </c>
      <c r="F1014" s="2" t="s">
        <v>65</v>
      </c>
      <c r="G1014" s="4">
        <v>756179</v>
      </c>
      <c r="H1014" s="4">
        <v>271836</v>
      </c>
      <c r="I1014" s="4">
        <v>209833</v>
      </c>
      <c r="J1014" s="4">
        <v>14889</v>
      </c>
      <c r="K1014" s="4">
        <v>1693</v>
      </c>
      <c r="L1014" s="4">
        <v>2068</v>
      </c>
      <c r="M1014" s="4">
        <v>1468</v>
      </c>
      <c r="N1014" s="4">
        <v>2576</v>
      </c>
      <c r="O1014" s="5">
        <f t="shared" si="15"/>
        <v>9.5876244442008651E-2</v>
      </c>
      <c r="P1014" s="2" t="s">
        <v>29</v>
      </c>
    </row>
    <row r="1015" spans="1:16" x14ac:dyDescent="0.25">
      <c r="A1015" s="6" t="s">
        <v>2099</v>
      </c>
      <c r="B1015" s="6" t="s">
        <v>2100</v>
      </c>
      <c r="C1015" s="6" t="s">
        <v>18</v>
      </c>
      <c r="D1015" s="7" t="s">
        <v>57</v>
      </c>
      <c r="E1015" s="7" t="s">
        <v>45</v>
      </c>
      <c r="F1015" s="6" t="s">
        <v>73</v>
      </c>
      <c r="G1015" s="8">
        <v>59427</v>
      </c>
      <c r="H1015" s="8">
        <v>10623</v>
      </c>
      <c r="I1015" s="8">
        <v>8056</v>
      </c>
      <c r="J1015" s="8">
        <v>565</v>
      </c>
      <c r="K1015" s="8">
        <v>68</v>
      </c>
      <c r="L1015" s="8">
        <v>80</v>
      </c>
      <c r="M1015" s="8">
        <v>128</v>
      </c>
      <c r="N1015" s="8">
        <v>218</v>
      </c>
      <c r="O1015" s="9">
        <f t="shared" si="15"/>
        <v>0.10439424031777557</v>
      </c>
      <c r="P1015" s="6" t="s">
        <v>22</v>
      </c>
    </row>
    <row r="1016" spans="1:16" x14ac:dyDescent="0.25">
      <c r="A1016" s="2" t="s">
        <v>2101</v>
      </c>
      <c r="B1016" s="2" t="s">
        <v>2102</v>
      </c>
      <c r="C1016" s="2" t="s">
        <v>25</v>
      </c>
      <c r="D1016" s="3" t="s">
        <v>244</v>
      </c>
      <c r="E1016" s="3" t="s">
        <v>45</v>
      </c>
      <c r="F1016" s="2" t="s">
        <v>28</v>
      </c>
      <c r="G1016" s="4">
        <v>196126</v>
      </c>
      <c r="H1016" s="4">
        <v>75497</v>
      </c>
      <c r="I1016" s="4">
        <v>66113</v>
      </c>
      <c r="J1016" s="4">
        <v>5688</v>
      </c>
      <c r="K1016" s="4">
        <v>844</v>
      </c>
      <c r="L1016" s="4">
        <v>715</v>
      </c>
      <c r="M1016" s="4">
        <v>330</v>
      </c>
      <c r="N1016" s="4">
        <v>416</v>
      </c>
      <c r="O1016" s="5">
        <f t="shared" si="15"/>
        <v>0.11460680955334049</v>
      </c>
      <c r="P1016" s="2" t="s">
        <v>66</v>
      </c>
    </row>
    <row r="1017" spans="1:16" x14ac:dyDescent="0.25">
      <c r="A1017" s="6" t="s">
        <v>2103</v>
      </c>
      <c r="B1017" s="6" t="s">
        <v>2104</v>
      </c>
      <c r="C1017" s="6" t="s">
        <v>43</v>
      </c>
      <c r="D1017" s="7" t="s">
        <v>172</v>
      </c>
      <c r="E1017" s="7" t="s">
        <v>50</v>
      </c>
      <c r="F1017" s="6" t="s">
        <v>70</v>
      </c>
      <c r="G1017" s="8">
        <v>485070</v>
      </c>
      <c r="H1017" s="8">
        <v>269725</v>
      </c>
      <c r="I1017" s="8">
        <v>245422</v>
      </c>
      <c r="J1017" s="8">
        <v>19506</v>
      </c>
      <c r="K1017" s="8">
        <v>2254</v>
      </c>
      <c r="L1017" s="8">
        <v>2744</v>
      </c>
      <c r="M1017" s="8">
        <v>5</v>
      </c>
      <c r="N1017" s="8">
        <v>1533</v>
      </c>
      <c r="O1017" s="9">
        <f t="shared" si="15"/>
        <v>9.9864722803986603E-2</v>
      </c>
      <c r="P1017" s="6" t="s">
        <v>22</v>
      </c>
    </row>
    <row r="1018" spans="1:16" x14ac:dyDescent="0.25">
      <c r="A1018" s="2" t="s">
        <v>2105</v>
      </c>
      <c r="B1018" s="2" t="s">
        <v>2106</v>
      </c>
      <c r="C1018" s="2" t="s">
        <v>43</v>
      </c>
      <c r="D1018" s="3" t="s">
        <v>110</v>
      </c>
      <c r="E1018" s="3" t="s">
        <v>45</v>
      </c>
      <c r="F1018" s="2" t="s">
        <v>70</v>
      </c>
      <c r="G1018" s="4">
        <v>99467</v>
      </c>
      <c r="H1018" s="4">
        <v>35056</v>
      </c>
      <c r="I1018" s="4">
        <v>31232</v>
      </c>
      <c r="J1018" s="4">
        <v>1776</v>
      </c>
      <c r="K1018" s="4">
        <v>68</v>
      </c>
      <c r="L1018" s="4">
        <v>225</v>
      </c>
      <c r="M1018" s="4">
        <v>0</v>
      </c>
      <c r="N1018" s="4">
        <v>781</v>
      </c>
      <c r="O1018" s="5">
        <f t="shared" si="15"/>
        <v>6.6246157786885251E-2</v>
      </c>
      <c r="P1018" s="2" t="s">
        <v>66</v>
      </c>
    </row>
    <row r="1019" spans="1:16" x14ac:dyDescent="0.25">
      <c r="A1019" s="6" t="s">
        <v>2107</v>
      </c>
      <c r="B1019" s="6" t="s">
        <v>2108</v>
      </c>
      <c r="C1019" s="6" t="s">
        <v>32</v>
      </c>
      <c r="D1019" s="7" t="s">
        <v>175</v>
      </c>
      <c r="E1019" s="7" t="s">
        <v>27</v>
      </c>
      <c r="F1019" s="6" t="s">
        <v>128</v>
      </c>
      <c r="G1019" s="8">
        <v>154736</v>
      </c>
      <c r="H1019" s="8">
        <v>68234</v>
      </c>
      <c r="I1019" s="8">
        <v>50042</v>
      </c>
      <c r="J1019" s="8">
        <v>2213</v>
      </c>
      <c r="K1019" s="8">
        <v>105</v>
      </c>
      <c r="L1019" s="8">
        <v>241</v>
      </c>
      <c r="M1019" s="8">
        <v>44</v>
      </c>
      <c r="N1019" s="8">
        <v>2306</v>
      </c>
      <c r="O1019" s="9">
        <f t="shared" si="15"/>
        <v>5.2016306302705727E-2</v>
      </c>
      <c r="P1019" s="6" t="s">
        <v>22</v>
      </c>
    </row>
    <row r="1020" spans="1:16" x14ac:dyDescent="0.25">
      <c r="A1020" s="2" t="s">
        <v>2109</v>
      </c>
      <c r="B1020" s="2" t="s">
        <v>2110</v>
      </c>
      <c r="C1020" s="2" t="s">
        <v>76</v>
      </c>
      <c r="D1020" s="3" t="s">
        <v>189</v>
      </c>
      <c r="E1020" s="3" t="s">
        <v>45</v>
      </c>
      <c r="F1020" s="2" t="s">
        <v>87</v>
      </c>
      <c r="G1020" s="4">
        <v>124065</v>
      </c>
      <c r="H1020" s="4">
        <v>38402</v>
      </c>
      <c r="I1020" s="4">
        <v>34597</v>
      </c>
      <c r="J1020" s="4">
        <v>864</v>
      </c>
      <c r="K1020" s="4">
        <v>105</v>
      </c>
      <c r="L1020" s="4">
        <v>20</v>
      </c>
      <c r="M1020" s="4">
        <v>66</v>
      </c>
      <c r="N1020" s="4">
        <v>587</v>
      </c>
      <c r="O1020" s="5">
        <f t="shared" si="15"/>
        <v>3.0493973465907449E-2</v>
      </c>
      <c r="P1020" s="2" t="s">
        <v>29</v>
      </c>
    </row>
    <row r="1021" spans="1:16" x14ac:dyDescent="0.25">
      <c r="A1021" s="6" t="s">
        <v>2111</v>
      </c>
      <c r="B1021" s="6" t="s">
        <v>2112</v>
      </c>
      <c r="C1021" s="6" t="s">
        <v>25</v>
      </c>
      <c r="D1021" s="7" t="s">
        <v>61</v>
      </c>
      <c r="E1021" s="7" t="s">
        <v>45</v>
      </c>
      <c r="F1021" s="6" t="s">
        <v>146</v>
      </c>
      <c r="G1021" s="8">
        <v>41321</v>
      </c>
      <c r="H1021" s="8">
        <v>7838</v>
      </c>
      <c r="I1021" s="8">
        <v>6068</v>
      </c>
      <c r="J1021" s="8">
        <v>408</v>
      </c>
      <c r="K1021" s="8">
        <v>52</v>
      </c>
      <c r="L1021" s="8">
        <v>32</v>
      </c>
      <c r="M1021" s="8">
        <v>91</v>
      </c>
      <c r="N1021" s="8">
        <v>229</v>
      </c>
      <c r="O1021" s="9">
        <f t="shared" si="15"/>
        <v>9.607778510217535E-2</v>
      </c>
      <c r="P1021" s="6" t="s">
        <v>29</v>
      </c>
    </row>
    <row r="1022" spans="1:16" x14ac:dyDescent="0.25">
      <c r="A1022" s="2" t="s">
        <v>2113</v>
      </c>
      <c r="B1022" s="2" t="s">
        <v>2114</v>
      </c>
      <c r="C1022" s="2" t="s">
        <v>18</v>
      </c>
      <c r="D1022" s="3" t="s">
        <v>19</v>
      </c>
      <c r="E1022" s="3" t="s">
        <v>34</v>
      </c>
      <c r="F1022" s="2" t="s">
        <v>21</v>
      </c>
      <c r="G1022" s="4">
        <v>300767</v>
      </c>
      <c r="H1022" s="4">
        <v>1206899</v>
      </c>
      <c r="I1022" s="4">
        <v>1010870</v>
      </c>
      <c r="J1022" s="4">
        <v>34320</v>
      </c>
      <c r="K1022" s="4">
        <v>2765</v>
      </c>
      <c r="L1022" s="4">
        <v>725</v>
      </c>
      <c r="M1022" s="4">
        <v>6280</v>
      </c>
      <c r="N1022" s="4">
        <v>41589</v>
      </c>
      <c r="O1022" s="5">
        <f t="shared" si="15"/>
        <v>4.3615895218969795E-2</v>
      </c>
      <c r="P1022" s="2" t="s">
        <v>22</v>
      </c>
    </row>
    <row r="1023" spans="1:16" x14ac:dyDescent="0.25">
      <c r="A1023" s="6" t="s">
        <v>2115</v>
      </c>
      <c r="B1023" s="6" t="s">
        <v>2116</v>
      </c>
      <c r="C1023" s="6" t="s">
        <v>43</v>
      </c>
      <c r="D1023" s="7" t="s">
        <v>44</v>
      </c>
      <c r="E1023" s="7" t="s">
        <v>45</v>
      </c>
      <c r="F1023" s="6" t="s">
        <v>46</v>
      </c>
      <c r="G1023" s="8">
        <v>369475</v>
      </c>
      <c r="H1023" s="8">
        <v>206388</v>
      </c>
      <c r="I1023" s="8">
        <v>181271</v>
      </c>
      <c r="J1023" s="8">
        <v>13241</v>
      </c>
      <c r="K1023" s="8">
        <v>399</v>
      </c>
      <c r="L1023" s="8">
        <v>1866</v>
      </c>
      <c r="M1023" s="8">
        <v>45</v>
      </c>
      <c r="N1023" s="8">
        <v>5161</v>
      </c>
      <c r="O1023" s="9">
        <f t="shared" si="15"/>
        <v>8.5788681035576561E-2</v>
      </c>
      <c r="P1023" s="6" t="s">
        <v>22</v>
      </c>
    </row>
    <row r="1024" spans="1:16" x14ac:dyDescent="0.25">
      <c r="A1024" s="2" t="s">
        <v>2117</v>
      </c>
      <c r="B1024" s="2" t="s">
        <v>2118</v>
      </c>
      <c r="C1024" s="2" t="s">
        <v>76</v>
      </c>
      <c r="D1024" s="3" t="s">
        <v>77</v>
      </c>
      <c r="E1024" s="3" t="s">
        <v>20</v>
      </c>
      <c r="F1024" s="2" t="s">
        <v>104</v>
      </c>
      <c r="G1024" s="4">
        <v>126913</v>
      </c>
      <c r="H1024" s="4">
        <v>23952</v>
      </c>
      <c r="I1024" s="4">
        <v>19662</v>
      </c>
      <c r="J1024" s="4">
        <v>1254</v>
      </c>
      <c r="K1024" s="4">
        <v>110</v>
      </c>
      <c r="L1024" s="4">
        <v>149</v>
      </c>
      <c r="M1024" s="4">
        <v>95</v>
      </c>
      <c r="N1024" s="4">
        <v>727</v>
      </c>
      <c r="O1024" s="5">
        <f t="shared" si="15"/>
        <v>8.178211779066219E-2</v>
      </c>
      <c r="P1024" s="2" t="s">
        <v>22</v>
      </c>
    </row>
    <row r="1025" spans="1:16" x14ac:dyDescent="0.25">
      <c r="A1025" s="6" t="s">
        <v>2119</v>
      </c>
      <c r="B1025" s="6" t="s">
        <v>2120</v>
      </c>
      <c r="C1025" s="6" t="s">
        <v>76</v>
      </c>
      <c r="D1025" s="7" t="s">
        <v>86</v>
      </c>
      <c r="E1025" s="7" t="s">
        <v>39</v>
      </c>
      <c r="F1025" s="6" t="s">
        <v>87</v>
      </c>
      <c r="G1025" s="8">
        <v>445481</v>
      </c>
      <c r="H1025" s="8">
        <v>191611</v>
      </c>
      <c r="I1025" s="8">
        <v>143857</v>
      </c>
      <c r="J1025" s="8">
        <v>9521</v>
      </c>
      <c r="K1025" s="8">
        <v>371</v>
      </c>
      <c r="L1025" s="8">
        <v>931</v>
      </c>
      <c r="M1025" s="8">
        <v>593</v>
      </c>
      <c r="N1025" s="8">
        <v>5090</v>
      </c>
      <c r="O1025" s="9">
        <f t="shared" si="15"/>
        <v>7.9356583273667597E-2</v>
      </c>
      <c r="P1025" s="6" t="s">
        <v>66</v>
      </c>
    </row>
    <row r="1026" spans="1:16" x14ac:dyDescent="0.25">
      <c r="A1026" s="2" t="s">
        <v>2121</v>
      </c>
      <c r="B1026" s="2" t="s">
        <v>2122</v>
      </c>
      <c r="C1026" s="2" t="s">
        <v>76</v>
      </c>
      <c r="D1026" s="3" t="s">
        <v>182</v>
      </c>
      <c r="E1026" s="3" t="s">
        <v>20</v>
      </c>
      <c r="F1026" s="2" t="s">
        <v>155</v>
      </c>
      <c r="G1026" s="4">
        <v>135126</v>
      </c>
      <c r="H1026" s="4">
        <v>51712</v>
      </c>
      <c r="I1026" s="4">
        <v>40093</v>
      </c>
      <c r="J1026" s="4">
        <v>1844</v>
      </c>
      <c r="K1026" s="4">
        <v>294</v>
      </c>
      <c r="L1026" s="4">
        <v>235</v>
      </c>
      <c r="M1026" s="4">
        <v>344</v>
      </c>
      <c r="N1026" s="4">
        <v>1254</v>
      </c>
      <c r="O1026" s="5">
        <f t="shared" ref="O1026:O1089" si="16">IF(I1026&gt;0, (J1026+K1026+L1026+M1026)/I1026, 0)</f>
        <v>6.7767440700371634E-2</v>
      </c>
      <c r="P1026" s="2" t="s">
        <v>22</v>
      </c>
    </row>
    <row r="1027" spans="1:16" x14ac:dyDescent="0.25">
      <c r="A1027" s="6" t="s">
        <v>2123</v>
      </c>
      <c r="B1027" s="6" t="s">
        <v>2124</v>
      </c>
      <c r="C1027" s="6" t="s">
        <v>76</v>
      </c>
      <c r="D1027" s="7" t="s">
        <v>77</v>
      </c>
      <c r="E1027" s="7" t="s">
        <v>34</v>
      </c>
      <c r="F1027" s="6" t="s">
        <v>78</v>
      </c>
      <c r="G1027" s="8">
        <v>427739</v>
      </c>
      <c r="H1027" s="8">
        <v>171833</v>
      </c>
      <c r="I1027" s="8">
        <v>144471</v>
      </c>
      <c r="J1027" s="8">
        <v>7236</v>
      </c>
      <c r="K1027" s="8">
        <v>1186</v>
      </c>
      <c r="L1027" s="8">
        <v>434</v>
      </c>
      <c r="M1027" s="8">
        <v>455</v>
      </c>
      <c r="N1027" s="8">
        <v>3141</v>
      </c>
      <c r="O1027" s="9">
        <f t="shared" si="16"/>
        <v>6.4448920544607574E-2</v>
      </c>
      <c r="P1027" s="6" t="s">
        <v>29</v>
      </c>
    </row>
    <row r="1028" spans="1:16" x14ac:dyDescent="0.25">
      <c r="A1028" s="2" t="s">
        <v>2125</v>
      </c>
      <c r="B1028" s="2" t="s">
        <v>2126</v>
      </c>
      <c r="C1028" s="2" t="s">
        <v>25</v>
      </c>
      <c r="D1028" s="3" t="s">
        <v>64</v>
      </c>
      <c r="E1028" s="3" t="s">
        <v>50</v>
      </c>
      <c r="F1028" s="2" t="s">
        <v>65</v>
      </c>
      <c r="G1028" s="4">
        <v>114094</v>
      </c>
      <c r="H1028" s="4">
        <v>61810</v>
      </c>
      <c r="I1028" s="4">
        <v>49171</v>
      </c>
      <c r="J1028" s="4">
        <v>1646</v>
      </c>
      <c r="K1028" s="4">
        <v>186</v>
      </c>
      <c r="L1028" s="4">
        <v>197</v>
      </c>
      <c r="M1028" s="4">
        <v>344</v>
      </c>
      <c r="N1028" s="4">
        <v>1262</v>
      </c>
      <c r="O1028" s="5">
        <f t="shared" si="16"/>
        <v>4.8260153342417275E-2</v>
      </c>
      <c r="P1028" s="2" t="s">
        <v>22</v>
      </c>
    </row>
    <row r="1029" spans="1:16" x14ac:dyDescent="0.25">
      <c r="A1029" s="6" t="s">
        <v>2127</v>
      </c>
      <c r="B1029" s="6" t="s">
        <v>2128</v>
      </c>
      <c r="C1029" s="6" t="s">
        <v>43</v>
      </c>
      <c r="D1029" s="7" t="s">
        <v>44</v>
      </c>
      <c r="E1029" s="7" t="s">
        <v>34</v>
      </c>
      <c r="F1029" s="6" t="s">
        <v>46</v>
      </c>
      <c r="G1029" s="8">
        <v>420502</v>
      </c>
      <c r="H1029" s="8">
        <v>259714</v>
      </c>
      <c r="I1029" s="8">
        <v>191048</v>
      </c>
      <c r="J1029" s="8">
        <v>13239</v>
      </c>
      <c r="K1029" s="8">
        <v>1478</v>
      </c>
      <c r="L1029" s="8">
        <v>1154</v>
      </c>
      <c r="M1029" s="8">
        <v>46</v>
      </c>
      <c r="N1029" s="8">
        <v>6520</v>
      </c>
      <c r="O1029" s="9">
        <f t="shared" si="16"/>
        <v>8.331414094887149E-2</v>
      </c>
      <c r="P1029" s="6" t="s">
        <v>22</v>
      </c>
    </row>
    <row r="1030" spans="1:16" x14ac:dyDescent="0.25">
      <c r="A1030" s="2" t="s">
        <v>2129</v>
      </c>
      <c r="B1030" s="2" t="s">
        <v>2130</v>
      </c>
      <c r="C1030" s="2" t="s">
        <v>76</v>
      </c>
      <c r="D1030" s="3" t="s">
        <v>103</v>
      </c>
      <c r="E1030" s="3" t="s">
        <v>45</v>
      </c>
      <c r="F1030" s="2" t="s">
        <v>87</v>
      </c>
      <c r="G1030" s="4">
        <v>488468</v>
      </c>
      <c r="H1030" s="4">
        <v>180619</v>
      </c>
      <c r="I1030" s="4">
        <v>144432</v>
      </c>
      <c r="J1030" s="4">
        <v>6283</v>
      </c>
      <c r="K1030" s="4">
        <v>623</v>
      </c>
      <c r="L1030" s="4">
        <v>312</v>
      </c>
      <c r="M1030" s="4">
        <v>414</v>
      </c>
      <c r="N1030" s="4">
        <v>1162</v>
      </c>
      <c r="O1030" s="5">
        <f t="shared" si="16"/>
        <v>5.2841475573280158E-2</v>
      </c>
      <c r="P1030" s="2" t="s">
        <v>29</v>
      </c>
    </row>
    <row r="1031" spans="1:16" x14ac:dyDescent="0.25">
      <c r="A1031" s="6" t="s">
        <v>2131</v>
      </c>
      <c r="B1031" s="6" t="s">
        <v>2132</v>
      </c>
      <c r="C1031" s="6" t="s">
        <v>18</v>
      </c>
      <c r="D1031" s="7" t="s">
        <v>19</v>
      </c>
      <c r="E1031" s="7" t="s">
        <v>39</v>
      </c>
      <c r="F1031" s="6" t="s">
        <v>21</v>
      </c>
      <c r="G1031" s="8">
        <v>122253</v>
      </c>
      <c r="H1031" s="8">
        <v>11507</v>
      </c>
      <c r="I1031" s="8">
        <v>9156</v>
      </c>
      <c r="J1031" s="8">
        <v>471</v>
      </c>
      <c r="K1031" s="8">
        <v>74</v>
      </c>
      <c r="L1031" s="8">
        <v>50</v>
      </c>
      <c r="M1031" s="8">
        <v>65</v>
      </c>
      <c r="N1031" s="8">
        <v>300</v>
      </c>
      <c r="O1031" s="9">
        <f t="shared" si="16"/>
        <v>7.2083879423328959E-2</v>
      </c>
      <c r="P1031" s="6" t="s">
        <v>22</v>
      </c>
    </row>
    <row r="1032" spans="1:16" x14ac:dyDescent="0.25">
      <c r="A1032" s="2" t="s">
        <v>2133</v>
      </c>
      <c r="B1032" s="2" t="s">
        <v>2134</v>
      </c>
      <c r="C1032" s="2" t="s">
        <v>43</v>
      </c>
      <c r="D1032" s="3" t="s">
        <v>81</v>
      </c>
      <c r="E1032" s="3" t="s">
        <v>50</v>
      </c>
      <c r="F1032" s="2" t="s">
        <v>70</v>
      </c>
      <c r="G1032" s="4">
        <v>706147</v>
      </c>
      <c r="H1032" s="4">
        <v>369239</v>
      </c>
      <c r="I1032" s="4">
        <v>291169</v>
      </c>
      <c r="J1032" s="4">
        <v>25608</v>
      </c>
      <c r="K1032" s="4">
        <v>4300</v>
      </c>
      <c r="L1032" s="4">
        <v>1975</v>
      </c>
      <c r="M1032" s="4">
        <v>16</v>
      </c>
      <c r="N1032" s="4">
        <v>11132</v>
      </c>
      <c r="O1032" s="5">
        <f t="shared" si="16"/>
        <v>0.10955493201542747</v>
      </c>
      <c r="P1032" s="2" t="s">
        <v>66</v>
      </c>
    </row>
    <row r="1033" spans="1:16" x14ac:dyDescent="0.25">
      <c r="A1033" s="6" t="s">
        <v>2135</v>
      </c>
      <c r="B1033" s="6" t="s">
        <v>2136</v>
      </c>
      <c r="C1033" s="6" t="s">
        <v>43</v>
      </c>
      <c r="D1033" s="7" t="s">
        <v>81</v>
      </c>
      <c r="E1033" s="7" t="s">
        <v>27</v>
      </c>
      <c r="F1033" s="6" t="s">
        <v>70</v>
      </c>
      <c r="G1033" s="8">
        <v>147436</v>
      </c>
      <c r="H1033" s="8">
        <v>51713</v>
      </c>
      <c r="I1033" s="8">
        <v>36854</v>
      </c>
      <c r="J1033" s="8">
        <v>1859</v>
      </c>
      <c r="K1033" s="8">
        <v>171</v>
      </c>
      <c r="L1033" s="8">
        <v>61</v>
      </c>
      <c r="M1033" s="8">
        <v>21</v>
      </c>
      <c r="N1033" s="8">
        <v>1231</v>
      </c>
      <c r="O1033" s="9">
        <f t="shared" si="16"/>
        <v>5.7307212242904436E-2</v>
      </c>
      <c r="P1033" s="6" t="s">
        <v>22</v>
      </c>
    </row>
    <row r="1034" spans="1:16" x14ac:dyDescent="0.25">
      <c r="A1034" s="2" t="s">
        <v>2137</v>
      </c>
      <c r="B1034" s="2" t="s">
        <v>2138</v>
      </c>
      <c r="C1034" s="2" t="s">
        <v>43</v>
      </c>
      <c r="D1034" s="3" t="s">
        <v>69</v>
      </c>
      <c r="E1034" s="3" t="s">
        <v>45</v>
      </c>
      <c r="F1034" s="2" t="s">
        <v>46</v>
      </c>
      <c r="G1034" s="4">
        <v>132862</v>
      </c>
      <c r="H1034" s="4">
        <v>13457</v>
      </c>
      <c r="I1034" s="4">
        <v>11359</v>
      </c>
      <c r="J1034" s="4">
        <v>741</v>
      </c>
      <c r="K1034" s="4">
        <v>82</v>
      </c>
      <c r="L1034" s="4">
        <v>105</v>
      </c>
      <c r="M1034" s="4">
        <v>4</v>
      </c>
      <c r="N1034" s="4">
        <v>398</v>
      </c>
      <c r="O1034" s="5">
        <f t="shared" si="16"/>
        <v>8.2049476186283998E-2</v>
      </c>
      <c r="P1034" s="2" t="s">
        <v>22</v>
      </c>
    </row>
    <row r="1035" spans="1:16" x14ac:dyDescent="0.25">
      <c r="A1035" s="6" t="s">
        <v>2139</v>
      </c>
      <c r="B1035" s="6" t="s">
        <v>2140</v>
      </c>
      <c r="C1035" s="6" t="s">
        <v>18</v>
      </c>
      <c r="D1035" s="7" t="s">
        <v>92</v>
      </c>
      <c r="E1035" s="7" t="s">
        <v>34</v>
      </c>
      <c r="F1035" s="6" t="s">
        <v>58</v>
      </c>
      <c r="G1035" s="8">
        <v>263900</v>
      </c>
      <c r="H1035" s="8">
        <v>127570</v>
      </c>
      <c r="I1035" s="8">
        <v>111315</v>
      </c>
      <c r="J1035" s="8">
        <v>2875</v>
      </c>
      <c r="K1035" s="8">
        <v>349</v>
      </c>
      <c r="L1035" s="8">
        <v>245</v>
      </c>
      <c r="M1035" s="8">
        <v>608</v>
      </c>
      <c r="N1035" s="8">
        <v>1776</v>
      </c>
      <c r="O1035" s="9">
        <f t="shared" si="16"/>
        <v>3.662579167228136E-2</v>
      </c>
      <c r="P1035" s="6" t="s">
        <v>29</v>
      </c>
    </row>
    <row r="1036" spans="1:16" x14ac:dyDescent="0.25">
      <c r="A1036" s="2" t="s">
        <v>2141</v>
      </c>
      <c r="B1036" s="2" t="s">
        <v>2142</v>
      </c>
      <c r="C1036" s="2" t="s">
        <v>32</v>
      </c>
      <c r="D1036" s="3" t="s">
        <v>33</v>
      </c>
      <c r="E1036" s="3" t="s">
        <v>27</v>
      </c>
      <c r="F1036" s="2" t="s">
        <v>35</v>
      </c>
      <c r="G1036" s="4">
        <v>672415</v>
      </c>
      <c r="H1036" s="4">
        <v>78751</v>
      </c>
      <c r="I1036" s="4">
        <v>65353</v>
      </c>
      <c r="J1036" s="4">
        <v>4812</v>
      </c>
      <c r="K1036" s="4">
        <v>731</v>
      </c>
      <c r="L1036" s="4">
        <v>335</v>
      </c>
      <c r="M1036" s="4">
        <v>35</v>
      </c>
      <c r="N1036" s="4">
        <v>2165</v>
      </c>
      <c r="O1036" s="5">
        <f t="shared" si="16"/>
        <v>9.0477866356555942E-2</v>
      </c>
      <c r="P1036" s="2" t="s">
        <v>22</v>
      </c>
    </row>
    <row r="1037" spans="1:16" x14ac:dyDescent="0.25">
      <c r="A1037" s="6" t="s">
        <v>2143</v>
      </c>
      <c r="B1037" s="6" t="s">
        <v>2144</v>
      </c>
      <c r="C1037" s="6" t="s">
        <v>32</v>
      </c>
      <c r="D1037" s="7" t="s">
        <v>38</v>
      </c>
      <c r="E1037" s="7" t="s">
        <v>34</v>
      </c>
      <c r="F1037" s="6" t="s">
        <v>35</v>
      </c>
      <c r="G1037" s="8">
        <v>505703</v>
      </c>
      <c r="H1037" s="8">
        <v>112012</v>
      </c>
      <c r="I1037" s="8">
        <v>82701</v>
      </c>
      <c r="J1037" s="8">
        <v>4406</v>
      </c>
      <c r="K1037" s="8">
        <v>253</v>
      </c>
      <c r="L1037" s="8">
        <v>510</v>
      </c>
      <c r="M1037" s="8">
        <v>32</v>
      </c>
      <c r="N1037" s="8">
        <v>2810</v>
      </c>
      <c r="O1037" s="9">
        <f t="shared" si="16"/>
        <v>6.2889203274446498E-2</v>
      </c>
      <c r="P1037" s="6" t="s">
        <v>22</v>
      </c>
    </row>
    <row r="1038" spans="1:16" x14ac:dyDescent="0.25">
      <c r="A1038" s="2" t="s">
        <v>2145</v>
      </c>
      <c r="B1038" s="2" t="s">
        <v>2146</v>
      </c>
      <c r="C1038" s="2" t="s">
        <v>43</v>
      </c>
      <c r="D1038" s="3" t="s">
        <v>69</v>
      </c>
      <c r="E1038" s="3" t="s">
        <v>34</v>
      </c>
      <c r="F1038" s="2" t="s">
        <v>70</v>
      </c>
      <c r="G1038" s="4">
        <v>748548</v>
      </c>
      <c r="H1038" s="4">
        <v>172573</v>
      </c>
      <c r="I1038" s="4">
        <v>153000</v>
      </c>
      <c r="J1038" s="4">
        <v>13347</v>
      </c>
      <c r="K1038" s="4">
        <v>679</v>
      </c>
      <c r="L1038" s="4">
        <v>638</v>
      </c>
      <c r="M1038" s="4">
        <v>3</v>
      </c>
      <c r="N1038" s="4">
        <v>3532</v>
      </c>
      <c r="O1038" s="5">
        <f t="shared" si="16"/>
        <v>9.5862745098039215E-2</v>
      </c>
      <c r="P1038" s="2" t="s">
        <v>29</v>
      </c>
    </row>
    <row r="1039" spans="1:16" x14ac:dyDescent="0.25">
      <c r="A1039" s="6" t="s">
        <v>2147</v>
      </c>
      <c r="B1039" s="6" t="s">
        <v>2148</v>
      </c>
      <c r="C1039" s="6" t="s">
        <v>32</v>
      </c>
      <c r="D1039" s="7" t="s">
        <v>175</v>
      </c>
      <c r="E1039" s="7" t="s">
        <v>20</v>
      </c>
      <c r="F1039" s="6" t="s">
        <v>128</v>
      </c>
      <c r="G1039" s="8">
        <v>663967</v>
      </c>
      <c r="H1039" s="8">
        <v>290703</v>
      </c>
      <c r="I1039" s="8">
        <v>257829</v>
      </c>
      <c r="J1039" s="8">
        <v>21545</v>
      </c>
      <c r="K1039" s="8">
        <v>2410</v>
      </c>
      <c r="L1039" s="8">
        <v>3156</v>
      </c>
      <c r="M1039" s="8">
        <v>5</v>
      </c>
      <c r="N1039" s="8">
        <v>3504</v>
      </c>
      <c r="O1039" s="9">
        <f t="shared" si="16"/>
        <v>0.10517048121041465</v>
      </c>
      <c r="P1039" s="6" t="s">
        <v>29</v>
      </c>
    </row>
    <row r="1040" spans="1:16" x14ac:dyDescent="0.25">
      <c r="A1040" s="2" t="s">
        <v>2149</v>
      </c>
      <c r="B1040" s="2" t="s">
        <v>2150</v>
      </c>
      <c r="C1040" s="2" t="s">
        <v>43</v>
      </c>
      <c r="D1040" s="3" t="s">
        <v>172</v>
      </c>
      <c r="E1040" s="3" t="s">
        <v>27</v>
      </c>
      <c r="F1040" s="2" t="s">
        <v>46</v>
      </c>
      <c r="G1040" s="4">
        <v>156227</v>
      </c>
      <c r="H1040" s="4">
        <v>19933</v>
      </c>
      <c r="I1040" s="4">
        <v>18173</v>
      </c>
      <c r="J1040" s="4">
        <v>1272</v>
      </c>
      <c r="K1040" s="4">
        <v>140</v>
      </c>
      <c r="L1040" s="4">
        <v>128</v>
      </c>
      <c r="M1040" s="4">
        <v>18</v>
      </c>
      <c r="N1040" s="4">
        <v>654</v>
      </c>
      <c r="O1040" s="5">
        <f t="shared" si="16"/>
        <v>8.5731579816210865E-2</v>
      </c>
      <c r="P1040" s="2" t="s">
        <v>22</v>
      </c>
    </row>
    <row r="1041" spans="1:16" x14ac:dyDescent="0.25">
      <c r="A1041" s="6" t="s">
        <v>2151</v>
      </c>
      <c r="B1041" s="6" t="s">
        <v>2152</v>
      </c>
      <c r="C1041" s="6" t="s">
        <v>32</v>
      </c>
      <c r="D1041" s="7" t="s">
        <v>38</v>
      </c>
      <c r="E1041" s="7" t="s">
        <v>50</v>
      </c>
      <c r="F1041" s="6" t="s">
        <v>51</v>
      </c>
      <c r="G1041" s="8">
        <v>171023</v>
      </c>
      <c r="H1041" s="8">
        <v>57675</v>
      </c>
      <c r="I1041" s="8">
        <v>46995</v>
      </c>
      <c r="J1041" s="8">
        <v>3705</v>
      </c>
      <c r="K1041" s="8">
        <v>240</v>
      </c>
      <c r="L1041" s="8">
        <v>547</v>
      </c>
      <c r="M1041" s="8">
        <v>32</v>
      </c>
      <c r="N1041" s="8">
        <v>935</v>
      </c>
      <c r="O1041" s="9">
        <f t="shared" si="16"/>
        <v>9.6265560165975109E-2</v>
      </c>
      <c r="P1041" s="6" t="s">
        <v>66</v>
      </c>
    </row>
    <row r="1042" spans="1:16" x14ac:dyDescent="0.25">
      <c r="A1042" s="2" t="s">
        <v>2153</v>
      </c>
      <c r="B1042" s="2" t="s">
        <v>2154</v>
      </c>
      <c r="C1042" s="2" t="s">
        <v>76</v>
      </c>
      <c r="D1042" s="3" t="s">
        <v>103</v>
      </c>
      <c r="E1042" s="3" t="s">
        <v>27</v>
      </c>
      <c r="F1042" s="2" t="s">
        <v>87</v>
      </c>
      <c r="G1042" s="4">
        <v>441630</v>
      </c>
      <c r="H1042" s="4">
        <v>154467</v>
      </c>
      <c r="I1042" s="4">
        <v>136292</v>
      </c>
      <c r="J1042" s="4">
        <v>4756</v>
      </c>
      <c r="K1042" s="4">
        <v>277</v>
      </c>
      <c r="L1042" s="4">
        <v>443</v>
      </c>
      <c r="M1042" s="4">
        <v>522</v>
      </c>
      <c r="N1042" s="4">
        <v>2640</v>
      </c>
      <c r="O1042" s="5">
        <f t="shared" si="16"/>
        <v>4.4008452440348664E-2</v>
      </c>
      <c r="P1042" s="2" t="s">
        <v>29</v>
      </c>
    </row>
    <row r="1043" spans="1:16" x14ac:dyDescent="0.25">
      <c r="A1043" s="6" t="s">
        <v>2155</v>
      </c>
      <c r="B1043" s="6" t="s">
        <v>2156</v>
      </c>
      <c r="C1043" s="6" t="s">
        <v>43</v>
      </c>
      <c r="D1043" s="7" t="s">
        <v>69</v>
      </c>
      <c r="E1043" s="7" t="s">
        <v>45</v>
      </c>
      <c r="F1043" s="6" t="s">
        <v>107</v>
      </c>
      <c r="G1043" s="8">
        <v>286051</v>
      </c>
      <c r="H1043" s="8">
        <v>120697</v>
      </c>
      <c r="I1043" s="8">
        <v>99349</v>
      </c>
      <c r="J1043" s="8">
        <v>6068</v>
      </c>
      <c r="K1043" s="8">
        <v>603</v>
      </c>
      <c r="L1043" s="8">
        <v>714</v>
      </c>
      <c r="M1043" s="8">
        <v>37</v>
      </c>
      <c r="N1043" s="8">
        <v>4018</v>
      </c>
      <c r="O1043" s="9">
        <f t="shared" si="16"/>
        <v>7.4706338262086183E-2</v>
      </c>
      <c r="P1043" s="6" t="s">
        <v>29</v>
      </c>
    </row>
    <row r="1044" spans="1:16" x14ac:dyDescent="0.25">
      <c r="A1044" s="2" t="s">
        <v>2157</v>
      </c>
      <c r="B1044" s="2" t="s">
        <v>2158</v>
      </c>
      <c r="C1044" s="2" t="s">
        <v>76</v>
      </c>
      <c r="D1044" s="3" t="s">
        <v>103</v>
      </c>
      <c r="E1044" s="3" t="s">
        <v>34</v>
      </c>
      <c r="F1044" s="2" t="s">
        <v>78</v>
      </c>
      <c r="G1044" s="4">
        <v>242977</v>
      </c>
      <c r="H1044" s="4">
        <v>55260</v>
      </c>
      <c r="I1044" s="4">
        <v>39757</v>
      </c>
      <c r="J1044" s="4">
        <v>3031</v>
      </c>
      <c r="K1044" s="4">
        <v>142</v>
      </c>
      <c r="L1044" s="4">
        <v>228</v>
      </c>
      <c r="M1044" s="4">
        <v>451</v>
      </c>
      <c r="N1044" s="4">
        <v>1191</v>
      </c>
      <c r="O1044" s="5">
        <f t="shared" si="16"/>
        <v>9.6888598234273204E-2</v>
      </c>
      <c r="P1044" s="2" t="s">
        <v>22</v>
      </c>
    </row>
    <row r="1045" spans="1:16" x14ac:dyDescent="0.25">
      <c r="A1045" s="6" t="s">
        <v>2159</v>
      </c>
      <c r="B1045" s="6" t="s">
        <v>2160</v>
      </c>
      <c r="C1045" s="6" t="s">
        <v>43</v>
      </c>
      <c r="D1045" s="7" t="s">
        <v>172</v>
      </c>
      <c r="E1045" s="7" t="s">
        <v>20</v>
      </c>
      <c r="F1045" s="6" t="s">
        <v>46</v>
      </c>
      <c r="G1045" s="8">
        <v>760479</v>
      </c>
      <c r="H1045" s="8">
        <v>107223</v>
      </c>
      <c r="I1045" s="8">
        <v>88762</v>
      </c>
      <c r="J1045" s="8">
        <v>7670</v>
      </c>
      <c r="K1045" s="8">
        <v>987</v>
      </c>
      <c r="L1045" s="8">
        <v>792</v>
      </c>
      <c r="M1045" s="8">
        <v>11</v>
      </c>
      <c r="N1045" s="8">
        <v>1478</v>
      </c>
      <c r="O1045" s="9">
        <f t="shared" si="16"/>
        <v>0.10657713886573084</v>
      </c>
      <c r="P1045" s="6" t="s">
        <v>22</v>
      </c>
    </row>
    <row r="1046" spans="1:16" x14ac:dyDescent="0.25">
      <c r="A1046" s="2" t="s">
        <v>2161</v>
      </c>
      <c r="B1046" s="2" t="s">
        <v>2162</v>
      </c>
      <c r="C1046" s="2" t="s">
        <v>18</v>
      </c>
      <c r="D1046" s="3" t="s">
        <v>92</v>
      </c>
      <c r="E1046" s="3" t="s">
        <v>39</v>
      </c>
      <c r="F1046" s="2" t="s">
        <v>58</v>
      </c>
      <c r="G1046" s="4">
        <v>575859</v>
      </c>
      <c r="H1046" s="4">
        <v>132996</v>
      </c>
      <c r="I1046" s="4">
        <v>105658</v>
      </c>
      <c r="J1046" s="4">
        <v>4779</v>
      </c>
      <c r="K1046" s="4">
        <v>510</v>
      </c>
      <c r="L1046" s="4">
        <v>189</v>
      </c>
      <c r="M1046" s="4">
        <v>663</v>
      </c>
      <c r="N1046" s="4">
        <v>1275</v>
      </c>
      <c r="O1046" s="5">
        <f t="shared" si="16"/>
        <v>5.8121486304870434E-2</v>
      </c>
      <c r="P1046" s="2" t="s">
        <v>22</v>
      </c>
    </row>
    <row r="1047" spans="1:16" x14ac:dyDescent="0.25">
      <c r="A1047" s="6" t="s">
        <v>2163</v>
      </c>
      <c r="B1047" s="6" t="s">
        <v>2164</v>
      </c>
      <c r="C1047" s="6" t="s">
        <v>18</v>
      </c>
      <c r="D1047" s="7" t="s">
        <v>92</v>
      </c>
      <c r="E1047" s="7" t="s">
        <v>20</v>
      </c>
      <c r="F1047" s="6" t="s">
        <v>73</v>
      </c>
      <c r="G1047" s="8">
        <v>428883</v>
      </c>
      <c r="H1047" s="8">
        <v>167961</v>
      </c>
      <c r="I1047" s="8">
        <v>136142</v>
      </c>
      <c r="J1047" s="8">
        <v>9142</v>
      </c>
      <c r="K1047" s="8">
        <v>1356</v>
      </c>
      <c r="L1047" s="8">
        <v>446</v>
      </c>
      <c r="M1047" s="8">
        <v>1434</v>
      </c>
      <c r="N1047" s="8">
        <v>3524</v>
      </c>
      <c r="O1047" s="9">
        <f t="shared" si="16"/>
        <v>9.0919774940870557E-2</v>
      </c>
      <c r="P1047" s="6" t="s">
        <v>22</v>
      </c>
    </row>
    <row r="1048" spans="1:16" x14ac:dyDescent="0.25">
      <c r="A1048" s="2" t="s">
        <v>2165</v>
      </c>
      <c r="B1048" s="2" t="s">
        <v>2166</v>
      </c>
      <c r="C1048" s="2" t="s">
        <v>25</v>
      </c>
      <c r="D1048" s="3" t="s">
        <v>244</v>
      </c>
      <c r="E1048" s="3" t="s">
        <v>39</v>
      </c>
      <c r="F1048" s="2" t="s">
        <v>65</v>
      </c>
      <c r="G1048" s="4">
        <v>161190</v>
      </c>
      <c r="H1048" s="4">
        <v>82069</v>
      </c>
      <c r="I1048" s="4">
        <v>68316</v>
      </c>
      <c r="J1048" s="4">
        <v>1976</v>
      </c>
      <c r="K1048" s="4">
        <v>65</v>
      </c>
      <c r="L1048" s="4">
        <v>253</v>
      </c>
      <c r="M1048" s="4">
        <v>134</v>
      </c>
      <c r="N1048" s="4">
        <v>592</v>
      </c>
      <c r="O1048" s="5">
        <f t="shared" si="16"/>
        <v>3.5540722524737979E-2</v>
      </c>
      <c r="P1048" s="2" t="s">
        <v>66</v>
      </c>
    </row>
    <row r="1049" spans="1:16" x14ac:dyDescent="0.25">
      <c r="A1049" s="6" t="s">
        <v>2167</v>
      </c>
      <c r="B1049" s="6" t="s">
        <v>2168</v>
      </c>
      <c r="C1049" s="6" t="s">
        <v>25</v>
      </c>
      <c r="D1049" s="7" t="s">
        <v>244</v>
      </c>
      <c r="E1049" s="7" t="s">
        <v>45</v>
      </c>
      <c r="F1049" s="6" t="s">
        <v>146</v>
      </c>
      <c r="G1049" s="8">
        <v>217008</v>
      </c>
      <c r="H1049" s="8">
        <v>30714</v>
      </c>
      <c r="I1049" s="8">
        <v>24710</v>
      </c>
      <c r="J1049" s="8">
        <v>1365</v>
      </c>
      <c r="K1049" s="8">
        <v>41</v>
      </c>
      <c r="L1049" s="8">
        <v>60</v>
      </c>
      <c r="M1049" s="8">
        <v>136</v>
      </c>
      <c r="N1049" s="8">
        <v>999</v>
      </c>
      <c r="O1049" s="9">
        <f t="shared" si="16"/>
        <v>6.4832051800890328E-2</v>
      </c>
      <c r="P1049" s="6" t="s">
        <v>22</v>
      </c>
    </row>
    <row r="1050" spans="1:16" x14ac:dyDescent="0.25">
      <c r="A1050" s="2" t="s">
        <v>2169</v>
      </c>
      <c r="B1050" s="2" t="s">
        <v>2170</v>
      </c>
      <c r="C1050" s="2" t="s">
        <v>76</v>
      </c>
      <c r="D1050" s="3" t="s">
        <v>86</v>
      </c>
      <c r="E1050" s="3" t="s">
        <v>50</v>
      </c>
      <c r="F1050" s="2" t="s">
        <v>78</v>
      </c>
      <c r="G1050" s="4">
        <v>789431</v>
      </c>
      <c r="H1050" s="4">
        <v>128241</v>
      </c>
      <c r="I1050" s="4">
        <v>107155</v>
      </c>
      <c r="J1050" s="4">
        <v>5865</v>
      </c>
      <c r="K1050" s="4">
        <v>748</v>
      </c>
      <c r="L1050" s="4">
        <v>782</v>
      </c>
      <c r="M1050" s="4">
        <v>1110</v>
      </c>
      <c r="N1050" s="4">
        <v>1693</v>
      </c>
      <c r="O1050" s="5">
        <f t="shared" si="16"/>
        <v>7.9371004619476465E-2</v>
      </c>
      <c r="P1050" s="2" t="s">
        <v>29</v>
      </c>
    </row>
    <row r="1051" spans="1:16" x14ac:dyDescent="0.25">
      <c r="A1051" s="6" t="s">
        <v>2171</v>
      </c>
      <c r="B1051" s="6" t="s">
        <v>2172</v>
      </c>
      <c r="C1051" s="6" t="s">
        <v>32</v>
      </c>
      <c r="D1051" s="7" t="s">
        <v>121</v>
      </c>
      <c r="E1051" s="7" t="s">
        <v>45</v>
      </c>
      <c r="F1051" s="6" t="s">
        <v>128</v>
      </c>
      <c r="G1051" s="8">
        <v>812419</v>
      </c>
      <c r="H1051" s="8">
        <v>389238</v>
      </c>
      <c r="I1051" s="8">
        <v>318557</v>
      </c>
      <c r="J1051" s="8">
        <v>25370</v>
      </c>
      <c r="K1051" s="8">
        <v>3160</v>
      </c>
      <c r="L1051" s="8">
        <v>2310</v>
      </c>
      <c r="M1051" s="8">
        <v>46</v>
      </c>
      <c r="N1051" s="8">
        <v>1979</v>
      </c>
      <c r="O1051" s="9">
        <f t="shared" si="16"/>
        <v>9.6955960785667872E-2</v>
      </c>
      <c r="P1051" s="6" t="s">
        <v>22</v>
      </c>
    </row>
    <row r="1052" spans="1:16" x14ac:dyDescent="0.25">
      <c r="A1052" s="2" t="s">
        <v>2173</v>
      </c>
      <c r="B1052" s="2" t="s">
        <v>2174</v>
      </c>
      <c r="C1052" s="2" t="s">
        <v>18</v>
      </c>
      <c r="D1052" s="3" t="s">
        <v>226</v>
      </c>
      <c r="E1052" s="3" t="s">
        <v>39</v>
      </c>
      <c r="F1052" s="2" t="s">
        <v>58</v>
      </c>
      <c r="G1052" s="4">
        <v>436295</v>
      </c>
      <c r="H1052" s="4">
        <v>282417</v>
      </c>
      <c r="I1052" s="4">
        <v>211763</v>
      </c>
      <c r="J1052" s="4">
        <v>11180</v>
      </c>
      <c r="K1052" s="4">
        <v>645</v>
      </c>
      <c r="L1052" s="4">
        <v>796</v>
      </c>
      <c r="M1052" s="4">
        <v>1400</v>
      </c>
      <c r="N1052" s="4">
        <v>3657</v>
      </c>
      <c r="O1052" s="5">
        <f t="shared" si="16"/>
        <v>6.6210811142645321E-2</v>
      </c>
      <c r="P1052" s="2" t="s">
        <v>22</v>
      </c>
    </row>
    <row r="1053" spans="1:16" x14ac:dyDescent="0.25">
      <c r="A1053" s="6" t="s">
        <v>2175</v>
      </c>
      <c r="B1053" s="6" t="s">
        <v>2176</v>
      </c>
      <c r="C1053" s="6" t="s">
        <v>25</v>
      </c>
      <c r="D1053" s="7" t="s">
        <v>61</v>
      </c>
      <c r="E1053" s="7" t="s">
        <v>39</v>
      </c>
      <c r="F1053" s="6" t="s">
        <v>65</v>
      </c>
      <c r="G1053" s="8">
        <v>329252</v>
      </c>
      <c r="H1053" s="8">
        <v>97874</v>
      </c>
      <c r="I1053" s="8">
        <v>83340</v>
      </c>
      <c r="J1053" s="8">
        <v>7047</v>
      </c>
      <c r="K1053" s="8">
        <v>557</v>
      </c>
      <c r="L1053" s="8">
        <v>679</v>
      </c>
      <c r="M1053" s="8">
        <v>1732</v>
      </c>
      <c r="N1053" s="8">
        <v>2848</v>
      </c>
      <c r="O1053" s="9">
        <f t="shared" si="16"/>
        <v>0.12017038636909047</v>
      </c>
      <c r="P1053" s="6" t="s">
        <v>22</v>
      </c>
    </row>
    <row r="1054" spans="1:16" x14ac:dyDescent="0.25">
      <c r="A1054" s="2" t="s">
        <v>2177</v>
      </c>
      <c r="B1054" s="2" t="s">
        <v>2178</v>
      </c>
      <c r="C1054" s="2" t="s">
        <v>43</v>
      </c>
      <c r="D1054" s="3" t="s">
        <v>44</v>
      </c>
      <c r="E1054" s="3" t="s">
        <v>34</v>
      </c>
      <c r="F1054" s="2" t="s">
        <v>107</v>
      </c>
      <c r="G1054" s="4">
        <v>821486</v>
      </c>
      <c r="H1054" s="4">
        <v>234904</v>
      </c>
      <c r="I1054" s="4">
        <v>212429</v>
      </c>
      <c r="J1054" s="4">
        <v>17230</v>
      </c>
      <c r="K1054" s="4">
        <v>631</v>
      </c>
      <c r="L1054" s="4">
        <v>598</v>
      </c>
      <c r="M1054" s="4">
        <v>30</v>
      </c>
      <c r="N1054" s="4">
        <v>1728</v>
      </c>
      <c r="O1054" s="5">
        <f t="shared" si="16"/>
        <v>8.7036139133545798E-2</v>
      </c>
      <c r="P1054" s="2" t="s">
        <v>29</v>
      </c>
    </row>
    <row r="1055" spans="1:16" x14ac:dyDescent="0.25">
      <c r="A1055" s="6" t="s">
        <v>2179</v>
      </c>
      <c r="B1055" s="6" t="s">
        <v>2180</v>
      </c>
      <c r="C1055" s="6" t="s">
        <v>43</v>
      </c>
      <c r="D1055" s="7" t="s">
        <v>172</v>
      </c>
      <c r="E1055" s="7" t="s">
        <v>39</v>
      </c>
      <c r="F1055" s="6" t="s">
        <v>70</v>
      </c>
      <c r="G1055" s="8">
        <v>444211</v>
      </c>
      <c r="H1055" s="8">
        <v>139548</v>
      </c>
      <c r="I1055" s="8">
        <v>117565</v>
      </c>
      <c r="J1055" s="8">
        <v>3628</v>
      </c>
      <c r="K1055" s="8">
        <v>424</v>
      </c>
      <c r="L1055" s="8">
        <v>227</v>
      </c>
      <c r="M1055" s="8">
        <v>38</v>
      </c>
      <c r="N1055" s="8">
        <v>931</v>
      </c>
      <c r="O1055" s="9">
        <f t="shared" si="16"/>
        <v>3.6720112278314121E-2</v>
      </c>
      <c r="P1055" s="6" t="s">
        <v>22</v>
      </c>
    </row>
    <row r="1056" spans="1:16" x14ac:dyDescent="0.25">
      <c r="A1056" s="2" t="s">
        <v>2181</v>
      </c>
      <c r="B1056" s="2" t="s">
        <v>2182</v>
      </c>
      <c r="C1056" s="2" t="s">
        <v>43</v>
      </c>
      <c r="D1056" s="3" t="s">
        <v>110</v>
      </c>
      <c r="E1056" s="3" t="s">
        <v>20</v>
      </c>
      <c r="F1056" s="2" t="s">
        <v>46</v>
      </c>
      <c r="G1056" s="4">
        <v>558615</v>
      </c>
      <c r="H1056" s="4">
        <v>124361</v>
      </c>
      <c r="I1056" s="4">
        <v>95077</v>
      </c>
      <c r="J1056" s="4">
        <v>5295</v>
      </c>
      <c r="K1056" s="4">
        <v>456</v>
      </c>
      <c r="L1056" s="4">
        <v>701</v>
      </c>
      <c r="M1056" s="4">
        <v>50</v>
      </c>
      <c r="N1056" s="4">
        <v>3990</v>
      </c>
      <c r="O1056" s="5">
        <f t="shared" si="16"/>
        <v>6.8386676062559826E-2</v>
      </c>
      <c r="P1056" s="2" t="s">
        <v>29</v>
      </c>
    </row>
    <row r="1057" spans="1:16" x14ac:dyDescent="0.25">
      <c r="A1057" s="6" t="s">
        <v>2183</v>
      </c>
      <c r="B1057" s="6" t="s">
        <v>2184</v>
      </c>
      <c r="C1057" s="6" t="s">
        <v>32</v>
      </c>
      <c r="D1057" s="7" t="s">
        <v>175</v>
      </c>
      <c r="E1057" s="7" t="s">
        <v>50</v>
      </c>
      <c r="F1057" s="6" t="s">
        <v>35</v>
      </c>
      <c r="G1057" s="8">
        <v>277364</v>
      </c>
      <c r="H1057" s="8">
        <v>151859</v>
      </c>
      <c r="I1057" s="8">
        <v>116816</v>
      </c>
      <c r="J1057" s="8">
        <v>10920</v>
      </c>
      <c r="K1057" s="8">
        <v>1130</v>
      </c>
      <c r="L1057" s="8">
        <v>847</v>
      </c>
      <c r="M1057" s="8">
        <v>34</v>
      </c>
      <c r="N1057" s="8">
        <v>4825</v>
      </c>
      <c r="O1057" s="9">
        <f t="shared" si="16"/>
        <v>0.11069545267771538</v>
      </c>
      <c r="P1057" s="6" t="s">
        <v>22</v>
      </c>
    </row>
    <row r="1058" spans="1:16" x14ac:dyDescent="0.25">
      <c r="A1058" s="2" t="s">
        <v>2185</v>
      </c>
      <c r="B1058" s="2" t="s">
        <v>2186</v>
      </c>
      <c r="C1058" s="2" t="s">
        <v>25</v>
      </c>
      <c r="D1058" s="3" t="s">
        <v>64</v>
      </c>
      <c r="E1058" s="3" t="s">
        <v>27</v>
      </c>
      <c r="F1058" s="2" t="s">
        <v>54</v>
      </c>
      <c r="G1058" s="4">
        <v>448303</v>
      </c>
      <c r="H1058" s="4">
        <v>254865</v>
      </c>
      <c r="I1058" s="4">
        <v>192876</v>
      </c>
      <c r="J1058" s="4">
        <v>11281</v>
      </c>
      <c r="K1058" s="4">
        <v>983</v>
      </c>
      <c r="L1058" s="4">
        <v>417</v>
      </c>
      <c r="M1058" s="4">
        <v>1993</v>
      </c>
      <c r="N1058" s="4">
        <v>7164</v>
      </c>
      <c r="O1058" s="5">
        <f t="shared" si="16"/>
        <v>7.6079968477156312E-2</v>
      </c>
      <c r="P1058" s="2" t="s">
        <v>22</v>
      </c>
    </row>
    <row r="1059" spans="1:16" x14ac:dyDescent="0.25">
      <c r="A1059" s="6" t="s">
        <v>2187</v>
      </c>
      <c r="B1059" s="6" t="s">
        <v>2188</v>
      </c>
      <c r="C1059" s="6" t="s">
        <v>18</v>
      </c>
      <c r="D1059" s="7" t="s">
        <v>92</v>
      </c>
      <c r="E1059" s="7" t="s">
        <v>27</v>
      </c>
      <c r="F1059" s="6" t="s">
        <v>58</v>
      </c>
      <c r="G1059" s="8">
        <v>242521</v>
      </c>
      <c r="H1059" s="8">
        <v>20667</v>
      </c>
      <c r="I1059" s="8">
        <v>16401</v>
      </c>
      <c r="J1059" s="8">
        <v>1474</v>
      </c>
      <c r="K1059" s="8">
        <v>70</v>
      </c>
      <c r="L1059" s="8">
        <v>58</v>
      </c>
      <c r="M1059" s="8">
        <v>127</v>
      </c>
      <c r="N1059" s="8">
        <v>575</v>
      </c>
      <c r="O1059" s="9">
        <f t="shared" si="16"/>
        <v>0.10542040119504908</v>
      </c>
      <c r="P1059" s="6" t="s">
        <v>22</v>
      </c>
    </row>
    <row r="1060" spans="1:16" x14ac:dyDescent="0.25">
      <c r="A1060" s="2" t="s">
        <v>2189</v>
      </c>
      <c r="B1060" s="2" t="s">
        <v>2190</v>
      </c>
      <c r="C1060" s="2" t="s">
        <v>32</v>
      </c>
      <c r="D1060" s="3" t="s">
        <v>38</v>
      </c>
      <c r="E1060" s="3" t="s">
        <v>39</v>
      </c>
      <c r="F1060" s="2" t="s">
        <v>51</v>
      </c>
      <c r="G1060" s="4">
        <v>803411</v>
      </c>
      <c r="H1060" s="4">
        <v>95107</v>
      </c>
      <c r="I1060" s="4">
        <v>68743</v>
      </c>
      <c r="J1060" s="4">
        <v>2911</v>
      </c>
      <c r="K1060" s="4">
        <v>396</v>
      </c>
      <c r="L1060" s="4">
        <v>96</v>
      </c>
      <c r="M1060" s="4">
        <v>23</v>
      </c>
      <c r="N1060" s="4">
        <v>3074</v>
      </c>
      <c r="O1060" s="5">
        <f t="shared" si="16"/>
        <v>4.9837801667078831E-2</v>
      </c>
      <c r="P1060" s="2" t="s">
        <v>29</v>
      </c>
    </row>
    <row r="1061" spans="1:16" x14ac:dyDescent="0.25">
      <c r="A1061" s="6" t="s">
        <v>2191</v>
      </c>
      <c r="B1061" s="6" t="s">
        <v>2192</v>
      </c>
      <c r="C1061" s="6" t="s">
        <v>43</v>
      </c>
      <c r="D1061" s="7" t="s">
        <v>69</v>
      </c>
      <c r="E1061" s="7" t="s">
        <v>34</v>
      </c>
      <c r="F1061" s="6" t="s">
        <v>70</v>
      </c>
      <c r="G1061" s="8">
        <v>799934</v>
      </c>
      <c r="H1061" s="8">
        <v>308778</v>
      </c>
      <c r="I1061" s="8">
        <v>248383</v>
      </c>
      <c r="J1061" s="8">
        <v>15740</v>
      </c>
      <c r="K1061" s="8">
        <v>1407</v>
      </c>
      <c r="L1061" s="8">
        <v>1769</v>
      </c>
      <c r="M1061" s="8">
        <v>35</v>
      </c>
      <c r="N1061" s="8">
        <v>2728</v>
      </c>
      <c r="O1061" s="9">
        <f t="shared" si="16"/>
        <v>7.6297492179416462E-2</v>
      </c>
      <c r="P1061" s="6" t="s">
        <v>29</v>
      </c>
    </row>
    <row r="1062" spans="1:16" x14ac:dyDescent="0.25">
      <c r="A1062" s="2" t="s">
        <v>2193</v>
      </c>
      <c r="B1062" s="2" t="s">
        <v>2194</v>
      </c>
      <c r="C1062" s="2" t="s">
        <v>18</v>
      </c>
      <c r="D1062" s="3" t="s">
        <v>57</v>
      </c>
      <c r="E1062" s="3" t="s">
        <v>34</v>
      </c>
      <c r="F1062" s="2" t="s">
        <v>58</v>
      </c>
      <c r="G1062" s="4">
        <v>470285</v>
      </c>
      <c r="H1062" s="4">
        <v>230166</v>
      </c>
      <c r="I1062" s="4">
        <v>174439</v>
      </c>
      <c r="J1062" s="4">
        <v>6869</v>
      </c>
      <c r="K1062" s="4">
        <v>1042</v>
      </c>
      <c r="L1062" s="4">
        <v>205</v>
      </c>
      <c r="M1062" s="4">
        <v>1346</v>
      </c>
      <c r="N1062" s="4">
        <v>7500</v>
      </c>
      <c r="O1062" s="5">
        <f t="shared" si="16"/>
        <v>5.4242457248665721E-2</v>
      </c>
      <c r="P1062" s="2" t="s">
        <v>22</v>
      </c>
    </row>
    <row r="1063" spans="1:16" x14ac:dyDescent="0.25">
      <c r="A1063" s="6" t="s">
        <v>2195</v>
      </c>
      <c r="B1063" s="6" t="s">
        <v>2196</v>
      </c>
      <c r="C1063" s="6" t="s">
        <v>32</v>
      </c>
      <c r="D1063" s="7" t="s">
        <v>38</v>
      </c>
      <c r="E1063" s="7" t="s">
        <v>20</v>
      </c>
      <c r="F1063" s="6" t="s">
        <v>35</v>
      </c>
      <c r="G1063" s="8">
        <v>365012</v>
      </c>
      <c r="H1063" s="8">
        <v>180977</v>
      </c>
      <c r="I1063" s="8">
        <v>147876</v>
      </c>
      <c r="J1063" s="8">
        <v>8627</v>
      </c>
      <c r="K1063" s="8">
        <v>712</v>
      </c>
      <c r="L1063" s="8">
        <v>1091</v>
      </c>
      <c r="M1063" s="8">
        <v>10</v>
      </c>
      <c r="N1063" s="8">
        <v>2905</v>
      </c>
      <c r="O1063" s="9">
        <f t="shared" si="16"/>
        <v>7.0599691633530789E-2</v>
      </c>
      <c r="P1063" s="6" t="s">
        <v>22</v>
      </c>
    </row>
    <row r="1064" spans="1:16" x14ac:dyDescent="0.25">
      <c r="A1064" s="2" t="s">
        <v>2197</v>
      </c>
      <c r="B1064" s="2" t="s">
        <v>2198</v>
      </c>
      <c r="C1064" s="2" t="s">
        <v>76</v>
      </c>
      <c r="D1064" s="3" t="s">
        <v>189</v>
      </c>
      <c r="E1064" s="3" t="s">
        <v>45</v>
      </c>
      <c r="F1064" s="2" t="s">
        <v>155</v>
      </c>
      <c r="G1064" s="4">
        <v>530418</v>
      </c>
      <c r="H1064" s="4">
        <v>118990</v>
      </c>
      <c r="I1064" s="4">
        <v>102989</v>
      </c>
      <c r="J1064" s="4">
        <v>9162</v>
      </c>
      <c r="K1064" s="4">
        <v>339</v>
      </c>
      <c r="L1064" s="4">
        <v>988</v>
      </c>
      <c r="M1064" s="4">
        <v>1244</v>
      </c>
      <c r="N1064" s="4">
        <v>1685</v>
      </c>
      <c r="O1064" s="5">
        <f t="shared" si="16"/>
        <v>0.11392478808416433</v>
      </c>
      <c r="P1064" s="2" t="s">
        <v>22</v>
      </c>
    </row>
    <row r="1065" spans="1:16" x14ac:dyDescent="0.25">
      <c r="A1065" s="6" t="s">
        <v>2199</v>
      </c>
      <c r="B1065" s="6" t="s">
        <v>2200</v>
      </c>
      <c r="C1065" s="6" t="s">
        <v>25</v>
      </c>
      <c r="D1065" s="7" t="s">
        <v>64</v>
      </c>
      <c r="E1065" s="7" t="s">
        <v>34</v>
      </c>
      <c r="F1065" s="6" t="s">
        <v>54</v>
      </c>
      <c r="G1065" s="8">
        <v>149241</v>
      </c>
      <c r="H1065" s="8">
        <v>25053</v>
      </c>
      <c r="I1065" s="8">
        <v>22964</v>
      </c>
      <c r="J1065" s="8">
        <v>930</v>
      </c>
      <c r="K1065" s="8">
        <v>102</v>
      </c>
      <c r="L1065" s="8">
        <v>111</v>
      </c>
      <c r="M1065" s="8">
        <v>182</v>
      </c>
      <c r="N1065" s="8">
        <v>494</v>
      </c>
      <c r="O1065" s="9">
        <f t="shared" si="16"/>
        <v>5.7699007141612961E-2</v>
      </c>
      <c r="P1065" s="6" t="s">
        <v>66</v>
      </c>
    </row>
    <row r="1066" spans="1:16" x14ac:dyDescent="0.25">
      <c r="A1066" s="2" t="s">
        <v>2201</v>
      </c>
      <c r="B1066" s="2" t="s">
        <v>2202</v>
      </c>
      <c r="C1066" s="2" t="s">
        <v>32</v>
      </c>
      <c r="D1066" s="3" t="s">
        <v>49</v>
      </c>
      <c r="E1066" s="3" t="s">
        <v>20</v>
      </c>
      <c r="F1066" s="2" t="s">
        <v>40</v>
      </c>
      <c r="G1066" s="4">
        <v>678899</v>
      </c>
      <c r="H1066" s="4">
        <v>341546</v>
      </c>
      <c r="I1066" s="4">
        <v>251835</v>
      </c>
      <c r="J1066" s="4">
        <v>10757</v>
      </c>
      <c r="K1066" s="4">
        <v>1666</v>
      </c>
      <c r="L1066" s="4">
        <v>968</v>
      </c>
      <c r="M1066" s="4">
        <v>43</v>
      </c>
      <c r="N1066" s="4">
        <v>3446</v>
      </c>
      <c r="O1066" s="5">
        <f t="shared" si="16"/>
        <v>5.3344451724343322E-2</v>
      </c>
      <c r="P1066" s="2" t="s">
        <v>22</v>
      </c>
    </row>
    <row r="1067" spans="1:16" x14ac:dyDescent="0.25">
      <c r="A1067" s="6" t="s">
        <v>2203</v>
      </c>
      <c r="B1067" s="6" t="s">
        <v>2204</v>
      </c>
      <c r="C1067" s="6" t="s">
        <v>43</v>
      </c>
      <c r="D1067" s="7" t="s">
        <v>81</v>
      </c>
      <c r="E1067" s="7" t="s">
        <v>34</v>
      </c>
      <c r="F1067" s="6" t="s">
        <v>107</v>
      </c>
      <c r="G1067" s="8">
        <v>824623</v>
      </c>
      <c r="H1067" s="8">
        <v>182039</v>
      </c>
      <c r="I1067" s="8">
        <v>137636</v>
      </c>
      <c r="J1067" s="8">
        <v>11447</v>
      </c>
      <c r="K1067" s="8">
        <v>677</v>
      </c>
      <c r="L1067" s="8">
        <v>804</v>
      </c>
      <c r="M1067" s="8">
        <v>50</v>
      </c>
      <c r="N1067" s="8">
        <v>6255</v>
      </c>
      <c r="O1067" s="9">
        <f t="shared" si="16"/>
        <v>9.4292190996541597E-2</v>
      </c>
      <c r="P1067" s="6" t="s">
        <v>22</v>
      </c>
    </row>
    <row r="1068" spans="1:16" x14ac:dyDescent="0.25">
      <c r="A1068" s="2" t="s">
        <v>2205</v>
      </c>
      <c r="B1068" s="2" t="s">
        <v>2206</v>
      </c>
      <c r="C1068" s="2" t="s">
        <v>18</v>
      </c>
      <c r="D1068" s="3" t="s">
        <v>92</v>
      </c>
      <c r="E1068" s="3" t="s">
        <v>20</v>
      </c>
      <c r="F1068" s="2" t="s">
        <v>58</v>
      </c>
      <c r="G1068" s="4">
        <v>243167</v>
      </c>
      <c r="H1068" s="4">
        <v>21091</v>
      </c>
      <c r="I1068" s="4">
        <v>18419</v>
      </c>
      <c r="J1068" s="4">
        <v>1358</v>
      </c>
      <c r="K1068" s="4">
        <v>145</v>
      </c>
      <c r="L1068" s="4">
        <v>153</v>
      </c>
      <c r="M1068" s="4">
        <v>175</v>
      </c>
      <c r="N1068" s="4">
        <v>405</v>
      </c>
      <c r="O1068" s="5">
        <f t="shared" si="16"/>
        <v>9.9408219773060427E-2</v>
      </c>
      <c r="P1068" s="2" t="s">
        <v>22</v>
      </c>
    </row>
    <row r="1069" spans="1:16" x14ac:dyDescent="0.25">
      <c r="A1069" s="6" t="s">
        <v>2207</v>
      </c>
      <c r="B1069" s="6" t="s">
        <v>2208</v>
      </c>
      <c r="C1069" s="6" t="s">
        <v>18</v>
      </c>
      <c r="D1069" s="7" t="s">
        <v>231</v>
      </c>
      <c r="E1069" s="7" t="s">
        <v>50</v>
      </c>
      <c r="F1069" s="6" t="s">
        <v>73</v>
      </c>
      <c r="G1069" s="8">
        <v>379425</v>
      </c>
      <c r="H1069" s="8">
        <v>122809</v>
      </c>
      <c r="I1069" s="8">
        <v>100332</v>
      </c>
      <c r="J1069" s="8">
        <v>8494</v>
      </c>
      <c r="K1069" s="8">
        <v>1374</v>
      </c>
      <c r="L1069" s="8">
        <v>930</v>
      </c>
      <c r="M1069" s="8">
        <v>1231</v>
      </c>
      <c r="N1069" s="8">
        <v>2896</v>
      </c>
      <c r="O1069" s="9">
        <f t="shared" si="16"/>
        <v>0.11989195869712554</v>
      </c>
      <c r="P1069" s="6" t="s">
        <v>22</v>
      </c>
    </row>
    <row r="1070" spans="1:16" x14ac:dyDescent="0.25">
      <c r="A1070" s="2" t="s">
        <v>2209</v>
      </c>
      <c r="B1070" s="2" t="s">
        <v>2210</v>
      </c>
      <c r="C1070" s="2" t="s">
        <v>18</v>
      </c>
      <c r="D1070" s="3" t="s">
        <v>19</v>
      </c>
      <c r="E1070" s="3" t="s">
        <v>45</v>
      </c>
      <c r="F1070" s="2" t="s">
        <v>73</v>
      </c>
      <c r="G1070" s="4">
        <v>131823</v>
      </c>
      <c r="H1070" s="4">
        <v>44846</v>
      </c>
      <c r="I1070" s="4">
        <v>36448</v>
      </c>
      <c r="J1070" s="4">
        <v>1584</v>
      </c>
      <c r="K1070" s="4">
        <v>175</v>
      </c>
      <c r="L1070" s="4">
        <v>111</v>
      </c>
      <c r="M1070" s="4">
        <v>276</v>
      </c>
      <c r="N1070" s="4">
        <v>1003</v>
      </c>
      <c r="O1070" s="5">
        <f t="shared" si="16"/>
        <v>5.8878402107111504E-2</v>
      </c>
      <c r="P1070" s="2" t="s">
        <v>66</v>
      </c>
    </row>
    <row r="1071" spans="1:16" x14ac:dyDescent="0.25">
      <c r="A1071" s="6" t="s">
        <v>2211</v>
      </c>
      <c r="B1071" s="6" t="s">
        <v>2212</v>
      </c>
      <c r="C1071" s="6" t="s">
        <v>43</v>
      </c>
      <c r="D1071" s="7" t="s">
        <v>81</v>
      </c>
      <c r="E1071" s="7" t="s">
        <v>50</v>
      </c>
      <c r="F1071" s="6" t="s">
        <v>46</v>
      </c>
      <c r="G1071" s="8">
        <v>507117</v>
      </c>
      <c r="H1071" s="8">
        <v>78969</v>
      </c>
      <c r="I1071" s="8">
        <v>57096</v>
      </c>
      <c r="J1071" s="8">
        <v>5558</v>
      </c>
      <c r="K1071" s="8">
        <v>734</v>
      </c>
      <c r="L1071" s="8">
        <v>294</v>
      </c>
      <c r="M1071" s="8">
        <v>14</v>
      </c>
      <c r="N1071" s="8">
        <v>481</v>
      </c>
      <c r="O1071" s="9">
        <f t="shared" si="16"/>
        <v>0.11559478772593526</v>
      </c>
      <c r="P1071" s="6" t="s">
        <v>22</v>
      </c>
    </row>
    <row r="1072" spans="1:16" x14ac:dyDescent="0.25">
      <c r="A1072" s="2" t="s">
        <v>2213</v>
      </c>
      <c r="B1072" s="2" t="s">
        <v>2214</v>
      </c>
      <c r="C1072" s="2" t="s">
        <v>32</v>
      </c>
      <c r="D1072" s="3" t="s">
        <v>38</v>
      </c>
      <c r="E1072" s="3" t="s">
        <v>20</v>
      </c>
      <c r="F1072" s="2" t="s">
        <v>40</v>
      </c>
      <c r="G1072" s="4">
        <v>141122</v>
      </c>
      <c r="H1072" s="4">
        <v>78186</v>
      </c>
      <c r="I1072" s="4">
        <v>58624</v>
      </c>
      <c r="J1072" s="4">
        <v>3672</v>
      </c>
      <c r="K1072" s="4">
        <v>397</v>
      </c>
      <c r="L1072" s="4">
        <v>187</v>
      </c>
      <c r="M1072" s="4">
        <v>50</v>
      </c>
      <c r="N1072" s="4">
        <v>633</v>
      </c>
      <c r="O1072" s="5">
        <f t="shared" si="16"/>
        <v>7.3451146288209604E-2</v>
      </c>
      <c r="P1072" s="2" t="s">
        <v>66</v>
      </c>
    </row>
    <row r="1073" spans="1:16" x14ac:dyDescent="0.25">
      <c r="A1073" s="6" t="s">
        <v>2215</v>
      </c>
      <c r="B1073" s="6" t="s">
        <v>2216</v>
      </c>
      <c r="C1073" s="6" t="s">
        <v>76</v>
      </c>
      <c r="D1073" s="7" t="s">
        <v>182</v>
      </c>
      <c r="E1073" s="7" t="s">
        <v>20</v>
      </c>
      <c r="F1073" s="6" t="s">
        <v>155</v>
      </c>
      <c r="G1073" s="8">
        <v>183277</v>
      </c>
      <c r="H1073" s="8">
        <v>68430</v>
      </c>
      <c r="I1073" s="8">
        <v>58615</v>
      </c>
      <c r="J1073" s="8">
        <v>3655</v>
      </c>
      <c r="K1073" s="8">
        <v>225</v>
      </c>
      <c r="L1073" s="8">
        <v>142</v>
      </c>
      <c r="M1073" s="8">
        <v>215</v>
      </c>
      <c r="N1073" s="8">
        <v>582</v>
      </c>
      <c r="O1073" s="9">
        <f t="shared" si="16"/>
        <v>7.2285251215559163E-2</v>
      </c>
      <c r="P1073" s="6" t="s">
        <v>22</v>
      </c>
    </row>
    <row r="1074" spans="1:16" x14ac:dyDescent="0.25">
      <c r="A1074" s="2" t="s">
        <v>2217</v>
      </c>
      <c r="B1074" s="2" t="s">
        <v>2218</v>
      </c>
      <c r="C1074" s="2" t="s">
        <v>43</v>
      </c>
      <c r="D1074" s="3" t="s">
        <v>69</v>
      </c>
      <c r="E1074" s="3" t="s">
        <v>39</v>
      </c>
      <c r="F1074" s="2" t="s">
        <v>46</v>
      </c>
      <c r="G1074" s="4">
        <v>400332</v>
      </c>
      <c r="H1074" s="4">
        <v>239688</v>
      </c>
      <c r="I1074" s="4">
        <v>212143</v>
      </c>
      <c r="J1074" s="4">
        <v>13377</v>
      </c>
      <c r="K1074" s="4">
        <v>2142</v>
      </c>
      <c r="L1074" s="4">
        <v>1866</v>
      </c>
      <c r="M1074" s="4">
        <v>43</v>
      </c>
      <c r="N1074" s="4">
        <v>4656</v>
      </c>
      <c r="O1074" s="5">
        <f t="shared" si="16"/>
        <v>8.2152133230886715E-2</v>
      </c>
      <c r="P1074" s="2" t="s">
        <v>22</v>
      </c>
    </row>
    <row r="1075" spans="1:16" x14ac:dyDescent="0.25">
      <c r="A1075" s="6" t="s">
        <v>2219</v>
      </c>
      <c r="B1075" s="6" t="s">
        <v>2220</v>
      </c>
      <c r="C1075" s="6" t="s">
        <v>18</v>
      </c>
      <c r="D1075" s="7" t="s">
        <v>19</v>
      </c>
      <c r="E1075" s="7" t="s">
        <v>50</v>
      </c>
      <c r="F1075" s="6" t="s">
        <v>58</v>
      </c>
      <c r="G1075" s="8">
        <v>838067</v>
      </c>
      <c r="H1075" s="8">
        <v>96524</v>
      </c>
      <c r="I1075" s="8">
        <v>72562</v>
      </c>
      <c r="J1075" s="8">
        <v>5133</v>
      </c>
      <c r="K1075" s="8">
        <v>868</v>
      </c>
      <c r="L1075" s="8">
        <v>536</v>
      </c>
      <c r="M1075" s="8">
        <v>914</v>
      </c>
      <c r="N1075" s="8">
        <v>728</v>
      </c>
      <c r="O1075" s="9">
        <f t="shared" si="16"/>
        <v>0.10268460075521622</v>
      </c>
      <c r="P1075" s="6" t="s">
        <v>22</v>
      </c>
    </row>
    <row r="1076" spans="1:16" x14ac:dyDescent="0.25">
      <c r="A1076" s="2" t="s">
        <v>2221</v>
      </c>
      <c r="B1076" s="2" t="s">
        <v>2222</v>
      </c>
      <c r="C1076" s="2" t="s">
        <v>43</v>
      </c>
      <c r="D1076" s="3" t="s">
        <v>44</v>
      </c>
      <c r="E1076" s="3" t="s">
        <v>20</v>
      </c>
      <c r="F1076" s="2" t="s">
        <v>46</v>
      </c>
      <c r="G1076" s="4">
        <v>326856</v>
      </c>
      <c r="H1076" s="4">
        <v>209185</v>
      </c>
      <c r="I1076" s="4">
        <v>184721</v>
      </c>
      <c r="J1076" s="4">
        <v>14100</v>
      </c>
      <c r="K1076" s="4">
        <v>496</v>
      </c>
      <c r="L1076" s="4">
        <v>645</v>
      </c>
      <c r="M1076" s="4">
        <v>49</v>
      </c>
      <c r="N1076" s="4">
        <v>7287</v>
      </c>
      <c r="O1076" s="5">
        <f t="shared" si="16"/>
        <v>8.2773480004980485E-2</v>
      </c>
      <c r="P1076" s="2" t="s">
        <v>22</v>
      </c>
    </row>
    <row r="1077" spans="1:16" x14ac:dyDescent="0.25">
      <c r="A1077" s="6" t="s">
        <v>2223</v>
      </c>
      <c r="B1077" s="6" t="s">
        <v>2224</v>
      </c>
      <c r="C1077" s="6" t="s">
        <v>76</v>
      </c>
      <c r="D1077" s="7" t="s">
        <v>103</v>
      </c>
      <c r="E1077" s="7" t="s">
        <v>50</v>
      </c>
      <c r="F1077" s="6" t="s">
        <v>78</v>
      </c>
      <c r="G1077" s="8">
        <v>780747</v>
      </c>
      <c r="H1077" s="8">
        <v>257174</v>
      </c>
      <c r="I1077" s="8">
        <v>198772</v>
      </c>
      <c r="J1077" s="8">
        <v>19076</v>
      </c>
      <c r="K1077" s="8">
        <v>704</v>
      </c>
      <c r="L1077" s="8">
        <v>1454</v>
      </c>
      <c r="M1077" s="8">
        <v>4375</v>
      </c>
      <c r="N1077" s="8">
        <v>4294</v>
      </c>
      <c r="O1077" s="9">
        <f t="shared" si="16"/>
        <v>0.12883605336767753</v>
      </c>
      <c r="P1077" s="6" t="s">
        <v>22</v>
      </c>
    </row>
    <row r="1078" spans="1:16" x14ac:dyDescent="0.25">
      <c r="A1078" s="2" t="s">
        <v>2225</v>
      </c>
      <c r="B1078" s="2" t="s">
        <v>2226</v>
      </c>
      <c r="C1078" s="2" t="s">
        <v>32</v>
      </c>
      <c r="D1078" s="3" t="s">
        <v>38</v>
      </c>
      <c r="E1078" s="3" t="s">
        <v>50</v>
      </c>
      <c r="F1078" s="2" t="s">
        <v>128</v>
      </c>
      <c r="G1078" s="4">
        <v>745897</v>
      </c>
      <c r="H1078" s="4">
        <v>417114</v>
      </c>
      <c r="I1078" s="4">
        <v>382531</v>
      </c>
      <c r="J1078" s="4">
        <v>8381</v>
      </c>
      <c r="K1078" s="4">
        <v>813</v>
      </c>
      <c r="L1078" s="4">
        <v>520</v>
      </c>
      <c r="M1078" s="4">
        <v>25</v>
      </c>
      <c r="N1078" s="4">
        <v>9770</v>
      </c>
      <c r="O1078" s="5">
        <f t="shared" si="16"/>
        <v>2.5459374534351466E-2</v>
      </c>
      <c r="P1078" s="2" t="s">
        <v>66</v>
      </c>
    </row>
    <row r="1079" spans="1:16" x14ac:dyDescent="0.25">
      <c r="A1079" s="6" t="s">
        <v>2227</v>
      </c>
      <c r="B1079" s="6" t="s">
        <v>2228</v>
      </c>
      <c r="C1079" s="6" t="s">
        <v>32</v>
      </c>
      <c r="D1079" s="7" t="s">
        <v>175</v>
      </c>
      <c r="E1079" s="7" t="s">
        <v>27</v>
      </c>
      <c r="F1079" s="6" t="s">
        <v>128</v>
      </c>
      <c r="G1079" s="8">
        <v>387625</v>
      </c>
      <c r="H1079" s="8">
        <v>198975</v>
      </c>
      <c r="I1079" s="8">
        <v>157654</v>
      </c>
      <c r="J1079" s="8">
        <v>6394</v>
      </c>
      <c r="K1079" s="8">
        <v>723</v>
      </c>
      <c r="L1079" s="8">
        <v>442</v>
      </c>
      <c r="M1079" s="8">
        <v>46</v>
      </c>
      <c r="N1079" s="8">
        <v>4382</v>
      </c>
      <c r="O1079" s="9">
        <f t="shared" si="16"/>
        <v>4.8238547705735345E-2</v>
      </c>
      <c r="P1079" s="6" t="s">
        <v>29</v>
      </c>
    </row>
    <row r="1080" spans="1:16" x14ac:dyDescent="0.25">
      <c r="A1080" s="2" t="s">
        <v>2229</v>
      </c>
      <c r="B1080" s="2" t="s">
        <v>2230</v>
      </c>
      <c r="C1080" s="2" t="s">
        <v>76</v>
      </c>
      <c r="D1080" s="3" t="s">
        <v>189</v>
      </c>
      <c r="E1080" s="3" t="s">
        <v>20</v>
      </c>
      <c r="F1080" s="2" t="s">
        <v>104</v>
      </c>
      <c r="G1080" s="4">
        <v>587636</v>
      </c>
      <c r="H1080" s="4">
        <v>347699</v>
      </c>
      <c r="I1080" s="4">
        <v>252439</v>
      </c>
      <c r="J1080" s="4">
        <v>17992</v>
      </c>
      <c r="K1080" s="4">
        <v>2380</v>
      </c>
      <c r="L1080" s="4">
        <v>1858</v>
      </c>
      <c r="M1080" s="4">
        <v>3712</v>
      </c>
      <c r="N1080" s="4">
        <v>2496</v>
      </c>
      <c r="O1080" s="5">
        <f t="shared" si="16"/>
        <v>0.10276542055704546</v>
      </c>
      <c r="P1080" s="2" t="s">
        <v>22</v>
      </c>
    </row>
    <row r="1081" spans="1:16" x14ac:dyDescent="0.25">
      <c r="A1081" s="6" t="s">
        <v>2231</v>
      </c>
      <c r="B1081" s="6" t="s">
        <v>2232</v>
      </c>
      <c r="C1081" s="6" t="s">
        <v>18</v>
      </c>
      <c r="D1081" s="7" t="s">
        <v>57</v>
      </c>
      <c r="E1081" s="7" t="s">
        <v>34</v>
      </c>
      <c r="F1081" s="6" t="s">
        <v>73</v>
      </c>
      <c r="G1081" s="8">
        <v>479047</v>
      </c>
      <c r="H1081" s="8">
        <v>44706</v>
      </c>
      <c r="I1081" s="8">
        <v>33622</v>
      </c>
      <c r="J1081" s="8">
        <v>953</v>
      </c>
      <c r="K1081" s="8">
        <v>41</v>
      </c>
      <c r="L1081" s="8">
        <v>72</v>
      </c>
      <c r="M1081" s="8">
        <v>181</v>
      </c>
      <c r="N1081" s="8">
        <v>1548</v>
      </c>
      <c r="O1081" s="9">
        <f t="shared" si="16"/>
        <v>3.7088810897626556E-2</v>
      </c>
      <c r="P1081" s="6" t="s">
        <v>22</v>
      </c>
    </row>
    <row r="1082" spans="1:16" x14ac:dyDescent="0.25">
      <c r="A1082" s="2" t="s">
        <v>2233</v>
      </c>
      <c r="B1082" s="2" t="s">
        <v>2234</v>
      </c>
      <c r="C1082" s="2" t="s">
        <v>25</v>
      </c>
      <c r="D1082" s="3" t="s">
        <v>26</v>
      </c>
      <c r="E1082" s="3" t="s">
        <v>34</v>
      </c>
      <c r="F1082" s="2" t="s">
        <v>28</v>
      </c>
      <c r="G1082" s="4">
        <v>84980</v>
      </c>
      <c r="H1082" s="4">
        <v>7081</v>
      </c>
      <c r="I1082" s="4">
        <v>5530</v>
      </c>
      <c r="J1082" s="4">
        <v>200</v>
      </c>
      <c r="K1082" s="4">
        <v>8</v>
      </c>
      <c r="L1082" s="4">
        <v>15</v>
      </c>
      <c r="M1082" s="4">
        <v>23</v>
      </c>
      <c r="N1082" s="4">
        <v>102</v>
      </c>
      <c r="O1082" s="5">
        <f t="shared" si="16"/>
        <v>4.4484629294755877E-2</v>
      </c>
      <c r="P1082" s="2" t="s">
        <v>66</v>
      </c>
    </row>
    <row r="1083" spans="1:16" x14ac:dyDescent="0.25">
      <c r="A1083" s="6" t="s">
        <v>2235</v>
      </c>
      <c r="B1083" s="6" t="s">
        <v>2236</v>
      </c>
      <c r="C1083" s="6" t="s">
        <v>76</v>
      </c>
      <c r="D1083" s="7" t="s">
        <v>86</v>
      </c>
      <c r="E1083" s="7" t="s">
        <v>39</v>
      </c>
      <c r="F1083" s="6" t="s">
        <v>78</v>
      </c>
      <c r="G1083" s="8">
        <v>406303</v>
      </c>
      <c r="H1083" s="8">
        <v>214086</v>
      </c>
      <c r="I1083" s="8">
        <v>175378</v>
      </c>
      <c r="J1083" s="8">
        <v>14522</v>
      </c>
      <c r="K1083" s="8">
        <v>1840</v>
      </c>
      <c r="L1083" s="8">
        <v>563</v>
      </c>
      <c r="M1083" s="8">
        <v>993</v>
      </c>
      <c r="N1083" s="8">
        <v>5648</v>
      </c>
      <c r="O1083" s="9">
        <f t="shared" si="16"/>
        <v>0.10216788878878764</v>
      </c>
      <c r="P1083" s="6" t="s">
        <v>22</v>
      </c>
    </row>
    <row r="1084" spans="1:16" x14ac:dyDescent="0.25">
      <c r="A1084" s="2" t="s">
        <v>2237</v>
      </c>
      <c r="B1084" s="2" t="s">
        <v>2238</v>
      </c>
      <c r="C1084" s="2" t="s">
        <v>25</v>
      </c>
      <c r="D1084" s="3" t="s">
        <v>64</v>
      </c>
      <c r="E1084" s="3" t="s">
        <v>27</v>
      </c>
      <c r="F1084" s="2" t="s">
        <v>65</v>
      </c>
      <c r="G1084" s="4">
        <v>353004</v>
      </c>
      <c r="H1084" s="4">
        <v>43220</v>
      </c>
      <c r="I1084" s="4">
        <v>37966</v>
      </c>
      <c r="J1084" s="4">
        <v>3150</v>
      </c>
      <c r="K1084" s="4">
        <v>526</v>
      </c>
      <c r="L1084" s="4">
        <v>171</v>
      </c>
      <c r="M1084" s="4">
        <v>618</v>
      </c>
      <c r="N1084" s="4">
        <v>561</v>
      </c>
      <c r="O1084" s="5">
        <f t="shared" si="16"/>
        <v>0.11760522572828321</v>
      </c>
      <c r="P1084" s="2" t="s">
        <v>22</v>
      </c>
    </row>
    <row r="1085" spans="1:16" x14ac:dyDescent="0.25">
      <c r="A1085" s="6" t="s">
        <v>2239</v>
      </c>
      <c r="B1085" s="6" t="s">
        <v>2240</v>
      </c>
      <c r="C1085" s="6" t="s">
        <v>18</v>
      </c>
      <c r="D1085" s="7" t="s">
        <v>231</v>
      </c>
      <c r="E1085" s="7" t="s">
        <v>39</v>
      </c>
      <c r="F1085" s="6" t="s">
        <v>21</v>
      </c>
      <c r="G1085" s="8">
        <v>336954</v>
      </c>
      <c r="H1085" s="8">
        <v>124101</v>
      </c>
      <c r="I1085" s="8">
        <v>109938</v>
      </c>
      <c r="J1085" s="8">
        <v>3535</v>
      </c>
      <c r="K1085" s="8">
        <v>553</v>
      </c>
      <c r="L1085" s="8">
        <v>239</v>
      </c>
      <c r="M1085" s="8">
        <v>763</v>
      </c>
      <c r="N1085" s="8">
        <v>3264</v>
      </c>
      <c r="O1085" s="9">
        <f t="shared" si="16"/>
        <v>4.6298822972948392E-2</v>
      </c>
      <c r="P1085" s="6" t="s">
        <v>22</v>
      </c>
    </row>
    <row r="1086" spans="1:16" x14ac:dyDescent="0.25">
      <c r="A1086" s="2" t="s">
        <v>2241</v>
      </c>
      <c r="B1086" s="2" t="s">
        <v>2242</v>
      </c>
      <c r="C1086" s="2" t="s">
        <v>32</v>
      </c>
      <c r="D1086" s="3" t="s">
        <v>49</v>
      </c>
      <c r="E1086" s="3" t="s">
        <v>45</v>
      </c>
      <c r="F1086" s="2" t="s">
        <v>40</v>
      </c>
      <c r="G1086" s="4">
        <v>432425</v>
      </c>
      <c r="H1086" s="4">
        <v>47618</v>
      </c>
      <c r="I1086" s="4">
        <v>35545</v>
      </c>
      <c r="J1086" s="4">
        <v>1340</v>
      </c>
      <c r="K1086" s="4">
        <v>210</v>
      </c>
      <c r="L1086" s="4">
        <v>108</v>
      </c>
      <c r="M1086" s="4">
        <v>11</v>
      </c>
      <c r="N1086" s="4">
        <v>956</v>
      </c>
      <c r="O1086" s="5">
        <f t="shared" si="16"/>
        <v>4.6954564636376421E-2</v>
      </c>
      <c r="P1086" s="2" t="s">
        <v>66</v>
      </c>
    </row>
    <row r="1087" spans="1:16" x14ac:dyDescent="0.25">
      <c r="A1087" s="6" t="s">
        <v>2243</v>
      </c>
      <c r="B1087" s="6" t="s">
        <v>2244</v>
      </c>
      <c r="C1087" s="6" t="s">
        <v>18</v>
      </c>
      <c r="D1087" s="7" t="s">
        <v>226</v>
      </c>
      <c r="E1087" s="7" t="s">
        <v>34</v>
      </c>
      <c r="F1087" s="6" t="s">
        <v>21</v>
      </c>
      <c r="G1087" s="8">
        <v>511557</v>
      </c>
      <c r="H1087" s="8">
        <v>316568</v>
      </c>
      <c r="I1087" s="8">
        <v>257583</v>
      </c>
      <c r="J1087" s="8">
        <v>9387</v>
      </c>
      <c r="K1087" s="8">
        <v>650</v>
      </c>
      <c r="L1087" s="8">
        <v>740</v>
      </c>
      <c r="M1087" s="8">
        <v>638</v>
      </c>
      <c r="N1087" s="8">
        <v>11019</v>
      </c>
      <c r="O1087" s="9">
        <f t="shared" si="16"/>
        <v>4.4315812767146898E-2</v>
      </c>
      <c r="P1087" s="6" t="s">
        <v>22</v>
      </c>
    </row>
    <row r="1088" spans="1:16" x14ac:dyDescent="0.25">
      <c r="A1088" s="2" t="s">
        <v>2245</v>
      </c>
      <c r="B1088" s="2" t="s">
        <v>2246</v>
      </c>
      <c r="C1088" s="2" t="s">
        <v>76</v>
      </c>
      <c r="D1088" s="3" t="s">
        <v>77</v>
      </c>
      <c r="E1088" s="3" t="s">
        <v>50</v>
      </c>
      <c r="F1088" s="2" t="s">
        <v>87</v>
      </c>
      <c r="G1088" s="4">
        <v>98409</v>
      </c>
      <c r="H1088" s="4">
        <v>28728</v>
      </c>
      <c r="I1088" s="4">
        <v>23967</v>
      </c>
      <c r="J1088" s="4">
        <v>2029</v>
      </c>
      <c r="K1088" s="4">
        <v>330</v>
      </c>
      <c r="L1088" s="4">
        <v>69</v>
      </c>
      <c r="M1088" s="4">
        <v>432</v>
      </c>
      <c r="N1088" s="4">
        <v>217</v>
      </c>
      <c r="O1088" s="5">
        <f t="shared" si="16"/>
        <v>0.11933074644302583</v>
      </c>
      <c r="P1088" s="2" t="s">
        <v>22</v>
      </c>
    </row>
    <row r="1089" spans="1:16" x14ac:dyDescent="0.25">
      <c r="A1089" s="6" t="s">
        <v>2247</v>
      </c>
      <c r="B1089" s="6" t="s">
        <v>2248</v>
      </c>
      <c r="C1089" s="6" t="s">
        <v>18</v>
      </c>
      <c r="D1089" s="7" t="s">
        <v>19</v>
      </c>
      <c r="E1089" s="7" t="s">
        <v>39</v>
      </c>
      <c r="F1089" s="6" t="s">
        <v>21</v>
      </c>
      <c r="G1089" s="8">
        <v>599676</v>
      </c>
      <c r="H1089" s="8">
        <v>62962</v>
      </c>
      <c r="I1089" s="8">
        <v>45055</v>
      </c>
      <c r="J1089" s="8">
        <v>2884</v>
      </c>
      <c r="K1089" s="8">
        <v>222</v>
      </c>
      <c r="L1089" s="8">
        <v>63</v>
      </c>
      <c r="M1089" s="8">
        <v>696</v>
      </c>
      <c r="N1089" s="8">
        <v>799</v>
      </c>
      <c r="O1089" s="9">
        <f t="shared" si="16"/>
        <v>8.5784041726778379E-2</v>
      </c>
      <c r="P1089" s="6" t="s">
        <v>29</v>
      </c>
    </row>
    <row r="1090" spans="1:16" x14ac:dyDescent="0.25">
      <c r="A1090" s="2" t="s">
        <v>2249</v>
      </c>
      <c r="B1090" s="2" t="s">
        <v>2250</v>
      </c>
      <c r="C1090" s="2" t="s">
        <v>43</v>
      </c>
      <c r="D1090" s="3" t="s">
        <v>110</v>
      </c>
      <c r="E1090" s="3" t="s">
        <v>27</v>
      </c>
      <c r="F1090" s="2" t="s">
        <v>107</v>
      </c>
      <c r="G1090" s="4">
        <v>345624</v>
      </c>
      <c r="H1090" s="4">
        <v>72370</v>
      </c>
      <c r="I1090" s="4">
        <v>52901</v>
      </c>
      <c r="J1090" s="4">
        <v>3911</v>
      </c>
      <c r="K1090" s="4">
        <v>392</v>
      </c>
      <c r="L1090" s="4">
        <v>379</v>
      </c>
      <c r="M1090" s="4">
        <v>36</v>
      </c>
      <c r="N1090" s="4">
        <v>825</v>
      </c>
      <c r="O1090" s="5">
        <f t="shared" ref="O1090:O1153" si="17">IF(I1090&gt;0, (J1090+K1090+L1090+M1090)/I1090, 0)</f>
        <v>8.9185459632143055E-2</v>
      </c>
      <c r="P1090" s="2" t="s">
        <v>29</v>
      </c>
    </row>
    <row r="1091" spans="1:16" x14ac:dyDescent="0.25">
      <c r="A1091" s="6" t="s">
        <v>2251</v>
      </c>
      <c r="B1091" s="6" t="s">
        <v>2252</v>
      </c>
      <c r="C1091" s="6" t="s">
        <v>18</v>
      </c>
      <c r="D1091" s="7" t="s">
        <v>57</v>
      </c>
      <c r="E1091" s="7" t="s">
        <v>34</v>
      </c>
      <c r="F1091" s="6" t="s">
        <v>58</v>
      </c>
      <c r="G1091" s="8">
        <v>770794</v>
      </c>
      <c r="H1091" s="8">
        <v>335997</v>
      </c>
      <c r="I1091" s="8">
        <v>273241</v>
      </c>
      <c r="J1091" s="8">
        <v>9567</v>
      </c>
      <c r="K1091" s="8">
        <v>967</v>
      </c>
      <c r="L1091" s="8">
        <v>1192</v>
      </c>
      <c r="M1091" s="8">
        <v>2029</v>
      </c>
      <c r="N1091" s="8">
        <v>2513</v>
      </c>
      <c r="O1091" s="9">
        <f t="shared" si="17"/>
        <v>5.0340175888684349E-2</v>
      </c>
      <c r="P1091" s="6" t="s">
        <v>66</v>
      </c>
    </row>
    <row r="1092" spans="1:16" x14ac:dyDescent="0.25">
      <c r="A1092" s="2" t="s">
        <v>2253</v>
      </c>
      <c r="B1092" s="2" t="s">
        <v>2254</v>
      </c>
      <c r="C1092" s="2" t="s">
        <v>18</v>
      </c>
      <c r="D1092" s="3" t="s">
        <v>226</v>
      </c>
      <c r="E1092" s="3" t="s">
        <v>20</v>
      </c>
      <c r="F1092" s="2" t="s">
        <v>58</v>
      </c>
      <c r="G1092" s="4">
        <v>814814</v>
      </c>
      <c r="H1092" s="4">
        <v>348855</v>
      </c>
      <c r="I1092" s="4">
        <v>296740</v>
      </c>
      <c r="J1092" s="4">
        <v>8415</v>
      </c>
      <c r="K1092" s="4">
        <v>1378</v>
      </c>
      <c r="L1092" s="4">
        <v>401</v>
      </c>
      <c r="M1092" s="4">
        <v>1904</v>
      </c>
      <c r="N1092" s="4">
        <v>10019</v>
      </c>
      <c r="O1092" s="5">
        <f t="shared" si="17"/>
        <v>4.0769697378176178E-2</v>
      </c>
      <c r="P1092" s="2" t="s">
        <v>22</v>
      </c>
    </row>
    <row r="1093" spans="1:16" x14ac:dyDescent="0.25">
      <c r="A1093" s="6" t="s">
        <v>2255</v>
      </c>
      <c r="B1093" s="6" t="s">
        <v>2256</v>
      </c>
      <c r="C1093" s="6" t="s">
        <v>25</v>
      </c>
      <c r="D1093" s="7" t="s">
        <v>244</v>
      </c>
      <c r="E1093" s="7" t="s">
        <v>20</v>
      </c>
      <c r="F1093" s="6" t="s">
        <v>65</v>
      </c>
      <c r="G1093" s="8">
        <v>558182</v>
      </c>
      <c r="H1093" s="8">
        <v>318925</v>
      </c>
      <c r="I1093" s="8">
        <v>253798</v>
      </c>
      <c r="J1093" s="8">
        <v>20640</v>
      </c>
      <c r="K1093" s="8">
        <v>2005</v>
      </c>
      <c r="L1093" s="8">
        <v>1991</v>
      </c>
      <c r="M1093" s="8">
        <v>1936</v>
      </c>
      <c r="N1093" s="8">
        <v>8461</v>
      </c>
      <c r="O1093" s="9">
        <f t="shared" si="17"/>
        <v>0.10469743654402321</v>
      </c>
      <c r="P1093" s="6" t="s">
        <v>22</v>
      </c>
    </row>
    <row r="1094" spans="1:16" x14ac:dyDescent="0.25">
      <c r="A1094" s="2" t="s">
        <v>2257</v>
      </c>
      <c r="B1094" s="2" t="s">
        <v>2258</v>
      </c>
      <c r="C1094" s="2" t="s">
        <v>43</v>
      </c>
      <c r="D1094" s="3" t="s">
        <v>110</v>
      </c>
      <c r="E1094" s="3" t="s">
        <v>20</v>
      </c>
      <c r="F1094" s="2" t="s">
        <v>46</v>
      </c>
      <c r="G1094" s="4">
        <v>841572</v>
      </c>
      <c r="H1094" s="4">
        <v>509191</v>
      </c>
      <c r="I1094" s="4">
        <v>458122</v>
      </c>
      <c r="J1094" s="4">
        <v>39789</v>
      </c>
      <c r="K1094" s="4">
        <v>2971</v>
      </c>
      <c r="L1094" s="4">
        <v>5528</v>
      </c>
      <c r="M1094" s="4">
        <v>34</v>
      </c>
      <c r="N1094" s="4">
        <v>3270</v>
      </c>
      <c r="O1094" s="5">
        <f t="shared" si="17"/>
        <v>0.1054784533377572</v>
      </c>
      <c r="P1094" s="2" t="s">
        <v>22</v>
      </c>
    </row>
    <row r="1095" spans="1:16" x14ac:dyDescent="0.25">
      <c r="A1095" s="6" t="s">
        <v>2259</v>
      </c>
      <c r="B1095" s="6" t="s">
        <v>2260</v>
      </c>
      <c r="C1095" s="6" t="s">
        <v>76</v>
      </c>
      <c r="D1095" s="7" t="s">
        <v>182</v>
      </c>
      <c r="E1095" s="7" t="s">
        <v>50</v>
      </c>
      <c r="F1095" s="6" t="s">
        <v>104</v>
      </c>
      <c r="G1095" s="8">
        <v>652485</v>
      </c>
      <c r="H1095" s="8">
        <v>81975</v>
      </c>
      <c r="I1095" s="8">
        <v>60258</v>
      </c>
      <c r="J1095" s="8">
        <v>4416</v>
      </c>
      <c r="K1095" s="8">
        <v>615</v>
      </c>
      <c r="L1095" s="8">
        <v>93</v>
      </c>
      <c r="M1095" s="8">
        <v>250</v>
      </c>
      <c r="N1095" s="8">
        <v>2713</v>
      </c>
      <c r="O1095" s="9">
        <f t="shared" si="17"/>
        <v>8.9183178996979653E-2</v>
      </c>
      <c r="P1095" s="6" t="s">
        <v>66</v>
      </c>
    </row>
    <row r="1096" spans="1:16" x14ac:dyDescent="0.25">
      <c r="A1096" s="2" t="s">
        <v>2261</v>
      </c>
      <c r="B1096" s="2" t="s">
        <v>2262</v>
      </c>
      <c r="C1096" s="2" t="s">
        <v>18</v>
      </c>
      <c r="D1096" s="3" t="s">
        <v>226</v>
      </c>
      <c r="E1096" s="3" t="s">
        <v>45</v>
      </c>
      <c r="F1096" s="2" t="s">
        <v>73</v>
      </c>
      <c r="G1096" s="4">
        <v>109157</v>
      </c>
      <c r="H1096" s="4">
        <v>14937</v>
      </c>
      <c r="I1096" s="4">
        <v>13731</v>
      </c>
      <c r="J1096" s="4">
        <v>713</v>
      </c>
      <c r="K1096" s="4">
        <v>75</v>
      </c>
      <c r="L1096" s="4">
        <v>50</v>
      </c>
      <c r="M1096" s="4">
        <v>121</v>
      </c>
      <c r="N1096" s="4">
        <v>382</v>
      </c>
      <c r="O1096" s="5">
        <f t="shared" si="17"/>
        <v>6.9841963440390356E-2</v>
      </c>
      <c r="P1096" s="2" t="s">
        <v>22</v>
      </c>
    </row>
    <row r="1097" spans="1:16" x14ac:dyDescent="0.25">
      <c r="A1097" s="6" t="s">
        <v>2263</v>
      </c>
      <c r="B1097" s="6" t="s">
        <v>2264</v>
      </c>
      <c r="C1097" s="6" t="s">
        <v>32</v>
      </c>
      <c r="D1097" s="7" t="s">
        <v>175</v>
      </c>
      <c r="E1097" s="7" t="s">
        <v>45</v>
      </c>
      <c r="F1097" s="6" t="s">
        <v>51</v>
      </c>
      <c r="G1097" s="8">
        <v>178860</v>
      </c>
      <c r="H1097" s="8">
        <v>55713</v>
      </c>
      <c r="I1097" s="8">
        <v>43545</v>
      </c>
      <c r="J1097" s="8">
        <v>1895</v>
      </c>
      <c r="K1097" s="8">
        <v>289</v>
      </c>
      <c r="L1097" s="8">
        <v>267</v>
      </c>
      <c r="M1097" s="8">
        <v>44</v>
      </c>
      <c r="N1097" s="8">
        <v>1850</v>
      </c>
      <c r="O1097" s="9">
        <f t="shared" si="17"/>
        <v>5.7297049029739353E-2</v>
      </c>
      <c r="P1097" s="6" t="s">
        <v>29</v>
      </c>
    </row>
    <row r="1098" spans="1:16" x14ac:dyDescent="0.25">
      <c r="A1098" s="2" t="s">
        <v>2265</v>
      </c>
      <c r="B1098" s="2" t="s">
        <v>2266</v>
      </c>
      <c r="C1098" s="2" t="s">
        <v>25</v>
      </c>
      <c r="D1098" s="3" t="s">
        <v>26</v>
      </c>
      <c r="E1098" s="3" t="s">
        <v>50</v>
      </c>
      <c r="F1098" s="2" t="s">
        <v>28</v>
      </c>
      <c r="G1098" s="4">
        <v>64912</v>
      </c>
      <c r="H1098" s="4">
        <v>348557</v>
      </c>
      <c r="I1098" s="4">
        <v>306291</v>
      </c>
      <c r="J1098" s="4">
        <v>26190</v>
      </c>
      <c r="K1098" s="4">
        <v>1095</v>
      </c>
      <c r="L1098" s="4">
        <v>901</v>
      </c>
      <c r="M1098" s="4">
        <v>2433</v>
      </c>
      <c r="N1098" s="4">
        <v>9266</v>
      </c>
      <c r="O1098" s="5">
        <f t="shared" si="17"/>
        <v>9.9967024822799233E-2</v>
      </c>
      <c r="P1098" s="2" t="s">
        <v>22</v>
      </c>
    </row>
    <row r="1099" spans="1:16" x14ac:dyDescent="0.25">
      <c r="A1099" s="6" t="s">
        <v>2267</v>
      </c>
      <c r="B1099" s="6" t="s">
        <v>2268</v>
      </c>
      <c r="C1099" s="6" t="s">
        <v>43</v>
      </c>
      <c r="D1099" s="7" t="s">
        <v>110</v>
      </c>
      <c r="E1099" s="7" t="s">
        <v>39</v>
      </c>
      <c r="F1099" s="6" t="s">
        <v>107</v>
      </c>
      <c r="G1099" s="8">
        <v>650137</v>
      </c>
      <c r="H1099" s="8">
        <v>214347</v>
      </c>
      <c r="I1099" s="8">
        <v>195117</v>
      </c>
      <c r="J1099" s="8">
        <v>10618</v>
      </c>
      <c r="K1099" s="8">
        <v>1536</v>
      </c>
      <c r="L1099" s="8">
        <v>1184</v>
      </c>
      <c r="M1099" s="8">
        <v>8</v>
      </c>
      <c r="N1099" s="8">
        <v>4053</v>
      </c>
      <c r="O1099" s="9">
        <f t="shared" si="17"/>
        <v>6.8399985649635855E-2</v>
      </c>
      <c r="P1099" s="6" t="s">
        <v>22</v>
      </c>
    </row>
    <row r="1100" spans="1:16" x14ac:dyDescent="0.25">
      <c r="A1100" s="2" t="s">
        <v>2269</v>
      </c>
      <c r="B1100" s="2" t="s">
        <v>2270</v>
      </c>
      <c r="C1100" s="2" t="s">
        <v>18</v>
      </c>
      <c r="D1100" s="3" t="s">
        <v>226</v>
      </c>
      <c r="E1100" s="3" t="s">
        <v>20</v>
      </c>
      <c r="F1100" s="2" t="s">
        <v>73</v>
      </c>
      <c r="G1100" s="4">
        <v>789976</v>
      </c>
      <c r="H1100" s="4">
        <v>84876</v>
      </c>
      <c r="I1100" s="4">
        <v>64788</v>
      </c>
      <c r="J1100" s="4">
        <v>5147</v>
      </c>
      <c r="K1100" s="4">
        <v>321</v>
      </c>
      <c r="L1100" s="4">
        <v>306</v>
      </c>
      <c r="M1100" s="4">
        <v>999</v>
      </c>
      <c r="N1100" s="4">
        <v>941</v>
      </c>
      <c r="O1100" s="5">
        <f t="shared" si="17"/>
        <v>0.10454096437611904</v>
      </c>
      <c r="P1100" s="2" t="s">
        <v>66</v>
      </c>
    </row>
    <row r="1101" spans="1:16" x14ac:dyDescent="0.25">
      <c r="A1101" s="6" t="s">
        <v>2271</v>
      </c>
      <c r="B1101" s="6" t="s">
        <v>2272</v>
      </c>
      <c r="C1101" s="6" t="s">
        <v>25</v>
      </c>
      <c r="D1101" s="7" t="s">
        <v>145</v>
      </c>
      <c r="E1101" s="7" t="s">
        <v>20</v>
      </c>
      <c r="F1101" s="6" t="s">
        <v>65</v>
      </c>
      <c r="G1101" s="8">
        <v>50322</v>
      </c>
      <c r="H1101" s="8">
        <v>24067</v>
      </c>
      <c r="I1101" s="8">
        <v>18351</v>
      </c>
      <c r="J1101" s="8">
        <v>585</v>
      </c>
      <c r="K1101" s="8">
        <v>43</v>
      </c>
      <c r="L1101" s="8">
        <v>58</v>
      </c>
      <c r="M1101" s="8">
        <v>40</v>
      </c>
      <c r="N1101" s="8">
        <v>280</v>
      </c>
      <c r="O1101" s="9">
        <f t="shared" si="17"/>
        <v>3.9561876736962563E-2</v>
      </c>
      <c r="P1101" s="6" t="s">
        <v>29</v>
      </c>
    </row>
    <row r="1102" spans="1:16" x14ac:dyDescent="0.25">
      <c r="A1102" s="2" t="s">
        <v>2273</v>
      </c>
      <c r="B1102" s="2" t="s">
        <v>2274</v>
      </c>
      <c r="C1102" s="2" t="s">
        <v>25</v>
      </c>
      <c r="D1102" s="3" t="s">
        <v>61</v>
      </c>
      <c r="E1102" s="3" t="s">
        <v>50</v>
      </c>
      <c r="F1102" s="2" t="s">
        <v>28</v>
      </c>
      <c r="G1102" s="4">
        <v>799381</v>
      </c>
      <c r="H1102" s="4">
        <v>478271</v>
      </c>
      <c r="I1102" s="4">
        <v>394457</v>
      </c>
      <c r="J1102" s="4">
        <v>13769</v>
      </c>
      <c r="K1102" s="4">
        <v>1159</v>
      </c>
      <c r="L1102" s="4">
        <v>401</v>
      </c>
      <c r="M1102" s="4">
        <v>851</v>
      </c>
      <c r="N1102" s="4">
        <v>16219</v>
      </c>
      <c r="O1102" s="5">
        <f t="shared" si="17"/>
        <v>4.101841265334371E-2</v>
      </c>
      <c r="P1102" s="2" t="s">
        <v>22</v>
      </c>
    </row>
    <row r="1103" spans="1:16" x14ac:dyDescent="0.25">
      <c r="A1103" s="6" t="s">
        <v>2275</v>
      </c>
      <c r="B1103" s="6" t="s">
        <v>2276</v>
      </c>
      <c r="C1103" s="6" t="s">
        <v>32</v>
      </c>
      <c r="D1103" s="7" t="s">
        <v>33</v>
      </c>
      <c r="E1103" s="7" t="s">
        <v>39</v>
      </c>
      <c r="F1103" s="6" t="s">
        <v>128</v>
      </c>
      <c r="G1103" s="8">
        <v>79767</v>
      </c>
      <c r="H1103" s="8">
        <v>38987</v>
      </c>
      <c r="I1103" s="8">
        <v>29544</v>
      </c>
      <c r="J1103" s="8">
        <v>2600</v>
      </c>
      <c r="K1103" s="8">
        <v>427</v>
      </c>
      <c r="L1103" s="8">
        <v>388</v>
      </c>
      <c r="M1103" s="8">
        <v>32</v>
      </c>
      <c r="N1103" s="8">
        <v>507</v>
      </c>
      <c r="O1103" s="9">
        <f t="shared" si="17"/>
        <v>0.11667343623070674</v>
      </c>
      <c r="P1103" s="6" t="s">
        <v>29</v>
      </c>
    </row>
    <row r="1104" spans="1:16" x14ac:dyDescent="0.25">
      <c r="A1104" s="2" t="s">
        <v>2277</v>
      </c>
      <c r="B1104" s="2" t="s">
        <v>2278</v>
      </c>
      <c r="C1104" s="2" t="s">
        <v>43</v>
      </c>
      <c r="D1104" s="3" t="s">
        <v>110</v>
      </c>
      <c r="E1104" s="3" t="s">
        <v>50</v>
      </c>
      <c r="F1104" s="2" t="s">
        <v>107</v>
      </c>
      <c r="G1104" s="4">
        <v>735338</v>
      </c>
      <c r="H1104" s="4">
        <v>215992</v>
      </c>
      <c r="I1104" s="4">
        <v>152169</v>
      </c>
      <c r="J1104" s="4">
        <v>9408</v>
      </c>
      <c r="K1104" s="4">
        <v>929</v>
      </c>
      <c r="L1104" s="4">
        <v>1116</v>
      </c>
      <c r="M1104" s="4">
        <v>10</v>
      </c>
      <c r="N1104" s="4">
        <v>3245</v>
      </c>
      <c r="O1104" s="5">
        <f t="shared" si="17"/>
        <v>7.5330717820318194E-2</v>
      </c>
      <c r="P1104" s="2" t="s">
        <v>22</v>
      </c>
    </row>
    <row r="1105" spans="1:16" x14ac:dyDescent="0.25">
      <c r="A1105" s="6" t="s">
        <v>2279</v>
      </c>
      <c r="B1105" s="6" t="s">
        <v>2280</v>
      </c>
      <c r="C1105" s="6" t="s">
        <v>76</v>
      </c>
      <c r="D1105" s="7" t="s">
        <v>77</v>
      </c>
      <c r="E1105" s="7" t="s">
        <v>39</v>
      </c>
      <c r="F1105" s="6" t="s">
        <v>155</v>
      </c>
      <c r="G1105" s="8">
        <v>400416</v>
      </c>
      <c r="H1105" s="8">
        <v>61705</v>
      </c>
      <c r="I1105" s="8">
        <v>45686</v>
      </c>
      <c r="J1105" s="8">
        <v>1625</v>
      </c>
      <c r="K1105" s="8">
        <v>179</v>
      </c>
      <c r="L1105" s="8">
        <v>71</v>
      </c>
      <c r="M1105" s="8">
        <v>101</v>
      </c>
      <c r="N1105" s="8">
        <v>654</v>
      </c>
      <c r="O1105" s="9">
        <f t="shared" si="17"/>
        <v>4.3251762027754673E-2</v>
      </c>
      <c r="P1105" s="6" t="s">
        <v>66</v>
      </c>
    </row>
    <row r="1106" spans="1:16" x14ac:dyDescent="0.25">
      <c r="A1106" s="2" t="s">
        <v>2281</v>
      </c>
      <c r="B1106" s="2" t="s">
        <v>2282</v>
      </c>
      <c r="C1106" s="2" t="s">
        <v>25</v>
      </c>
      <c r="D1106" s="3" t="s">
        <v>244</v>
      </c>
      <c r="E1106" s="3" t="s">
        <v>50</v>
      </c>
      <c r="F1106" s="2" t="s">
        <v>54</v>
      </c>
      <c r="G1106" s="4">
        <v>75631</v>
      </c>
      <c r="H1106" s="4">
        <v>381448</v>
      </c>
      <c r="I1106" s="4">
        <v>270356</v>
      </c>
      <c r="J1106" s="4">
        <v>28113</v>
      </c>
      <c r="K1106" s="4">
        <v>2621</v>
      </c>
      <c r="L1106" s="4">
        <v>3035</v>
      </c>
      <c r="M1106" s="4">
        <v>3408</v>
      </c>
      <c r="N1106" s="4">
        <v>1971</v>
      </c>
      <c r="O1106" s="5">
        <f t="shared" si="17"/>
        <v>0.1375112814215331</v>
      </c>
      <c r="P1106" s="2" t="s">
        <v>29</v>
      </c>
    </row>
    <row r="1107" spans="1:16" x14ac:dyDescent="0.25">
      <c r="A1107" s="6" t="s">
        <v>2283</v>
      </c>
      <c r="B1107" s="6" t="s">
        <v>2284</v>
      </c>
      <c r="C1107" s="6" t="s">
        <v>43</v>
      </c>
      <c r="D1107" s="7" t="s">
        <v>110</v>
      </c>
      <c r="E1107" s="7" t="s">
        <v>20</v>
      </c>
      <c r="F1107" s="6" t="s">
        <v>70</v>
      </c>
      <c r="G1107" s="8">
        <v>161324</v>
      </c>
      <c r="H1107" s="8">
        <v>23632</v>
      </c>
      <c r="I1107" s="8">
        <v>18583</v>
      </c>
      <c r="J1107" s="8">
        <v>784</v>
      </c>
      <c r="K1107" s="8">
        <v>39</v>
      </c>
      <c r="L1107" s="8">
        <v>110</v>
      </c>
      <c r="M1107" s="8">
        <v>18</v>
      </c>
      <c r="N1107" s="8">
        <v>753</v>
      </c>
      <c r="O1107" s="9">
        <f t="shared" si="17"/>
        <v>5.1175805844051014E-2</v>
      </c>
      <c r="P1107" s="6" t="s">
        <v>22</v>
      </c>
    </row>
    <row r="1108" spans="1:16" x14ac:dyDescent="0.25">
      <c r="A1108" s="2" t="s">
        <v>2285</v>
      </c>
      <c r="B1108" s="2" t="s">
        <v>2286</v>
      </c>
      <c r="C1108" s="2" t="s">
        <v>43</v>
      </c>
      <c r="D1108" s="3" t="s">
        <v>172</v>
      </c>
      <c r="E1108" s="3" t="s">
        <v>27</v>
      </c>
      <c r="F1108" s="2" t="s">
        <v>46</v>
      </c>
      <c r="G1108" s="4">
        <v>341481</v>
      </c>
      <c r="H1108" s="4">
        <v>194849</v>
      </c>
      <c r="I1108" s="4">
        <v>143724</v>
      </c>
      <c r="J1108" s="4">
        <v>12512</v>
      </c>
      <c r="K1108" s="4">
        <v>1822</v>
      </c>
      <c r="L1108" s="4">
        <v>757</v>
      </c>
      <c r="M1108" s="4">
        <v>25</v>
      </c>
      <c r="N1108" s="4">
        <v>1245</v>
      </c>
      <c r="O1108" s="5">
        <f t="shared" si="17"/>
        <v>0.10517380534914141</v>
      </c>
      <c r="P1108" s="2" t="s">
        <v>66</v>
      </c>
    </row>
    <row r="1109" spans="1:16" x14ac:dyDescent="0.25">
      <c r="A1109" s="6" t="s">
        <v>2287</v>
      </c>
      <c r="B1109" s="6" t="s">
        <v>2288</v>
      </c>
      <c r="C1109" s="6" t="s">
        <v>25</v>
      </c>
      <c r="D1109" s="7" t="s">
        <v>145</v>
      </c>
      <c r="E1109" s="7" t="s">
        <v>45</v>
      </c>
      <c r="F1109" s="6" t="s">
        <v>146</v>
      </c>
      <c r="G1109" s="8">
        <v>482300</v>
      </c>
      <c r="H1109" s="8">
        <v>181719</v>
      </c>
      <c r="I1109" s="8">
        <v>137431</v>
      </c>
      <c r="J1109" s="8">
        <v>14355</v>
      </c>
      <c r="K1109" s="8">
        <v>2346</v>
      </c>
      <c r="L1109" s="8">
        <v>1583</v>
      </c>
      <c r="M1109" s="8">
        <v>1079</v>
      </c>
      <c r="N1109" s="8">
        <v>5854</v>
      </c>
      <c r="O1109" s="9">
        <f t="shared" si="17"/>
        <v>0.14089252061034263</v>
      </c>
      <c r="P1109" s="6" t="s">
        <v>22</v>
      </c>
    </row>
    <row r="1110" spans="1:16" x14ac:dyDescent="0.25">
      <c r="A1110" s="2" t="s">
        <v>2289</v>
      </c>
      <c r="B1110" s="2" t="s">
        <v>2290</v>
      </c>
      <c r="C1110" s="2" t="s">
        <v>25</v>
      </c>
      <c r="D1110" s="3" t="s">
        <v>61</v>
      </c>
      <c r="E1110" s="3" t="s">
        <v>34</v>
      </c>
      <c r="F1110" s="2" t="s">
        <v>146</v>
      </c>
      <c r="G1110" s="4">
        <v>200728</v>
      </c>
      <c r="H1110" s="4">
        <v>125603</v>
      </c>
      <c r="I1110" s="4">
        <v>105801</v>
      </c>
      <c r="J1110" s="4">
        <v>7094</v>
      </c>
      <c r="K1110" s="4">
        <v>915</v>
      </c>
      <c r="L1110" s="4">
        <v>204</v>
      </c>
      <c r="M1110" s="4">
        <v>1641</v>
      </c>
      <c r="N1110" s="4">
        <v>2604</v>
      </c>
      <c r="O1110" s="5">
        <f t="shared" si="17"/>
        <v>9.3137115906276879E-2</v>
      </c>
      <c r="P1110" s="2" t="s">
        <v>22</v>
      </c>
    </row>
    <row r="1111" spans="1:16" x14ac:dyDescent="0.25">
      <c r="A1111" s="6" t="s">
        <v>2291</v>
      </c>
      <c r="B1111" s="6" t="s">
        <v>2292</v>
      </c>
      <c r="C1111" s="6" t="s">
        <v>18</v>
      </c>
      <c r="D1111" s="7" t="s">
        <v>92</v>
      </c>
      <c r="E1111" s="7" t="s">
        <v>34</v>
      </c>
      <c r="F1111" s="6" t="s">
        <v>58</v>
      </c>
      <c r="G1111" s="8">
        <v>114085</v>
      </c>
      <c r="H1111" s="8">
        <v>41844</v>
      </c>
      <c r="I1111" s="8">
        <v>34220</v>
      </c>
      <c r="J1111" s="8">
        <v>1671</v>
      </c>
      <c r="K1111" s="8">
        <v>188</v>
      </c>
      <c r="L1111" s="8">
        <v>192</v>
      </c>
      <c r="M1111" s="8">
        <v>377</v>
      </c>
      <c r="N1111" s="8">
        <v>923</v>
      </c>
      <c r="O1111" s="9">
        <f t="shared" si="17"/>
        <v>7.0952659263588541E-2</v>
      </c>
      <c r="P1111" s="6" t="s">
        <v>22</v>
      </c>
    </row>
    <row r="1112" spans="1:16" x14ac:dyDescent="0.25">
      <c r="A1112" s="2" t="s">
        <v>2293</v>
      </c>
      <c r="B1112" s="2" t="s">
        <v>2294</v>
      </c>
      <c r="C1112" s="2" t="s">
        <v>76</v>
      </c>
      <c r="D1112" s="3" t="s">
        <v>182</v>
      </c>
      <c r="E1112" s="3" t="s">
        <v>27</v>
      </c>
      <c r="F1112" s="2" t="s">
        <v>87</v>
      </c>
      <c r="G1112" s="4">
        <v>745761</v>
      </c>
      <c r="H1112" s="4">
        <v>481520</v>
      </c>
      <c r="I1112" s="4">
        <v>434223</v>
      </c>
      <c r="J1112" s="4">
        <v>23462</v>
      </c>
      <c r="K1112" s="4">
        <v>3398</v>
      </c>
      <c r="L1112" s="4">
        <v>2602</v>
      </c>
      <c r="M1112" s="4">
        <v>5199</v>
      </c>
      <c r="N1112" s="4">
        <v>3377</v>
      </c>
      <c r="O1112" s="5">
        <f t="shared" si="17"/>
        <v>7.9823040235086573E-2</v>
      </c>
      <c r="P1112" s="2" t="s">
        <v>66</v>
      </c>
    </row>
    <row r="1113" spans="1:16" x14ac:dyDescent="0.25">
      <c r="A1113" s="6" t="s">
        <v>2295</v>
      </c>
      <c r="B1113" s="6" t="s">
        <v>2296</v>
      </c>
      <c r="C1113" s="6" t="s">
        <v>43</v>
      </c>
      <c r="D1113" s="7" t="s">
        <v>69</v>
      </c>
      <c r="E1113" s="7" t="s">
        <v>20</v>
      </c>
      <c r="F1113" s="6" t="s">
        <v>107</v>
      </c>
      <c r="G1113" s="8">
        <v>292023</v>
      </c>
      <c r="H1113" s="8">
        <v>170184</v>
      </c>
      <c r="I1113" s="8">
        <v>143740</v>
      </c>
      <c r="J1113" s="8">
        <v>13568</v>
      </c>
      <c r="K1113" s="8">
        <v>688</v>
      </c>
      <c r="L1113" s="8">
        <v>1545</v>
      </c>
      <c r="M1113" s="8">
        <v>30</v>
      </c>
      <c r="N1113" s="8">
        <v>1680</v>
      </c>
      <c r="O1113" s="9">
        <f t="shared" si="17"/>
        <v>0.110136357311813</v>
      </c>
      <c r="P1113" s="6" t="s">
        <v>22</v>
      </c>
    </row>
    <row r="1114" spans="1:16" x14ac:dyDescent="0.25">
      <c r="A1114" s="2" t="s">
        <v>2297</v>
      </c>
      <c r="B1114" s="2" t="s">
        <v>2298</v>
      </c>
      <c r="C1114" s="2" t="s">
        <v>43</v>
      </c>
      <c r="D1114" s="3" t="s">
        <v>44</v>
      </c>
      <c r="E1114" s="3" t="s">
        <v>45</v>
      </c>
      <c r="F1114" s="2" t="s">
        <v>70</v>
      </c>
      <c r="G1114" s="4">
        <v>144341</v>
      </c>
      <c r="H1114" s="4">
        <v>24339</v>
      </c>
      <c r="I1114" s="4">
        <v>17512</v>
      </c>
      <c r="J1114" s="4">
        <v>893</v>
      </c>
      <c r="K1114" s="4">
        <v>159</v>
      </c>
      <c r="L1114" s="4">
        <v>93</v>
      </c>
      <c r="M1114" s="4">
        <v>46</v>
      </c>
      <c r="N1114" s="4">
        <v>217</v>
      </c>
      <c r="O1114" s="5">
        <f t="shared" si="17"/>
        <v>6.8010507080858845E-2</v>
      </c>
      <c r="P1114" s="2" t="s">
        <v>29</v>
      </c>
    </row>
    <row r="1115" spans="1:16" x14ac:dyDescent="0.25">
      <c r="A1115" s="6" t="s">
        <v>2299</v>
      </c>
      <c r="B1115" s="6" t="s">
        <v>2300</v>
      </c>
      <c r="C1115" s="6" t="s">
        <v>32</v>
      </c>
      <c r="D1115" s="7" t="s">
        <v>38</v>
      </c>
      <c r="E1115" s="7" t="s">
        <v>27</v>
      </c>
      <c r="F1115" s="6" t="s">
        <v>51</v>
      </c>
      <c r="G1115" s="8">
        <v>737657</v>
      </c>
      <c r="H1115" s="8">
        <v>1526506</v>
      </c>
      <c r="I1115" s="8">
        <v>1315318</v>
      </c>
      <c r="J1115" s="8">
        <v>42215</v>
      </c>
      <c r="K1115" s="8">
        <v>5281</v>
      </c>
      <c r="L1115" s="8">
        <v>6215</v>
      </c>
      <c r="M1115" s="8">
        <v>17</v>
      </c>
      <c r="N1115" s="8">
        <v>50547</v>
      </c>
      <c r="O1115" s="9">
        <f t="shared" si="17"/>
        <v>4.0847916625485245E-2</v>
      </c>
      <c r="P1115" s="6" t="s">
        <v>29</v>
      </c>
    </row>
    <row r="1116" spans="1:16" x14ac:dyDescent="0.25">
      <c r="A1116" s="2" t="s">
        <v>2301</v>
      </c>
      <c r="B1116" s="2" t="s">
        <v>2302</v>
      </c>
      <c r="C1116" s="2" t="s">
        <v>32</v>
      </c>
      <c r="D1116" s="3" t="s">
        <v>121</v>
      </c>
      <c r="E1116" s="3" t="s">
        <v>50</v>
      </c>
      <c r="F1116" s="2" t="s">
        <v>51</v>
      </c>
      <c r="G1116" s="4">
        <v>731734</v>
      </c>
      <c r="H1116" s="4">
        <v>160182</v>
      </c>
      <c r="I1116" s="4">
        <v>118962</v>
      </c>
      <c r="J1116" s="4">
        <v>11839</v>
      </c>
      <c r="K1116" s="4">
        <v>1703</v>
      </c>
      <c r="L1116" s="4">
        <v>1011</v>
      </c>
      <c r="M1116" s="4">
        <v>26</v>
      </c>
      <c r="N1116" s="4">
        <v>2412</v>
      </c>
      <c r="O1116" s="5">
        <f t="shared" si="17"/>
        <v>0.12255173921084044</v>
      </c>
      <c r="P1116" s="2" t="s">
        <v>22</v>
      </c>
    </row>
    <row r="1117" spans="1:16" x14ac:dyDescent="0.25">
      <c r="A1117" s="6" t="s">
        <v>2303</v>
      </c>
      <c r="B1117" s="6" t="s">
        <v>2304</v>
      </c>
      <c r="C1117" s="6" t="s">
        <v>76</v>
      </c>
      <c r="D1117" s="7" t="s">
        <v>103</v>
      </c>
      <c r="E1117" s="7" t="s">
        <v>45</v>
      </c>
      <c r="F1117" s="6" t="s">
        <v>155</v>
      </c>
      <c r="G1117" s="8">
        <v>463842</v>
      </c>
      <c r="H1117" s="8">
        <v>131192</v>
      </c>
      <c r="I1117" s="8">
        <v>94603</v>
      </c>
      <c r="J1117" s="8">
        <v>6852</v>
      </c>
      <c r="K1117" s="8">
        <v>341</v>
      </c>
      <c r="L1117" s="8">
        <v>200</v>
      </c>
      <c r="M1117" s="8">
        <v>374</v>
      </c>
      <c r="N1117" s="8">
        <v>1293</v>
      </c>
      <c r="O1117" s="9">
        <f t="shared" si="17"/>
        <v>8.2100990454848158E-2</v>
      </c>
      <c r="P1117" s="6" t="s">
        <v>22</v>
      </c>
    </row>
    <row r="1118" spans="1:16" x14ac:dyDescent="0.25">
      <c r="A1118" s="2" t="s">
        <v>2305</v>
      </c>
      <c r="B1118" s="2" t="s">
        <v>2306</v>
      </c>
      <c r="C1118" s="2" t="s">
        <v>76</v>
      </c>
      <c r="D1118" s="3" t="s">
        <v>182</v>
      </c>
      <c r="E1118" s="3" t="s">
        <v>50</v>
      </c>
      <c r="F1118" s="2" t="s">
        <v>104</v>
      </c>
      <c r="G1118" s="4">
        <v>640158</v>
      </c>
      <c r="H1118" s="4">
        <v>395993</v>
      </c>
      <c r="I1118" s="4">
        <v>342453</v>
      </c>
      <c r="J1118" s="4">
        <v>20533</v>
      </c>
      <c r="K1118" s="4">
        <v>983</v>
      </c>
      <c r="L1118" s="4">
        <v>2506</v>
      </c>
      <c r="M1118" s="4">
        <v>2109</v>
      </c>
      <c r="N1118" s="4">
        <v>11984</v>
      </c>
      <c r="O1118" s="5">
        <f t="shared" si="17"/>
        <v>7.6305361611666414E-2</v>
      </c>
      <c r="P1118" s="2" t="s">
        <v>29</v>
      </c>
    </row>
    <row r="1119" spans="1:16" x14ac:dyDescent="0.25">
      <c r="A1119" s="6" t="s">
        <v>2307</v>
      </c>
      <c r="B1119" s="6" t="s">
        <v>2308</v>
      </c>
      <c r="C1119" s="6" t="s">
        <v>32</v>
      </c>
      <c r="D1119" s="7" t="s">
        <v>121</v>
      </c>
      <c r="E1119" s="7" t="s">
        <v>20</v>
      </c>
      <c r="F1119" s="6" t="s">
        <v>51</v>
      </c>
      <c r="G1119" s="8">
        <v>597555</v>
      </c>
      <c r="H1119" s="8">
        <v>343666</v>
      </c>
      <c r="I1119" s="8">
        <v>272305</v>
      </c>
      <c r="J1119" s="8">
        <v>7161</v>
      </c>
      <c r="K1119" s="8">
        <v>274</v>
      </c>
      <c r="L1119" s="8">
        <v>521</v>
      </c>
      <c r="M1119" s="8">
        <v>23</v>
      </c>
      <c r="N1119" s="8">
        <v>11707</v>
      </c>
      <c r="O1119" s="9">
        <f t="shared" si="17"/>
        <v>2.930170213547309E-2</v>
      </c>
      <c r="P1119" s="6" t="s">
        <v>22</v>
      </c>
    </row>
    <row r="1120" spans="1:16" x14ac:dyDescent="0.25">
      <c r="A1120" s="2" t="s">
        <v>2309</v>
      </c>
      <c r="B1120" s="2" t="s">
        <v>2310</v>
      </c>
      <c r="C1120" s="2" t="s">
        <v>76</v>
      </c>
      <c r="D1120" s="3" t="s">
        <v>182</v>
      </c>
      <c r="E1120" s="3" t="s">
        <v>20</v>
      </c>
      <c r="F1120" s="2" t="s">
        <v>104</v>
      </c>
      <c r="G1120" s="4">
        <v>162902</v>
      </c>
      <c r="H1120" s="4">
        <v>60586</v>
      </c>
      <c r="I1120" s="4">
        <v>47235</v>
      </c>
      <c r="J1120" s="4">
        <v>1431</v>
      </c>
      <c r="K1120" s="4">
        <v>167</v>
      </c>
      <c r="L1120" s="4">
        <v>173</v>
      </c>
      <c r="M1120" s="4">
        <v>295</v>
      </c>
      <c r="N1120" s="4">
        <v>849</v>
      </c>
      <c r="O1120" s="5">
        <f t="shared" si="17"/>
        <v>4.3738753043294165E-2</v>
      </c>
      <c r="P1120" s="2" t="s">
        <v>22</v>
      </c>
    </row>
    <row r="1121" spans="1:16" x14ac:dyDescent="0.25">
      <c r="A1121" s="6" t="s">
        <v>2311</v>
      </c>
      <c r="B1121" s="6" t="s">
        <v>2312</v>
      </c>
      <c r="C1121" s="6" t="s">
        <v>18</v>
      </c>
      <c r="D1121" s="7" t="s">
        <v>92</v>
      </c>
      <c r="E1121" s="7" t="s">
        <v>20</v>
      </c>
      <c r="F1121" s="6" t="s">
        <v>73</v>
      </c>
      <c r="G1121" s="8">
        <v>238135</v>
      </c>
      <c r="H1121" s="8">
        <v>65715</v>
      </c>
      <c r="I1121" s="8">
        <v>55357</v>
      </c>
      <c r="J1121" s="8">
        <v>2800</v>
      </c>
      <c r="K1121" s="8">
        <v>274</v>
      </c>
      <c r="L1121" s="8">
        <v>103</v>
      </c>
      <c r="M1121" s="8">
        <v>234</v>
      </c>
      <c r="N1121" s="8">
        <v>594</v>
      </c>
      <c r="O1121" s="9">
        <f t="shared" si="17"/>
        <v>6.1618223530899435E-2</v>
      </c>
      <c r="P1121" s="6" t="s">
        <v>66</v>
      </c>
    </row>
    <row r="1122" spans="1:16" x14ac:dyDescent="0.25">
      <c r="A1122" s="2" t="s">
        <v>2313</v>
      </c>
      <c r="B1122" s="2" t="s">
        <v>2314</v>
      </c>
      <c r="C1122" s="2" t="s">
        <v>18</v>
      </c>
      <c r="D1122" s="3" t="s">
        <v>19</v>
      </c>
      <c r="E1122" s="3" t="s">
        <v>39</v>
      </c>
      <c r="F1122" s="2" t="s">
        <v>73</v>
      </c>
      <c r="G1122" s="4">
        <v>146621</v>
      </c>
      <c r="H1122" s="4">
        <v>73477</v>
      </c>
      <c r="I1122" s="4">
        <v>60402</v>
      </c>
      <c r="J1122" s="4">
        <v>2882</v>
      </c>
      <c r="K1122" s="4">
        <v>377</v>
      </c>
      <c r="L1122" s="4">
        <v>95</v>
      </c>
      <c r="M1122" s="4">
        <v>440</v>
      </c>
      <c r="N1122" s="4">
        <v>1498</v>
      </c>
      <c r="O1122" s="5">
        <f t="shared" si="17"/>
        <v>6.2812489652660508E-2</v>
      </c>
      <c r="P1122" s="2" t="s">
        <v>66</v>
      </c>
    </row>
    <row r="1123" spans="1:16" x14ac:dyDescent="0.25">
      <c r="A1123" s="6" t="s">
        <v>2315</v>
      </c>
      <c r="B1123" s="6" t="s">
        <v>2316</v>
      </c>
      <c r="C1123" s="6" t="s">
        <v>43</v>
      </c>
      <c r="D1123" s="7" t="s">
        <v>172</v>
      </c>
      <c r="E1123" s="7" t="s">
        <v>34</v>
      </c>
      <c r="F1123" s="6" t="s">
        <v>107</v>
      </c>
      <c r="G1123" s="8">
        <v>655526</v>
      </c>
      <c r="H1123" s="8">
        <v>107562</v>
      </c>
      <c r="I1123" s="8">
        <v>92434</v>
      </c>
      <c r="J1123" s="8">
        <v>8007</v>
      </c>
      <c r="K1123" s="8">
        <v>1094</v>
      </c>
      <c r="L1123" s="8">
        <v>845</v>
      </c>
      <c r="M1123" s="8">
        <v>36</v>
      </c>
      <c r="N1123" s="8">
        <v>2740</v>
      </c>
      <c r="O1123" s="9">
        <f t="shared" si="17"/>
        <v>0.10799056624185906</v>
      </c>
      <c r="P1123" s="6" t="s">
        <v>22</v>
      </c>
    </row>
    <row r="1124" spans="1:16" x14ac:dyDescent="0.25">
      <c r="A1124" s="2" t="s">
        <v>2317</v>
      </c>
      <c r="B1124" s="2" t="s">
        <v>2318</v>
      </c>
      <c r="C1124" s="2" t="s">
        <v>25</v>
      </c>
      <c r="D1124" s="3" t="s">
        <v>64</v>
      </c>
      <c r="E1124" s="3" t="s">
        <v>45</v>
      </c>
      <c r="F1124" s="2" t="s">
        <v>28</v>
      </c>
      <c r="G1124" s="4">
        <v>485823</v>
      </c>
      <c r="H1124" s="4">
        <v>90555</v>
      </c>
      <c r="I1124" s="4">
        <v>76670</v>
      </c>
      <c r="J1124" s="4">
        <v>3792</v>
      </c>
      <c r="K1124" s="4">
        <v>247</v>
      </c>
      <c r="L1124" s="4">
        <v>196</v>
      </c>
      <c r="M1124" s="4">
        <v>909</v>
      </c>
      <c r="N1124" s="4">
        <v>3031</v>
      </c>
      <c r="O1124" s="5">
        <f t="shared" si="17"/>
        <v>6.709273509847398E-2</v>
      </c>
      <c r="P1124" s="2" t="s">
        <v>22</v>
      </c>
    </row>
    <row r="1125" spans="1:16" x14ac:dyDescent="0.25">
      <c r="A1125" s="6" t="s">
        <v>2319</v>
      </c>
      <c r="B1125" s="6" t="s">
        <v>2320</v>
      </c>
      <c r="C1125" s="6" t="s">
        <v>18</v>
      </c>
      <c r="D1125" s="7" t="s">
        <v>92</v>
      </c>
      <c r="E1125" s="7" t="s">
        <v>39</v>
      </c>
      <c r="F1125" s="6" t="s">
        <v>58</v>
      </c>
      <c r="G1125" s="8">
        <v>31849</v>
      </c>
      <c r="H1125" s="8">
        <v>15596</v>
      </c>
      <c r="I1125" s="8">
        <v>13880</v>
      </c>
      <c r="J1125" s="8">
        <v>1040</v>
      </c>
      <c r="K1125" s="8">
        <v>92</v>
      </c>
      <c r="L1125" s="8">
        <v>114</v>
      </c>
      <c r="M1125" s="8">
        <v>192</v>
      </c>
      <c r="N1125" s="8">
        <v>311</v>
      </c>
      <c r="O1125" s="9">
        <f t="shared" si="17"/>
        <v>0.10360230547550432</v>
      </c>
      <c r="P1125" s="6" t="s">
        <v>29</v>
      </c>
    </row>
    <row r="1126" spans="1:16" x14ac:dyDescent="0.25">
      <c r="A1126" s="2" t="s">
        <v>2321</v>
      </c>
      <c r="B1126" s="2" t="s">
        <v>2322</v>
      </c>
      <c r="C1126" s="2" t="s">
        <v>18</v>
      </c>
      <c r="D1126" s="3" t="s">
        <v>231</v>
      </c>
      <c r="E1126" s="3" t="s">
        <v>20</v>
      </c>
      <c r="F1126" s="2" t="s">
        <v>58</v>
      </c>
      <c r="G1126" s="4">
        <v>254083</v>
      </c>
      <c r="H1126" s="4">
        <v>102055</v>
      </c>
      <c r="I1126" s="4">
        <v>80262</v>
      </c>
      <c r="J1126" s="4">
        <v>7743</v>
      </c>
      <c r="K1126" s="4">
        <v>922</v>
      </c>
      <c r="L1126" s="4">
        <v>660</v>
      </c>
      <c r="M1126" s="4">
        <v>1877</v>
      </c>
      <c r="N1126" s="4">
        <v>704</v>
      </c>
      <c r="O1126" s="5">
        <f t="shared" si="17"/>
        <v>0.13956791507811916</v>
      </c>
      <c r="P1126" s="2" t="s">
        <v>22</v>
      </c>
    </row>
    <row r="1127" spans="1:16" x14ac:dyDescent="0.25">
      <c r="A1127" s="6" t="s">
        <v>2323</v>
      </c>
      <c r="B1127" s="6" t="s">
        <v>2324</v>
      </c>
      <c r="C1127" s="6" t="s">
        <v>18</v>
      </c>
      <c r="D1127" s="7" t="s">
        <v>231</v>
      </c>
      <c r="E1127" s="7" t="s">
        <v>50</v>
      </c>
      <c r="F1127" s="6" t="s">
        <v>21</v>
      </c>
      <c r="G1127" s="8">
        <v>563998</v>
      </c>
      <c r="H1127" s="8">
        <v>47665</v>
      </c>
      <c r="I1127" s="8">
        <v>43068</v>
      </c>
      <c r="J1127" s="8">
        <v>3632</v>
      </c>
      <c r="K1127" s="8">
        <v>608</v>
      </c>
      <c r="L1127" s="8">
        <v>217</v>
      </c>
      <c r="M1127" s="8">
        <v>245</v>
      </c>
      <c r="N1127" s="8">
        <v>726</v>
      </c>
      <c r="O1127" s="9">
        <f t="shared" si="17"/>
        <v>0.10917618649577412</v>
      </c>
      <c r="P1127" s="6" t="s">
        <v>29</v>
      </c>
    </row>
    <row r="1128" spans="1:16" x14ac:dyDescent="0.25">
      <c r="A1128" s="2" t="s">
        <v>2325</v>
      </c>
      <c r="B1128" s="2" t="s">
        <v>2326</v>
      </c>
      <c r="C1128" s="2" t="s">
        <v>18</v>
      </c>
      <c r="D1128" s="3" t="s">
        <v>92</v>
      </c>
      <c r="E1128" s="3" t="s">
        <v>39</v>
      </c>
      <c r="F1128" s="2" t="s">
        <v>58</v>
      </c>
      <c r="G1128" s="4">
        <v>319261</v>
      </c>
      <c r="H1128" s="4">
        <v>58610</v>
      </c>
      <c r="I1128" s="4">
        <v>41201</v>
      </c>
      <c r="J1128" s="4">
        <v>4232</v>
      </c>
      <c r="K1128" s="4">
        <v>302</v>
      </c>
      <c r="L1128" s="4">
        <v>216</v>
      </c>
      <c r="M1128" s="4">
        <v>869</v>
      </c>
      <c r="N1128" s="4">
        <v>1327</v>
      </c>
      <c r="O1128" s="5">
        <f t="shared" si="17"/>
        <v>0.1363801849469673</v>
      </c>
      <c r="P1128" s="2" t="s">
        <v>22</v>
      </c>
    </row>
    <row r="1129" spans="1:16" x14ac:dyDescent="0.25">
      <c r="A1129" s="6" t="s">
        <v>2327</v>
      </c>
      <c r="B1129" s="6" t="s">
        <v>2328</v>
      </c>
      <c r="C1129" s="6" t="s">
        <v>18</v>
      </c>
      <c r="D1129" s="7" t="s">
        <v>226</v>
      </c>
      <c r="E1129" s="7" t="s">
        <v>45</v>
      </c>
      <c r="F1129" s="6" t="s">
        <v>58</v>
      </c>
      <c r="G1129" s="8">
        <v>684771</v>
      </c>
      <c r="H1129" s="8">
        <v>131055</v>
      </c>
      <c r="I1129" s="8">
        <v>117608</v>
      </c>
      <c r="J1129" s="8">
        <v>10020</v>
      </c>
      <c r="K1129" s="8">
        <v>1527</v>
      </c>
      <c r="L1129" s="8">
        <v>592</v>
      </c>
      <c r="M1129" s="8">
        <v>1135</v>
      </c>
      <c r="N1129" s="8">
        <v>1869</v>
      </c>
      <c r="O1129" s="9">
        <f t="shared" si="17"/>
        <v>0.11286647166859397</v>
      </c>
      <c r="P1129" s="6" t="s">
        <v>29</v>
      </c>
    </row>
    <row r="1130" spans="1:16" x14ac:dyDescent="0.25">
      <c r="A1130" s="2" t="s">
        <v>2329</v>
      </c>
      <c r="B1130" s="2" t="s">
        <v>2330</v>
      </c>
      <c r="C1130" s="2" t="s">
        <v>25</v>
      </c>
      <c r="D1130" s="3" t="s">
        <v>26</v>
      </c>
      <c r="E1130" s="3" t="s">
        <v>20</v>
      </c>
      <c r="F1130" s="2" t="s">
        <v>54</v>
      </c>
      <c r="G1130" s="4">
        <v>716233</v>
      </c>
      <c r="H1130" s="4">
        <v>69541</v>
      </c>
      <c r="I1130" s="4">
        <v>59177</v>
      </c>
      <c r="J1130" s="4">
        <v>1899</v>
      </c>
      <c r="K1130" s="4">
        <v>324</v>
      </c>
      <c r="L1130" s="4">
        <v>240</v>
      </c>
      <c r="M1130" s="4">
        <v>444</v>
      </c>
      <c r="N1130" s="4">
        <v>644</v>
      </c>
      <c r="O1130" s="5">
        <f t="shared" si="17"/>
        <v>4.9123814995690893E-2</v>
      </c>
      <c r="P1130" s="2" t="s">
        <v>22</v>
      </c>
    </row>
    <row r="1131" spans="1:16" x14ac:dyDescent="0.25">
      <c r="A1131" s="6" t="s">
        <v>2331</v>
      </c>
      <c r="B1131" s="6" t="s">
        <v>2332</v>
      </c>
      <c r="C1131" s="6" t="s">
        <v>76</v>
      </c>
      <c r="D1131" s="7" t="s">
        <v>189</v>
      </c>
      <c r="E1131" s="7" t="s">
        <v>50</v>
      </c>
      <c r="F1131" s="6" t="s">
        <v>78</v>
      </c>
      <c r="G1131" s="8">
        <v>166516</v>
      </c>
      <c r="H1131" s="8">
        <v>90737</v>
      </c>
      <c r="I1131" s="8">
        <v>69092</v>
      </c>
      <c r="J1131" s="8">
        <v>6694</v>
      </c>
      <c r="K1131" s="8">
        <v>635</v>
      </c>
      <c r="L1131" s="8">
        <v>922</v>
      </c>
      <c r="M1131" s="8">
        <v>1402</v>
      </c>
      <c r="N1131" s="8">
        <v>1160</v>
      </c>
      <c r="O1131" s="9">
        <f t="shared" si="17"/>
        <v>0.13971226770103629</v>
      </c>
      <c r="P1131" s="6" t="s">
        <v>29</v>
      </c>
    </row>
    <row r="1132" spans="1:16" x14ac:dyDescent="0.25">
      <c r="A1132" s="2" t="s">
        <v>2333</v>
      </c>
      <c r="B1132" s="2" t="s">
        <v>2334</v>
      </c>
      <c r="C1132" s="2" t="s">
        <v>76</v>
      </c>
      <c r="D1132" s="3" t="s">
        <v>182</v>
      </c>
      <c r="E1132" s="3" t="s">
        <v>20</v>
      </c>
      <c r="F1132" s="2" t="s">
        <v>155</v>
      </c>
      <c r="G1132" s="4">
        <v>682087</v>
      </c>
      <c r="H1132" s="4">
        <v>317662</v>
      </c>
      <c r="I1132" s="4">
        <v>259335</v>
      </c>
      <c r="J1132" s="4">
        <v>21536</v>
      </c>
      <c r="K1132" s="4">
        <v>3473</v>
      </c>
      <c r="L1132" s="4">
        <v>2727</v>
      </c>
      <c r="M1132" s="4">
        <v>2035</v>
      </c>
      <c r="N1132" s="4">
        <v>5826</v>
      </c>
      <c r="O1132" s="5">
        <f t="shared" si="17"/>
        <v>0.11479746274124203</v>
      </c>
      <c r="P1132" s="2" t="s">
        <v>22</v>
      </c>
    </row>
    <row r="1133" spans="1:16" x14ac:dyDescent="0.25">
      <c r="A1133" s="6" t="s">
        <v>2335</v>
      </c>
      <c r="B1133" s="6" t="s">
        <v>2336</v>
      </c>
      <c r="C1133" s="6" t="s">
        <v>18</v>
      </c>
      <c r="D1133" s="7" t="s">
        <v>57</v>
      </c>
      <c r="E1133" s="7" t="s">
        <v>20</v>
      </c>
      <c r="F1133" s="6" t="s">
        <v>21</v>
      </c>
      <c r="G1133" s="8">
        <v>493265</v>
      </c>
      <c r="H1133" s="8">
        <v>1358431</v>
      </c>
      <c r="I1133" s="8">
        <v>1143873</v>
      </c>
      <c r="J1133" s="8">
        <v>30970</v>
      </c>
      <c r="K1133" s="8">
        <v>4474</v>
      </c>
      <c r="L1133" s="8">
        <v>3438</v>
      </c>
      <c r="M1133" s="8">
        <v>6598</v>
      </c>
      <c r="N1133" s="8">
        <v>39951</v>
      </c>
      <c r="O1133" s="9">
        <f t="shared" si="17"/>
        <v>3.9759658633432206E-2</v>
      </c>
      <c r="P1133" s="6" t="s">
        <v>66</v>
      </c>
    </row>
    <row r="1134" spans="1:16" x14ac:dyDescent="0.25">
      <c r="A1134" s="2" t="s">
        <v>2337</v>
      </c>
      <c r="B1134" s="2" t="s">
        <v>2338</v>
      </c>
      <c r="C1134" s="2" t="s">
        <v>18</v>
      </c>
      <c r="D1134" s="3" t="s">
        <v>231</v>
      </c>
      <c r="E1134" s="3" t="s">
        <v>45</v>
      </c>
      <c r="F1134" s="2" t="s">
        <v>73</v>
      </c>
      <c r="G1134" s="4">
        <v>692762</v>
      </c>
      <c r="H1134" s="4">
        <v>69781</v>
      </c>
      <c r="I1134" s="4">
        <v>56274</v>
      </c>
      <c r="J1134" s="4">
        <v>4252</v>
      </c>
      <c r="K1134" s="4">
        <v>592</v>
      </c>
      <c r="L1134" s="4">
        <v>121</v>
      </c>
      <c r="M1134" s="4">
        <v>371</v>
      </c>
      <c r="N1134" s="4">
        <v>1318</v>
      </c>
      <c r="O1134" s="5">
        <f t="shared" si="17"/>
        <v>9.4821764935849595E-2</v>
      </c>
      <c r="P1134" s="2" t="s">
        <v>29</v>
      </c>
    </row>
    <row r="1135" spans="1:16" x14ac:dyDescent="0.25">
      <c r="A1135" s="6" t="s">
        <v>2339</v>
      </c>
      <c r="B1135" s="6" t="s">
        <v>2340</v>
      </c>
      <c r="C1135" s="6" t="s">
        <v>43</v>
      </c>
      <c r="D1135" s="7" t="s">
        <v>110</v>
      </c>
      <c r="E1135" s="7" t="s">
        <v>20</v>
      </c>
      <c r="F1135" s="6" t="s">
        <v>107</v>
      </c>
      <c r="G1135" s="8">
        <v>728428</v>
      </c>
      <c r="H1135" s="8">
        <v>377665</v>
      </c>
      <c r="I1135" s="8">
        <v>327765</v>
      </c>
      <c r="J1135" s="8">
        <v>19542</v>
      </c>
      <c r="K1135" s="8">
        <v>2425</v>
      </c>
      <c r="L1135" s="8">
        <v>611</v>
      </c>
      <c r="M1135" s="8">
        <v>10</v>
      </c>
      <c r="N1135" s="8">
        <v>12180</v>
      </c>
      <c r="O1135" s="9">
        <f t="shared" si="17"/>
        <v>6.8915228898753678E-2</v>
      </c>
      <c r="P1135" s="6" t="s">
        <v>22</v>
      </c>
    </row>
    <row r="1136" spans="1:16" x14ac:dyDescent="0.25">
      <c r="A1136" s="2" t="s">
        <v>2341</v>
      </c>
      <c r="B1136" s="2" t="s">
        <v>2342</v>
      </c>
      <c r="C1136" s="2" t="s">
        <v>18</v>
      </c>
      <c r="D1136" s="3" t="s">
        <v>19</v>
      </c>
      <c r="E1136" s="3" t="s">
        <v>27</v>
      </c>
      <c r="F1136" s="2" t="s">
        <v>58</v>
      </c>
      <c r="G1136" s="4">
        <v>187060</v>
      </c>
      <c r="H1136" s="4">
        <v>17821</v>
      </c>
      <c r="I1136" s="4">
        <v>13205</v>
      </c>
      <c r="J1136" s="4">
        <v>1132</v>
      </c>
      <c r="K1136" s="4">
        <v>179</v>
      </c>
      <c r="L1136" s="4">
        <v>138</v>
      </c>
      <c r="M1136" s="4">
        <v>134</v>
      </c>
      <c r="N1136" s="4">
        <v>473</v>
      </c>
      <c r="O1136" s="5">
        <f t="shared" si="17"/>
        <v>0.11987883377508519</v>
      </c>
      <c r="P1136" s="2" t="s">
        <v>66</v>
      </c>
    </row>
    <row r="1137" spans="1:16" x14ac:dyDescent="0.25">
      <c r="A1137" s="6" t="s">
        <v>2343</v>
      </c>
      <c r="B1137" s="6" t="s">
        <v>2344</v>
      </c>
      <c r="C1137" s="6" t="s">
        <v>25</v>
      </c>
      <c r="D1137" s="7" t="s">
        <v>64</v>
      </c>
      <c r="E1137" s="7" t="s">
        <v>20</v>
      </c>
      <c r="F1137" s="6" t="s">
        <v>146</v>
      </c>
      <c r="G1137" s="8">
        <v>673522</v>
      </c>
      <c r="H1137" s="8">
        <v>366644</v>
      </c>
      <c r="I1137" s="8">
        <v>313058</v>
      </c>
      <c r="J1137" s="8">
        <v>11514</v>
      </c>
      <c r="K1137" s="8">
        <v>1247</v>
      </c>
      <c r="L1137" s="8">
        <v>1140</v>
      </c>
      <c r="M1137" s="8">
        <v>578</v>
      </c>
      <c r="N1137" s="8">
        <v>5832</v>
      </c>
      <c r="O1137" s="9">
        <f t="shared" si="17"/>
        <v>4.6250215614997862E-2</v>
      </c>
      <c r="P1137" s="6" t="s">
        <v>22</v>
      </c>
    </row>
    <row r="1138" spans="1:16" x14ac:dyDescent="0.25">
      <c r="A1138" s="2" t="s">
        <v>2345</v>
      </c>
      <c r="B1138" s="2" t="s">
        <v>2346</v>
      </c>
      <c r="C1138" s="2" t="s">
        <v>25</v>
      </c>
      <c r="D1138" s="3" t="s">
        <v>64</v>
      </c>
      <c r="E1138" s="3" t="s">
        <v>20</v>
      </c>
      <c r="F1138" s="2" t="s">
        <v>65</v>
      </c>
      <c r="G1138" s="4">
        <v>450054</v>
      </c>
      <c r="H1138" s="4">
        <v>125792</v>
      </c>
      <c r="I1138" s="4">
        <v>101048</v>
      </c>
      <c r="J1138" s="4">
        <v>3207</v>
      </c>
      <c r="K1138" s="4">
        <v>119</v>
      </c>
      <c r="L1138" s="4">
        <v>471</v>
      </c>
      <c r="M1138" s="4">
        <v>189</v>
      </c>
      <c r="N1138" s="4">
        <v>1336</v>
      </c>
      <c r="O1138" s="5">
        <f t="shared" si="17"/>
        <v>3.9446599635816641E-2</v>
      </c>
      <c r="P1138" s="2" t="s">
        <v>29</v>
      </c>
    </row>
    <row r="1139" spans="1:16" x14ac:dyDescent="0.25">
      <c r="A1139" s="6" t="s">
        <v>2347</v>
      </c>
      <c r="B1139" s="6" t="s">
        <v>2348</v>
      </c>
      <c r="C1139" s="6" t="s">
        <v>25</v>
      </c>
      <c r="D1139" s="7" t="s">
        <v>64</v>
      </c>
      <c r="E1139" s="7" t="s">
        <v>39</v>
      </c>
      <c r="F1139" s="6" t="s">
        <v>54</v>
      </c>
      <c r="G1139" s="8">
        <v>105963</v>
      </c>
      <c r="H1139" s="8">
        <v>218396</v>
      </c>
      <c r="I1139" s="8">
        <v>157671</v>
      </c>
      <c r="J1139" s="8">
        <v>12817</v>
      </c>
      <c r="K1139" s="8">
        <v>2215</v>
      </c>
      <c r="L1139" s="8">
        <v>1890</v>
      </c>
      <c r="M1139" s="8">
        <v>1210</v>
      </c>
      <c r="N1139" s="8">
        <v>7399</v>
      </c>
      <c r="O1139" s="9">
        <f t="shared" si="17"/>
        <v>0.11499895351713378</v>
      </c>
      <c r="P1139" s="6" t="s">
        <v>29</v>
      </c>
    </row>
    <row r="1140" spans="1:16" x14ac:dyDescent="0.25">
      <c r="A1140" s="2" t="s">
        <v>2349</v>
      </c>
      <c r="B1140" s="2" t="s">
        <v>2350</v>
      </c>
      <c r="C1140" s="2" t="s">
        <v>32</v>
      </c>
      <c r="D1140" s="3" t="s">
        <v>121</v>
      </c>
      <c r="E1140" s="3" t="s">
        <v>45</v>
      </c>
      <c r="F1140" s="2" t="s">
        <v>40</v>
      </c>
      <c r="G1140" s="4">
        <v>562578</v>
      </c>
      <c r="H1140" s="4">
        <v>294920</v>
      </c>
      <c r="I1140" s="4">
        <v>219440</v>
      </c>
      <c r="J1140" s="4">
        <v>13730</v>
      </c>
      <c r="K1140" s="4">
        <v>952</v>
      </c>
      <c r="L1140" s="4">
        <v>533</v>
      </c>
      <c r="M1140" s="4">
        <v>13</v>
      </c>
      <c r="N1140" s="4">
        <v>10164</v>
      </c>
      <c r="O1140" s="5">
        <f t="shared" si="17"/>
        <v>6.9394823186292379E-2</v>
      </c>
      <c r="P1140" s="2" t="s">
        <v>66</v>
      </c>
    </row>
    <row r="1141" spans="1:16" x14ac:dyDescent="0.25">
      <c r="A1141" s="6" t="s">
        <v>2351</v>
      </c>
      <c r="B1141" s="6" t="s">
        <v>2352</v>
      </c>
      <c r="C1141" s="6" t="s">
        <v>43</v>
      </c>
      <c r="D1141" s="7" t="s">
        <v>81</v>
      </c>
      <c r="E1141" s="7" t="s">
        <v>45</v>
      </c>
      <c r="F1141" s="6" t="s">
        <v>70</v>
      </c>
      <c r="G1141" s="8">
        <v>793526</v>
      </c>
      <c r="H1141" s="8">
        <v>178258</v>
      </c>
      <c r="I1141" s="8">
        <v>138353</v>
      </c>
      <c r="J1141" s="8">
        <v>14157</v>
      </c>
      <c r="K1141" s="8">
        <v>2246</v>
      </c>
      <c r="L1141" s="8">
        <v>1324</v>
      </c>
      <c r="M1141" s="8">
        <v>45</v>
      </c>
      <c r="N1141" s="8">
        <v>5253</v>
      </c>
      <c r="O1141" s="9">
        <f t="shared" si="17"/>
        <v>0.12845402701784567</v>
      </c>
      <c r="P1141" s="6" t="s">
        <v>66</v>
      </c>
    </row>
    <row r="1142" spans="1:16" x14ac:dyDescent="0.25">
      <c r="A1142" s="2" t="s">
        <v>2353</v>
      </c>
      <c r="B1142" s="2" t="s">
        <v>2354</v>
      </c>
      <c r="C1142" s="2" t="s">
        <v>18</v>
      </c>
      <c r="D1142" s="3" t="s">
        <v>57</v>
      </c>
      <c r="E1142" s="3" t="s">
        <v>34</v>
      </c>
      <c r="F1142" s="2" t="s">
        <v>58</v>
      </c>
      <c r="G1142" s="4">
        <v>194431</v>
      </c>
      <c r="H1142" s="4">
        <v>84037</v>
      </c>
      <c r="I1142" s="4">
        <v>62728</v>
      </c>
      <c r="J1142" s="4">
        <v>4988</v>
      </c>
      <c r="K1142" s="4">
        <v>823</v>
      </c>
      <c r="L1142" s="4">
        <v>256</v>
      </c>
      <c r="M1142" s="4">
        <v>1144</v>
      </c>
      <c r="N1142" s="4">
        <v>2412</v>
      </c>
      <c r="O1142" s="5">
        <f t="shared" si="17"/>
        <v>0.11495663818390511</v>
      </c>
      <c r="P1142" s="2" t="s">
        <v>22</v>
      </c>
    </row>
    <row r="1143" spans="1:16" x14ac:dyDescent="0.25">
      <c r="A1143" s="6" t="s">
        <v>2355</v>
      </c>
      <c r="B1143" s="6" t="s">
        <v>2356</v>
      </c>
      <c r="C1143" s="6" t="s">
        <v>76</v>
      </c>
      <c r="D1143" s="7" t="s">
        <v>189</v>
      </c>
      <c r="E1143" s="7" t="s">
        <v>34</v>
      </c>
      <c r="F1143" s="6" t="s">
        <v>78</v>
      </c>
      <c r="G1143" s="8">
        <v>418595</v>
      </c>
      <c r="H1143" s="8">
        <v>150825</v>
      </c>
      <c r="I1143" s="8">
        <v>133040</v>
      </c>
      <c r="J1143" s="8">
        <v>3073</v>
      </c>
      <c r="K1143" s="8">
        <v>400</v>
      </c>
      <c r="L1143" s="8">
        <v>152</v>
      </c>
      <c r="M1143" s="8">
        <v>497</v>
      </c>
      <c r="N1143" s="8">
        <v>2133</v>
      </c>
      <c r="O1143" s="9">
        <f t="shared" si="17"/>
        <v>3.0983162958508718E-2</v>
      </c>
      <c r="P1143" s="6" t="s">
        <v>22</v>
      </c>
    </row>
    <row r="1144" spans="1:16" x14ac:dyDescent="0.25">
      <c r="A1144" s="2" t="s">
        <v>2357</v>
      </c>
      <c r="B1144" s="2" t="s">
        <v>2358</v>
      </c>
      <c r="C1144" s="2" t="s">
        <v>76</v>
      </c>
      <c r="D1144" s="3" t="s">
        <v>86</v>
      </c>
      <c r="E1144" s="3" t="s">
        <v>39</v>
      </c>
      <c r="F1144" s="2" t="s">
        <v>155</v>
      </c>
      <c r="G1144" s="4">
        <v>423285</v>
      </c>
      <c r="H1144" s="4">
        <v>156602</v>
      </c>
      <c r="I1144" s="4">
        <v>132496</v>
      </c>
      <c r="J1144" s="4">
        <v>5285</v>
      </c>
      <c r="K1144" s="4">
        <v>815</v>
      </c>
      <c r="L1144" s="4">
        <v>431</v>
      </c>
      <c r="M1144" s="4">
        <v>650</v>
      </c>
      <c r="N1144" s="4">
        <v>1080</v>
      </c>
      <c r="O1144" s="5">
        <f t="shared" si="17"/>
        <v>5.4197862576983453E-2</v>
      </c>
      <c r="P1144" s="2" t="s">
        <v>29</v>
      </c>
    </row>
    <row r="1145" spans="1:16" x14ac:dyDescent="0.25">
      <c r="A1145" s="6" t="s">
        <v>2359</v>
      </c>
      <c r="B1145" s="6" t="s">
        <v>2360</v>
      </c>
      <c r="C1145" s="6" t="s">
        <v>18</v>
      </c>
      <c r="D1145" s="7" t="s">
        <v>231</v>
      </c>
      <c r="E1145" s="7" t="s">
        <v>27</v>
      </c>
      <c r="F1145" s="6" t="s">
        <v>21</v>
      </c>
      <c r="G1145" s="8">
        <v>840608</v>
      </c>
      <c r="H1145" s="8">
        <v>367294</v>
      </c>
      <c r="I1145" s="8">
        <v>286865</v>
      </c>
      <c r="J1145" s="8">
        <v>16780</v>
      </c>
      <c r="K1145" s="8">
        <v>2316</v>
      </c>
      <c r="L1145" s="8">
        <v>492</v>
      </c>
      <c r="M1145" s="8">
        <v>2739</v>
      </c>
      <c r="N1145" s="8">
        <v>11955</v>
      </c>
      <c r="O1145" s="9">
        <f t="shared" si="17"/>
        <v>7.7831035504505597E-2</v>
      </c>
      <c r="P1145" s="6" t="s">
        <v>22</v>
      </c>
    </row>
    <row r="1146" spans="1:16" x14ac:dyDescent="0.25">
      <c r="A1146" s="2" t="s">
        <v>2361</v>
      </c>
      <c r="B1146" s="2" t="s">
        <v>2362</v>
      </c>
      <c r="C1146" s="2" t="s">
        <v>76</v>
      </c>
      <c r="D1146" s="3" t="s">
        <v>189</v>
      </c>
      <c r="E1146" s="3" t="s">
        <v>45</v>
      </c>
      <c r="F1146" s="2" t="s">
        <v>104</v>
      </c>
      <c r="G1146" s="4">
        <v>623702</v>
      </c>
      <c r="H1146" s="4">
        <v>259979</v>
      </c>
      <c r="I1146" s="4">
        <v>213278</v>
      </c>
      <c r="J1146" s="4">
        <v>10780</v>
      </c>
      <c r="K1146" s="4">
        <v>622</v>
      </c>
      <c r="L1146" s="4">
        <v>884</v>
      </c>
      <c r="M1146" s="4">
        <v>540</v>
      </c>
      <c r="N1146" s="4">
        <v>2369</v>
      </c>
      <c r="O1146" s="5">
        <f t="shared" si="17"/>
        <v>6.0137473157100121E-2</v>
      </c>
      <c r="P1146" s="2" t="s">
        <v>22</v>
      </c>
    </row>
    <row r="1147" spans="1:16" x14ac:dyDescent="0.25">
      <c r="A1147" s="6" t="s">
        <v>2363</v>
      </c>
      <c r="B1147" s="6" t="s">
        <v>2364</v>
      </c>
      <c r="C1147" s="6" t="s">
        <v>76</v>
      </c>
      <c r="D1147" s="7" t="s">
        <v>189</v>
      </c>
      <c r="E1147" s="7" t="s">
        <v>45</v>
      </c>
      <c r="F1147" s="6" t="s">
        <v>104</v>
      </c>
      <c r="G1147" s="8">
        <v>103261</v>
      </c>
      <c r="H1147" s="8">
        <v>47203</v>
      </c>
      <c r="I1147" s="8">
        <v>36235</v>
      </c>
      <c r="J1147" s="8">
        <v>3608</v>
      </c>
      <c r="K1147" s="8">
        <v>417</v>
      </c>
      <c r="L1147" s="8">
        <v>424</v>
      </c>
      <c r="M1147" s="8">
        <v>490</v>
      </c>
      <c r="N1147" s="8">
        <v>1576</v>
      </c>
      <c r="O1147" s="9">
        <f t="shared" si="17"/>
        <v>0.13630467779770938</v>
      </c>
      <c r="P1147" s="6" t="s">
        <v>22</v>
      </c>
    </row>
    <row r="1148" spans="1:16" x14ac:dyDescent="0.25">
      <c r="A1148" s="2" t="s">
        <v>2365</v>
      </c>
      <c r="B1148" s="2" t="s">
        <v>2366</v>
      </c>
      <c r="C1148" s="2" t="s">
        <v>32</v>
      </c>
      <c r="D1148" s="3" t="s">
        <v>175</v>
      </c>
      <c r="E1148" s="3" t="s">
        <v>27</v>
      </c>
      <c r="F1148" s="2" t="s">
        <v>35</v>
      </c>
      <c r="G1148" s="4">
        <v>228593</v>
      </c>
      <c r="H1148" s="4">
        <v>73841</v>
      </c>
      <c r="I1148" s="4">
        <v>55446</v>
      </c>
      <c r="J1148" s="4">
        <v>5011</v>
      </c>
      <c r="K1148" s="4">
        <v>890</v>
      </c>
      <c r="L1148" s="4">
        <v>220</v>
      </c>
      <c r="M1148" s="4">
        <v>28</v>
      </c>
      <c r="N1148" s="4">
        <v>1813</v>
      </c>
      <c r="O1148" s="5">
        <f t="shared" si="17"/>
        <v>0.11090069617285286</v>
      </c>
      <c r="P1148" s="2" t="s">
        <v>29</v>
      </c>
    </row>
    <row r="1149" spans="1:16" x14ac:dyDescent="0.25">
      <c r="A1149" s="6" t="s">
        <v>2367</v>
      </c>
      <c r="B1149" s="6" t="s">
        <v>2368</v>
      </c>
      <c r="C1149" s="6" t="s">
        <v>43</v>
      </c>
      <c r="D1149" s="7" t="s">
        <v>172</v>
      </c>
      <c r="E1149" s="7" t="s">
        <v>27</v>
      </c>
      <c r="F1149" s="6" t="s">
        <v>107</v>
      </c>
      <c r="G1149" s="8">
        <v>500735</v>
      </c>
      <c r="H1149" s="8">
        <v>160036</v>
      </c>
      <c r="I1149" s="8">
        <v>141623</v>
      </c>
      <c r="J1149" s="8">
        <v>12188</v>
      </c>
      <c r="K1149" s="8">
        <v>2085</v>
      </c>
      <c r="L1149" s="8">
        <v>1329</v>
      </c>
      <c r="M1149" s="8">
        <v>44</v>
      </c>
      <c r="N1149" s="8">
        <v>4127</v>
      </c>
      <c r="O1149" s="9">
        <f t="shared" si="17"/>
        <v>0.11047640566857078</v>
      </c>
      <c r="P1149" s="6" t="s">
        <v>22</v>
      </c>
    </row>
    <row r="1150" spans="1:16" x14ac:dyDescent="0.25">
      <c r="A1150" s="2" t="s">
        <v>2369</v>
      </c>
      <c r="B1150" s="2" t="s">
        <v>2370</v>
      </c>
      <c r="C1150" s="2" t="s">
        <v>32</v>
      </c>
      <c r="D1150" s="3" t="s">
        <v>38</v>
      </c>
      <c r="E1150" s="3" t="s">
        <v>50</v>
      </c>
      <c r="F1150" s="2" t="s">
        <v>51</v>
      </c>
      <c r="G1150" s="4">
        <v>34877</v>
      </c>
      <c r="H1150" s="4">
        <v>16151</v>
      </c>
      <c r="I1150" s="4">
        <v>13360</v>
      </c>
      <c r="J1150" s="4">
        <v>647</v>
      </c>
      <c r="K1150" s="4">
        <v>42</v>
      </c>
      <c r="L1150" s="4">
        <v>25</v>
      </c>
      <c r="M1150" s="4">
        <v>10</v>
      </c>
      <c r="N1150" s="4">
        <v>139</v>
      </c>
      <c r="O1150" s="5">
        <f t="shared" si="17"/>
        <v>5.4191616766467068E-2</v>
      </c>
      <c r="P1150" s="2" t="s">
        <v>22</v>
      </c>
    </row>
    <row r="1151" spans="1:16" x14ac:dyDescent="0.25">
      <c r="A1151" s="6" t="s">
        <v>2371</v>
      </c>
      <c r="B1151" s="6" t="s">
        <v>2372</v>
      </c>
      <c r="C1151" s="6" t="s">
        <v>32</v>
      </c>
      <c r="D1151" s="7" t="s">
        <v>121</v>
      </c>
      <c r="E1151" s="7" t="s">
        <v>50</v>
      </c>
      <c r="F1151" s="6" t="s">
        <v>40</v>
      </c>
      <c r="G1151" s="8">
        <v>592890</v>
      </c>
      <c r="H1151" s="8">
        <v>317633</v>
      </c>
      <c r="I1151" s="8">
        <v>255880</v>
      </c>
      <c r="J1151" s="8">
        <v>19902</v>
      </c>
      <c r="K1151" s="8">
        <v>600</v>
      </c>
      <c r="L1151" s="8">
        <v>1486</v>
      </c>
      <c r="M1151" s="8">
        <v>35</v>
      </c>
      <c r="N1151" s="8">
        <v>6012</v>
      </c>
      <c r="O1151" s="9">
        <f t="shared" si="17"/>
        <v>8.6067687978740037E-2</v>
      </c>
      <c r="P1151" s="6" t="s">
        <v>22</v>
      </c>
    </row>
    <row r="1152" spans="1:16" x14ac:dyDescent="0.25">
      <c r="A1152" s="2" t="s">
        <v>2373</v>
      </c>
      <c r="B1152" s="2" t="s">
        <v>2374</v>
      </c>
      <c r="C1152" s="2" t="s">
        <v>32</v>
      </c>
      <c r="D1152" s="3" t="s">
        <v>121</v>
      </c>
      <c r="E1152" s="3" t="s">
        <v>50</v>
      </c>
      <c r="F1152" s="2" t="s">
        <v>35</v>
      </c>
      <c r="G1152" s="4">
        <v>624395</v>
      </c>
      <c r="H1152" s="4">
        <v>160107</v>
      </c>
      <c r="I1152" s="4">
        <v>126861</v>
      </c>
      <c r="J1152" s="4">
        <v>5135</v>
      </c>
      <c r="K1152" s="4">
        <v>839</v>
      </c>
      <c r="L1152" s="4">
        <v>387</v>
      </c>
      <c r="M1152" s="4">
        <v>2</v>
      </c>
      <c r="N1152" s="4">
        <v>2034</v>
      </c>
      <c r="O1152" s="5">
        <f t="shared" si="17"/>
        <v>5.0157258731998014E-2</v>
      </c>
      <c r="P1152" s="2" t="s">
        <v>22</v>
      </c>
    </row>
    <row r="1153" spans="1:16" x14ac:dyDescent="0.25">
      <c r="A1153" s="6" t="s">
        <v>2375</v>
      </c>
      <c r="B1153" s="6" t="s">
        <v>2376</v>
      </c>
      <c r="C1153" s="6" t="s">
        <v>18</v>
      </c>
      <c r="D1153" s="7" t="s">
        <v>19</v>
      </c>
      <c r="E1153" s="7" t="s">
        <v>39</v>
      </c>
      <c r="F1153" s="6" t="s">
        <v>21</v>
      </c>
      <c r="G1153" s="8">
        <v>41963</v>
      </c>
      <c r="H1153" s="8">
        <v>12592</v>
      </c>
      <c r="I1153" s="8">
        <v>10379</v>
      </c>
      <c r="J1153" s="8">
        <v>717</v>
      </c>
      <c r="K1153" s="8">
        <v>125</v>
      </c>
      <c r="L1153" s="8">
        <v>55</v>
      </c>
      <c r="M1153" s="8">
        <v>51</v>
      </c>
      <c r="N1153" s="8">
        <v>302</v>
      </c>
      <c r="O1153" s="9">
        <f t="shared" si="17"/>
        <v>9.1338279217651031E-2</v>
      </c>
      <c r="P1153" s="6" t="s">
        <v>29</v>
      </c>
    </row>
    <row r="1154" spans="1:16" x14ac:dyDescent="0.25">
      <c r="A1154" s="2" t="s">
        <v>2377</v>
      </c>
      <c r="B1154" s="2" t="s">
        <v>2378</v>
      </c>
      <c r="C1154" s="2" t="s">
        <v>25</v>
      </c>
      <c r="D1154" s="3" t="s">
        <v>244</v>
      </c>
      <c r="E1154" s="3" t="s">
        <v>20</v>
      </c>
      <c r="F1154" s="2" t="s">
        <v>54</v>
      </c>
      <c r="G1154" s="4">
        <v>730968</v>
      </c>
      <c r="H1154" s="4">
        <v>252617</v>
      </c>
      <c r="I1154" s="4">
        <v>186793</v>
      </c>
      <c r="J1154" s="4">
        <v>10353</v>
      </c>
      <c r="K1154" s="4">
        <v>561</v>
      </c>
      <c r="L1154" s="4">
        <v>423</v>
      </c>
      <c r="M1154" s="4">
        <v>1373</v>
      </c>
      <c r="N1154" s="4">
        <v>2827</v>
      </c>
      <c r="O1154" s="5">
        <f t="shared" ref="O1154:O1217" si="18">IF(I1154&gt;0, (J1154+K1154+L1154+M1154)/I1154, 0)</f>
        <v>6.8043235024867102E-2</v>
      </c>
      <c r="P1154" s="2" t="s">
        <v>22</v>
      </c>
    </row>
    <row r="1155" spans="1:16" x14ac:dyDescent="0.25">
      <c r="A1155" s="6" t="s">
        <v>2379</v>
      </c>
      <c r="B1155" s="6" t="s">
        <v>2380</v>
      </c>
      <c r="C1155" s="6" t="s">
        <v>43</v>
      </c>
      <c r="D1155" s="7" t="s">
        <v>172</v>
      </c>
      <c r="E1155" s="7" t="s">
        <v>27</v>
      </c>
      <c r="F1155" s="6" t="s">
        <v>107</v>
      </c>
      <c r="G1155" s="8">
        <v>803036</v>
      </c>
      <c r="H1155" s="8">
        <v>244346</v>
      </c>
      <c r="I1155" s="8">
        <v>193294</v>
      </c>
      <c r="J1155" s="8">
        <v>11258</v>
      </c>
      <c r="K1155" s="8">
        <v>841</v>
      </c>
      <c r="L1155" s="8">
        <v>708</v>
      </c>
      <c r="M1155" s="8">
        <v>16</v>
      </c>
      <c r="N1155" s="8">
        <v>7633</v>
      </c>
      <c r="O1155" s="9">
        <f t="shared" si="18"/>
        <v>6.6339358697114242E-2</v>
      </c>
      <c r="P1155" s="6" t="s">
        <v>66</v>
      </c>
    </row>
    <row r="1156" spans="1:16" x14ac:dyDescent="0.25">
      <c r="A1156" s="2" t="s">
        <v>2381</v>
      </c>
      <c r="B1156" s="2" t="s">
        <v>2382</v>
      </c>
      <c r="C1156" s="2" t="s">
        <v>18</v>
      </c>
      <c r="D1156" s="3" t="s">
        <v>226</v>
      </c>
      <c r="E1156" s="3" t="s">
        <v>50</v>
      </c>
      <c r="F1156" s="2" t="s">
        <v>73</v>
      </c>
      <c r="G1156" s="4">
        <v>129705</v>
      </c>
      <c r="H1156" s="4">
        <v>78985</v>
      </c>
      <c r="I1156" s="4">
        <v>59539</v>
      </c>
      <c r="J1156" s="4">
        <v>4458</v>
      </c>
      <c r="K1156" s="4">
        <v>691</v>
      </c>
      <c r="L1156" s="4">
        <v>636</v>
      </c>
      <c r="M1156" s="4">
        <v>453</v>
      </c>
      <c r="N1156" s="4">
        <v>1765</v>
      </c>
      <c r="O1156" s="5">
        <f t="shared" si="18"/>
        <v>0.10477166227178825</v>
      </c>
      <c r="P1156" s="2" t="s">
        <v>22</v>
      </c>
    </row>
    <row r="1157" spans="1:16" x14ac:dyDescent="0.25">
      <c r="A1157" s="6" t="s">
        <v>2383</v>
      </c>
      <c r="B1157" s="6" t="s">
        <v>2384</v>
      </c>
      <c r="C1157" s="6" t="s">
        <v>18</v>
      </c>
      <c r="D1157" s="7" t="s">
        <v>226</v>
      </c>
      <c r="E1157" s="7" t="s">
        <v>27</v>
      </c>
      <c r="F1157" s="6" t="s">
        <v>73</v>
      </c>
      <c r="G1157" s="8">
        <v>691815</v>
      </c>
      <c r="H1157" s="8">
        <v>122909</v>
      </c>
      <c r="I1157" s="8">
        <v>87327</v>
      </c>
      <c r="J1157" s="8">
        <v>4878</v>
      </c>
      <c r="K1157" s="8">
        <v>453</v>
      </c>
      <c r="L1157" s="8">
        <v>481</v>
      </c>
      <c r="M1157" s="8">
        <v>709</v>
      </c>
      <c r="N1157" s="8">
        <v>4062</v>
      </c>
      <c r="O1157" s="9">
        <f t="shared" si="18"/>
        <v>7.467335417453938E-2</v>
      </c>
      <c r="P1157" s="6" t="s">
        <v>66</v>
      </c>
    </row>
    <row r="1158" spans="1:16" x14ac:dyDescent="0.25">
      <c r="A1158" s="2" t="s">
        <v>2385</v>
      </c>
      <c r="B1158" s="2" t="s">
        <v>2386</v>
      </c>
      <c r="C1158" s="2" t="s">
        <v>43</v>
      </c>
      <c r="D1158" s="3" t="s">
        <v>172</v>
      </c>
      <c r="E1158" s="3" t="s">
        <v>50</v>
      </c>
      <c r="F1158" s="2" t="s">
        <v>70</v>
      </c>
      <c r="G1158" s="4">
        <v>263781</v>
      </c>
      <c r="H1158" s="4">
        <v>166546</v>
      </c>
      <c r="I1158" s="4">
        <v>137503</v>
      </c>
      <c r="J1158" s="4">
        <v>4620</v>
      </c>
      <c r="K1158" s="4">
        <v>617</v>
      </c>
      <c r="L1158" s="4">
        <v>161</v>
      </c>
      <c r="M1158" s="4">
        <v>30</v>
      </c>
      <c r="N1158" s="4">
        <v>4638</v>
      </c>
      <c r="O1158" s="5">
        <f t="shared" si="18"/>
        <v>3.947550235267594E-2</v>
      </c>
      <c r="P1158" s="2" t="s">
        <v>22</v>
      </c>
    </row>
    <row r="1159" spans="1:16" x14ac:dyDescent="0.25">
      <c r="A1159" s="6" t="s">
        <v>2387</v>
      </c>
      <c r="B1159" s="6" t="s">
        <v>2388</v>
      </c>
      <c r="C1159" s="6" t="s">
        <v>18</v>
      </c>
      <c r="D1159" s="7" t="s">
        <v>57</v>
      </c>
      <c r="E1159" s="7" t="s">
        <v>50</v>
      </c>
      <c r="F1159" s="6" t="s">
        <v>58</v>
      </c>
      <c r="G1159" s="8">
        <v>498075</v>
      </c>
      <c r="H1159" s="8">
        <v>77296</v>
      </c>
      <c r="I1159" s="8">
        <v>56244</v>
      </c>
      <c r="J1159" s="8">
        <v>2679</v>
      </c>
      <c r="K1159" s="8">
        <v>97</v>
      </c>
      <c r="L1159" s="8">
        <v>150</v>
      </c>
      <c r="M1159" s="8">
        <v>365</v>
      </c>
      <c r="N1159" s="8">
        <v>1092</v>
      </c>
      <c r="O1159" s="9">
        <f t="shared" si="18"/>
        <v>5.8512908043524645E-2</v>
      </c>
      <c r="P1159" s="6" t="s">
        <v>66</v>
      </c>
    </row>
    <row r="1160" spans="1:16" x14ac:dyDescent="0.25">
      <c r="A1160" s="2" t="s">
        <v>2389</v>
      </c>
      <c r="B1160" s="2" t="s">
        <v>2390</v>
      </c>
      <c r="C1160" s="2" t="s">
        <v>43</v>
      </c>
      <c r="D1160" s="3" t="s">
        <v>81</v>
      </c>
      <c r="E1160" s="3" t="s">
        <v>34</v>
      </c>
      <c r="F1160" s="2" t="s">
        <v>70</v>
      </c>
      <c r="G1160" s="4">
        <v>775611</v>
      </c>
      <c r="H1160" s="4">
        <v>109192</v>
      </c>
      <c r="I1160" s="4">
        <v>79192</v>
      </c>
      <c r="J1160" s="4">
        <v>6991</v>
      </c>
      <c r="K1160" s="4">
        <v>693</v>
      </c>
      <c r="L1160" s="4">
        <v>920</v>
      </c>
      <c r="M1160" s="4">
        <v>22</v>
      </c>
      <c r="N1160" s="4">
        <v>2278</v>
      </c>
      <c r="O1160" s="5">
        <f t="shared" si="18"/>
        <v>0.10892514395393474</v>
      </c>
      <c r="P1160" s="2" t="s">
        <v>22</v>
      </c>
    </row>
    <row r="1161" spans="1:16" x14ac:dyDescent="0.25">
      <c r="A1161" s="6" t="s">
        <v>2391</v>
      </c>
      <c r="B1161" s="6" t="s">
        <v>2392</v>
      </c>
      <c r="C1161" s="6" t="s">
        <v>32</v>
      </c>
      <c r="D1161" s="7" t="s">
        <v>175</v>
      </c>
      <c r="E1161" s="7" t="s">
        <v>27</v>
      </c>
      <c r="F1161" s="6" t="s">
        <v>35</v>
      </c>
      <c r="G1161" s="8">
        <v>847824</v>
      </c>
      <c r="H1161" s="8">
        <v>345054</v>
      </c>
      <c r="I1161" s="8">
        <v>313227</v>
      </c>
      <c r="J1161" s="8">
        <v>12306</v>
      </c>
      <c r="K1161" s="8">
        <v>1034</v>
      </c>
      <c r="L1161" s="8">
        <v>723</v>
      </c>
      <c r="M1161" s="8">
        <v>16</v>
      </c>
      <c r="N1161" s="8">
        <v>8927</v>
      </c>
      <c r="O1161" s="9">
        <f t="shared" si="18"/>
        <v>4.494823243207003E-2</v>
      </c>
      <c r="P1161" s="6" t="s">
        <v>22</v>
      </c>
    </row>
    <row r="1162" spans="1:16" x14ac:dyDescent="0.25">
      <c r="A1162" s="2" t="s">
        <v>2393</v>
      </c>
      <c r="B1162" s="2" t="s">
        <v>2394</v>
      </c>
      <c r="C1162" s="2" t="s">
        <v>43</v>
      </c>
      <c r="D1162" s="3" t="s">
        <v>172</v>
      </c>
      <c r="E1162" s="3" t="s">
        <v>50</v>
      </c>
      <c r="F1162" s="2" t="s">
        <v>70</v>
      </c>
      <c r="G1162" s="4">
        <v>217147</v>
      </c>
      <c r="H1162" s="4">
        <v>40092</v>
      </c>
      <c r="I1162" s="4">
        <v>31657</v>
      </c>
      <c r="J1162" s="4">
        <v>3045</v>
      </c>
      <c r="K1162" s="4">
        <v>429</v>
      </c>
      <c r="L1162" s="4">
        <v>74</v>
      </c>
      <c r="M1162" s="4">
        <v>15</v>
      </c>
      <c r="N1162" s="4">
        <v>434</v>
      </c>
      <c r="O1162" s="5">
        <f t="shared" si="18"/>
        <v>0.11255014688694444</v>
      </c>
      <c r="P1162" s="2" t="s">
        <v>22</v>
      </c>
    </row>
    <row r="1163" spans="1:16" x14ac:dyDescent="0.25">
      <c r="A1163" s="6" t="s">
        <v>2395</v>
      </c>
      <c r="B1163" s="6" t="s">
        <v>2396</v>
      </c>
      <c r="C1163" s="6" t="s">
        <v>76</v>
      </c>
      <c r="D1163" s="7" t="s">
        <v>77</v>
      </c>
      <c r="E1163" s="7" t="s">
        <v>50</v>
      </c>
      <c r="F1163" s="6" t="s">
        <v>155</v>
      </c>
      <c r="G1163" s="8">
        <v>698005</v>
      </c>
      <c r="H1163" s="8">
        <v>286380</v>
      </c>
      <c r="I1163" s="8">
        <v>247180</v>
      </c>
      <c r="J1163" s="8">
        <v>17322</v>
      </c>
      <c r="K1163" s="8">
        <v>2229</v>
      </c>
      <c r="L1163" s="8">
        <v>2106</v>
      </c>
      <c r="M1163" s="8">
        <v>2737</v>
      </c>
      <c r="N1163" s="8">
        <v>1672</v>
      </c>
      <c r="O1163" s="9">
        <f t="shared" si="18"/>
        <v>9.8689214337729592E-2</v>
      </c>
      <c r="P1163" s="6" t="s">
        <v>22</v>
      </c>
    </row>
    <row r="1164" spans="1:16" x14ac:dyDescent="0.25">
      <c r="A1164" s="2" t="s">
        <v>2397</v>
      </c>
      <c r="B1164" s="2" t="s">
        <v>2398</v>
      </c>
      <c r="C1164" s="2" t="s">
        <v>25</v>
      </c>
      <c r="D1164" s="3" t="s">
        <v>61</v>
      </c>
      <c r="E1164" s="3" t="s">
        <v>50</v>
      </c>
      <c r="F1164" s="2" t="s">
        <v>65</v>
      </c>
      <c r="G1164" s="4">
        <v>792353</v>
      </c>
      <c r="H1164" s="4">
        <v>86025</v>
      </c>
      <c r="I1164" s="4">
        <v>72591</v>
      </c>
      <c r="J1164" s="4">
        <v>5058</v>
      </c>
      <c r="K1164" s="4">
        <v>889</v>
      </c>
      <c r="L1164" s="4">
        <v>389</v>
      </c>
      <c r="M1164" s="4">
        <v>542</v>
      </c>
      <c r="N1164" s="4">
        <v>1632</v>
      </c>
      <c r="O1164" s="5">
        <f t="shared" si="18"/>
        <v>9.4750037883484184E-2</v>
      </c>
      <c r="P1164" s="2" t="s">
        <v>22</v>
      </c>
    </row>
    <row r="1165" spans="1:16" x14ac:dyDescent="0.25">
      <c r="A1165" s="6" t="s">
        <v>2399</v>
      </c>
      <c r="B1165" s="6" t="s">
        <v>2400</v>
      </c>
      <c r="C1165" s="6" t="s">
        <v>18</v>
      </c>
      <c r="D1165" s="7" t="s">
        <v>226</v>
      </c>
      <c r="E1165" s="7" t="s">
        <v>20</v>
      </c>
      <c r="F1165" s="6" t="s">
        <v>21</v>
      </c>
      <c r="G1165" s="8">
        <v>565125</v>
      </c>
      <c r="H1165" s="8">
        <v>314089</v>
      </c>
      <c r="I1165" s="8">
        <v>231151</v>
      </c>
      <c r="J1165" s="8">
        <v>21641</v>
      </c>
      <c r="K1165" s="8">
        <v>2627</v>
      </c>
      <c r="L1165" s="8">
        <v>1221</v>
      </c>
      <c r="M1165" s="8">
        <v>2773</v>
      </c>
      <c r="N1165" s="8">
        <v>3277</v>
      </c>
      <c r="O1165" s="9">
        <f t="shared" si="18"/>
        <v>0.12226639729008311</v>
      </c>
      <c r="P1165" s="6" t="s">
        <v>29</v>
      </c>
    </row>
    <row r="1166" spans="1:16" x14ac:dyDescent="0.25">
      <c r="A1166" s="2" t="s">
        <v>2401</v>
      </c>
      <c r="B1166" s="2" t="s">
        <v>2402</v>
      </c>
      <c r="C1166" s="2" t="s">
        <v>25</v>
      </c>
      <c r="D1166" s="3" t="s">
        <v>61</v>
      </c>
      <c r="E1166" s="3" t="s">
        <v>20</v>
      </c>
      <c r="F1166" s="2" t="s">
        <v>146</v>
      </c>
      <c r="G1166" s="4">
        <v>12271</v>
      </c>
      <c r="H1166" s="4">
        <v>1922</v>
      </c>
      <c r="I1166" s="4">
        <v>1587</v>
      </c>
      <c r="J1166" s="4">
        <v>50</v>
      </c>
      <c r="K1166" s="4">
        <v>3</v>
      </c>
      <c r="L1166" s="4">
        <v>1</v>
      </c>
      <c r="M1166" s="4">
        <v>2</v>
      </c>
      <c r="N1166" s="4">
        <v>20</v>
      </c>
      <c r="O1166" s="5">
        <f t="shared" si="18"/>
        <v>3.5286704473850031E-2</v>
      </c>
      <c r="P1166" s="2" t="s">
        <v>22</v>
      </c>
    </row>
    <row r="1167" spans="1:16" x14ac:dyDescent="0.25">
      <c r="A1167" s="6" t="s">
        <v>2403</v>
      </c>
      <c r="B1167" s="6" t="s">
        <v>2404</v>
      </c>
      <c r="C1167" s="6" t="s">
        <v>76</v>
      </c>
      <c r="D1167" s="7" t="s">
        <v>182</v>
      </c>
      <c r="E1167" s="7" t="s">
        <v>39</v>
      </c>
      <c r="F1167" s="6" t="s">
        <v>78</v>
      </c>
      <c r="G1167" s="8">
        <v>13726</v>
      </c>
      <c r="H1167" s="8">
        <v>4437</v>
      </c>
      <c r="I1167" s="8">
        <v>3572</v>
      </c>
      <c r="J1167" s="8">
        <v>251</v>
      </c>
      <c r="K1167" s="8">
        <v>35</v>
      </c>
      <c r="L1167" s="8">
        <v>15</v>
      </c>
      <c r="M1167" s="8">
        <v>57</v>
      </c>
      <c r="N1167" s="8">
        <v>29</v>
      </c>
      <c r="O1167" s="9">
        <f t="shared" si="18"/>
        <v>0.10022396416573348</v>
      </c>
      <c r="P1167" s="6" t="s">
        <v>22</v>
      </c>
    </row>
    <row r="1168" spans="1:16" x14ac:dyDescent="0.25">
      <c r="A1168" s="2" t="s">
        <v>2405</v>
      </c>
      <c r="B1168" s="2" t="s">
        <v>2406</v>
      </c>
      <c r="C1168" s="2" t="s">
        <v>25</v>
      </c>
      <c r="D1168" s="3" t="s">
        <v>64</v>
      </c>
      <c r="E1168" s="3" t="s">
        <v>45</v>
      </c>
      <c r="F1168" s="2" t="s">
        <v>28</v>
      </c>
      <c r="G1168" s="4">
        <v>513823</v>
      </c>
      <c r="H1168" s="4">
        <v>49612</v>
      </c>
      <c r="I1168" s="4">
        <v>42551</v>
      </c>
      <c r="J1168" s="4">
        <v>3822</v>
      </c>
      <c r="K1168" s="4">
        <v>190</v>
      </c>
      <c r="L1168" s="4">
        <v>139</v>
      </c>
      <c r="M1168" s="4">
        <v>417</v>
      </c>
      <c r="N1168" s="4">
        <v>349</v>
      </c>
      <c r="O1168" s="5">
        <f t="shared" si="18"/>
        <v>0.1073535287067284</v>
      </c>
      <c r="P1168" s="2" t="s">
        <v>66</v>
      </c>
    </row>
    <row r="1169" spans="1:16" x14ac:dyDescent="0.25">
      <c r="A1169" s="6" t="s">
        <v>2407</v>
      </c>
      <c r="B1169" s="6" t="s">
        <v>2408</v>
      </c>
      <c r="C1169" s="6" t="s">
        <v>76</v>
      </c>
      <c r="D1169" s="7" t="s">
        <v>77</v>
      </c>
      <c r="E1169" s="7" t="s">
        <v>39</v>
      </c>
      <c r="F1169" s="6" t="s">
        <v>155</v>
      </c>
      <c r="G1169" s="8">
        <v>173844</v>
      </c>
      <c r="H1169" s="8">
        <v>27027</v>
      </c>
      <c r="I1169" s="8">
        <v>24157</v>
      </c>
      <c r="J1169" s="8">
        <v>635</v>
      </c>
      <c r="K1169" s="8">
        <v>96</v>
      </c>
      <c r="L1169" s="8">
        <v>72</v>
      </c>
      <c r="M1169" s="8">
        <v>148</v>
      </c>
      <c r="N1169" s="8">
        <v>345</v>
      </c>
      <c r="O1169" s="9">
        <f t="shared" si="18"/>
        <v>3.9367471126381587E-2</v>
      </c>
      <c r="P1169" s="6" t="s">
        <v>66</v>
      </c>
    </row>
    <row r="1170" spans="1:16" x14ac:dyDescent="0.25">
      <c r="A1170" s="2" t="s">
        <v>2409</v>
      </c>
      <c r="B1170" s="2" t="s">
        <v>2410</v>
      </c>
      <c r="C1170" s="2" t="s">
        <v>32</v>
      </c>
      <c r="D1170" s="3" t="s">
        <v>121</v>
      </c>
      <c r="E1170" s="3" t="s">
        <v>50</v>
      </c>
      <c r="F1170" s="2" t="s">
        <v>40</v>
      </c>
      <c r="G1170" s="4">
        <v>436526</v>
      </c>
      <c r="H1170" s="4">
        <v>230658</v>
      </c>
      <c r="I1170" s="4">
        <v>208943</v>
      </c>
      <c r="J1170" s="4">
        <v>7144</v>
      </c>
      <c r="K1170" s="4">
        <v>496</v>
      </c>
      <c r="L1170" s="4">
        <v>501</v>
      </c>
      <c r="M1170" s="4">
        <v>40</v>
      </c>
      <c r="N1170" s="4">
        <v>4901</v>
      </c>
      <c r="O1170" s="5">
        <f t="shared" si="18"/>
        <v>3.9154219093245526E-2</v>
      </c>
      <c r="P1170" s="2" t="s">
        <v>22</v>
      </c>
    </row>
    <row r="1171" spans="1:16" x14ac:dyDescent="0.25">
      <c r="A1171" s="6" t="s">
        <v>2411</v>
      </c>
      <c r="B1171" s="6" t="s">
        <v>2412</v>
      </c>
      <c r="C1171" s="6" t="s">
        <v>32</v>
      </c>
      <c r="D1171" s="7" t="s">
        <v>49</v>
      </c>
      <c r="E1171" s="7" t="s">
        <v>50</v>
      </c>
      <c r="F1171" s="6" t="s">
        <v>128</v>
      </c>
      <c r="G1171" s="8">
        <v>191116</v>
      </c>
      <c r="H1171" s="8">
        <v>80519</v>
      </c>
      <c r="I1171" s="8">
        <v>73294</v>
      </c>
      <c r="J1171" s="8">
        <v>5388</v>
      </c>
      <c r="K1171" s="8">
        <v>439</v>
      </c>
      <c r="L1171" s="8">
        <v>383</v>
      </c>
      <c r="M1171" s="8">
        <v>34</v>
      </c>
      <c r="N1171" s="8">
        <v>1083</v>
      </c>
      <c r="O1171" s="9">
        <f t="shared" si="18"/>
        <v>8.519114797937076E-2</v>
      </c>
      <c r="P1171" s="6" t="s">
        <v>22</v>
      </c>
    </row>
    <row r="1172" spans="1:16" x14ac:dyDescent="0.25">
      <c r="A1172" s="2" t="s">
        <v>2413</v>
      </c>
      <c r="B1172" s="2" t="s">
        <v>2414</v>
      </c>
      <c r="C1172" s="2" t="s">
        <v>25</v>
      </c>
      <c r="D1172" s="3" t="s">
        <v>26</v>
      </c>
      <c r="E1172" s="3" t="s">
        <v>20</v>
      </c>
      <c r="F1172" s="2" t="s">
        <v>146</v>
      </c>
      <c r="G1172" s="4">
        <v>475795</v>
      </c>
      <c r="H1172" s="4">
        <v>293127</v>
      </c>
      <c r="I1172" s="4">
        <v>217203</v>
      </c>
      <c r="J1172" s="4">
        <v>8148</v>
      </c>
      <c r="K1172" s="4">
        <v>349</v>
      </c>
      <c r="L1172" s="4">
        <v>212</v>
      </c>
      <c r="M1172" s="4">
        <v>1272</v>
      </c>
      <c r="N1172" s="4">
        <v>9960</v>
      </c>
      <c r="O1172" s="5">
        <f t="shared" si="18"/>
        <v>4.5952403972320824E-2</v>
      </c>
      <c r="P1172" s="2" t="s">
        <v>22</v>
      </c>
    </row>
    <row r="1173" spans="1:16" x14ac:dyDescent="0.25">
      <c r="A1173" s="6" t="s">
        <v>2415</v>
      </c>
      <c r="B1173" s="6" t="s">
        <v>2416</v>
      </c>
      <c r="C1173" s="6" t="s">
        <v>32</v>
      </c>
      <c r="D1173" s="7" t="s">
        <v>33</v>
      </c>
      <c r="E1173" s="7" t="s">
        <v>34</v>
      </c>
      <c r="F1173" s="6" t="s">
        <v>128</v>
      </c>
      <c r="G1173" s="8">
        <v>478988</v>
      </c>
      <c r="H1173" s="8">
        <v>273925</v>
      </c>
      <c r="I1173" s="8">
        <v>209305</v>
      </c>
      <c r="J1173" s="8">
        <v>6071</v>
      </c>
      <c r="K1173" s="8">
        <v>755</v>
      </c>
      <c r="L1173" s="8">
        <v>299</v>
      </c>
      <c r="M1173" s="8">
        <v>9</v>
      </c>
      <c r="N1173" s="8">
        <v>4266</v>
      </c>
      <c r="O1173" s="9">
        <f t="shared" si="18"/>
        <v>3.4084231145935361E-2</v>
      </c>
      <c r="P1173" s="6" t="s">
        <v>22</v>
      </c>
    </row>
    <row r="1174" spans="1:16" x14ac:dyDescent="0.25">
      <c r="A1174" s="2" t="s">
        <v>2417</v>
      </c>
      <c r="B1174" s="2" t="s">
        <v>2418</v>
      </c>
      <c r="C1174" s="2" t="s">
        <v>18</v>
      </c>
      <c r="D1174" s="3" t="s">
        <v>19</v>
      </c>
      <c r="E1174" s="3" t="s">
        <v>27</v>
      </c>
      <c r="F1174" s="2" t="s">
        <v>58</v>
      </c>
      <c r="G1174" s="4">
        <v>773432</v>
      </c>
      <c r="H1174" s="4">
        <v>398828</v>
      </c>
      <c r="I1174" s="4">
        <v>288131</v>
      </c>
      <c r="J1174" s="4">
        <v>12176</v>
      </c>
      <c r="K1174" s="4">
        <v>2018</v>
      </c>
      <c r="L1174" s="4">
        <v>1739</v>
      </c>
      <c r="M1174" s="4">
        <v>2431</v>
      </c>
      <c r="N1174" s="4">
        <v>4982</v>
      </c>
      <c r="O1174" s="5">
        <f t="shared" si="18"/>
        <v>6.3734898362203307E-2</v>
      </c>
      <c r="P1174" s="2" t="s">
        <v>22</v>
      </c>
    </row>
    <row r="1175" spans="1:16" x14ac:dyDescent="0.25">
      <c r="A1175" s="6" t="s">
        <v>2419</v>
      </c>
      <c r="B1175" s="6" t="s">
        <v>2420</v>
      </c>
      <c r="C1175" s="6" t="s">
        <v>18</v>
      </c>
      <c r="D1175" s="7" t="s">
        <v>19</v>
      </c>
      <c r="E1175" s="7" t="s">
        <v>20</v>
      </c>
      <c r="F1175" s="6" t="s">
        <v>21</v>
      </c>
      <c r="G1175" s="8">
        <v>396429</v>
      </c>
      <c r="H1175" s="8">
        <v>185172</v>
      </c>
      <c r="I1175" s="8">
        <v>162655</v>
      </c>
      <c r="J1175" s="8">
        <v>10270</v>
      </c>
      <c r="K1175" s="8">
        <v>1303</v>
      </c>
      <c r="L1175" s="8">
        <v>1340</v>
      </c>
      <c r="M1175" s="8">
        <v>908</v>
      </c>
      <c r="N1175" s="8">
        <v>2010</v>
      </c>
      <c r="O1175" s="9">
        <f t="shared" si="18"/>
        <v>8.4971258184500936E-2</v>
      </c>
      <c r="P1175" s="6" t="s">
        <v>29</v>
      </c>
    </row>
    <row r="1176" spans="1:16" x14ac:dyDescent="0.25">
      <c r="A1176" s="2" t="s">
        <v>2421</v>
      </c>
      <c r="B1176" s="2" t="s">
        <v>2422</v>
      </c>
      <c r="C1176" s="2" t="s">
        <v>25</v>
      </c>
      <c r="D1176" s="3" t="s">
        <v>244</v>
      </c>
      <c r="E1176" s="3" t="s">
        <v>50</v>
      </c>
      <c r="F1176" s="2" t="s">
        <v>28</v>
      </c>
      <c r="G1176" s="4">
        <v>466828</v>
      </c>
      <c r="H1176" s="4">
        <v>259137</v>
      </c>
      <c r="I1176" s="4">
        <v>210026</v>
      </c>
      <c r="J1176" s="4">
        <v>13245</v>
      </c>
      <c r="K1176" s="4">
        <v>1407</v>
      </c>
      <c r="L1176" s="4">
        <v>1263</v>
      </c>
      <c r="M1176" s="4">
        <v>1537</v>
      </c>
      <c r="N1176" s="4">
        <v>3402</v>
      </c>
      <c r="O1176" s="5">
        <f t="shared" si="18"/>
        <v>8.3094474017502598E-2</v>
      </c>
      <c r="P1176" s="2" t="s">
        <v>22</v>
      </c>
    </row>
    <row r="1177" spans="1:16" x14ac:dyDescent="0.25">
      <c r="A1177" s="6" t="s">
        <v>2423</v>
      </c>
      <c r="B1177" s="6" t="s">
        <v>2424</v>
      </c>
      <c r="C1177" s="6" t="s">
        <v>43</v>
      </c>
      <c r="D1177" s="7" t="s">
        <v>69</v>
      </c>
      <c r="E1177" s="7" t="s">
        <v>27</v>
      </c>
      <c r="F1177" s="6" t="s">
        <v>107</v>
      </c>
      <c r="G1177" s="8">
        <v>368831</v>
      </c>
      <c r="H1177" s="8">
        <v>190564</v>
      </c>
      <c r="I1177" s="8">
        <v>141338</v>
      </c>
      <c r="J1177" s="8">
        <v>11607</v>
      </c>
      <c r="K1177" s="8">
        <v>1213</v>
      </c>
      <c r="L1177" s="8">
        <v>1173</v>
      </c>
      <c r="M1177" s="8">
        <v>11</v>
      </c>
      <c r="N1177" s="8">
        <v>3223</v>
      </c>
      <c r="O1177" s="9">
        <f t="shared" si="18"/>
        <v>9.9081634096987364E-2</v>
      </c>
      <c r="P1177" s="6" t="s">
        <v>29</v>
      </c>
    </row>
    <row r="1178" spans="1:16" x14ac:dyDescent="0.25">
      <c r="A1178" s="2" t="s">
        <v>2425</v>
      </c>
      <c r="B1178" s="2" t="s">
        <v>2426</v>
      </c>
      <c r="C1178" s="2" t="s">
        <v>18</v>
      </c>
      <c r="D1178" s="3" t="s">
        <v>57</v>
      </c>
      <c r="E1178" s="3" t="s">
        <v>20</v>
      </c>
      <c r="F1178" s="2" t="s">
        <v>58</v>
      </c>
      <c r="G1178" s="4">
        <v>196472</v>
      </c>
      <c r="H1178" s="4">
        <v>71489</v>
      </c>
      <c r="I1178" s="4">
        <v>62542</v>
      </c>
      <c r="J1178" s="4">
        <v>2116</v>
      </c>
      <c r="K1178" s="4">
        <v>177</v>
      </c>
      <c r="L1178" s="4">
        <v>84</v>
      </c>
      <c r="M1178" s="4">
        <v>282</v>
      </c>
      <c r="N1178" s="4">
        <v>2257</v>
      </c>
      <c r="O1178" s="5">
        <f t="shared" si="18"/>
        <v>4.2515429631287772E-2</v>
      </c>
      <c r="P1178" s="2" t="s">
        <v>22</v>
      </c>
    </row>
    <row r="1179" spans="1:16" x14ac:dyDescent="0.25">
      <c r="A1179" s="6" t="s">
        <v>2427</v>
      </c>
      <c r="B1179" s="6" t="s">
        <v>2428</v>
      </c>
      <c r="C1179" s="6" t="s">
        <v>25</v>
      </c>
      <c r="D1179" s="7" t="s">
        <v>145</v>
      </c>
      <c r="E1179" s="7" t="s">
        <v>45</v>
      </c>
      <c r="F1179" s="6" t="s">
        <v>28</v>
      </c>
      <c r="G1179" s="8">
        <v>603024</v>
      </c>
      <c r="H1179" s="8">
        <v>102436</v>
      </c>
      <c r="I1179" s="8">
        <v>78146</v>
      </c>
      <c r="J1179" s="8">
        <v>2487</v>
      </c>
      <c r="K1179" s="8">
        <v>419</v>
      </c>
      <c r="L1179" s="8">
        <v>358</v>
      </c>
      <c r="M1179" s="8">
        <v>506</v>
      </c>
      <c r="N1179" s="8">
        <v>1183</v>
      </c>
      <c r="O1179" s="9">
        <f t="shared" si="18"/>
        <v>4.8243032272925035E-2</v>
      </c>
      <c r="P1179" s="6" t="s">
        <v>22</v>
      </c>
    </row>
    <row r="1180" spans="1:16" x14ac:dyDescent="0.25">
      <c r="A1180" s="2" t="s">
        <v>2429</v>
      </c>
      <c r="B1180" s="2" t="s">
        <v>2430</v>
      </c>
      <c r="C1180" s="2" t="s">
        <v>43</v>
      </c>
      <c r="D1180" s="3" t="s">
        <v>69</v>
      </c>
      <c r="E1180" s="3" t="s">
        <v>20</v>
      </c>
      <c r="F1180" s="2" t="s">
        <v>46</v>
      </c>
      <c r="G1180" s="4">
        <v>258733</v>
      </c>
      <c r="H1180" s="4">
        <v>126912</v>
      </c>
      <c r="I1180" s="4">
        <v>106868</v>
      </c>
      <c r="J1180" s="4">
        <v>3850</v>
      </c>
      <c r="K1180" s="4">
        <v>474</v>
      </c>
      <c r="L1180" s="4">
        <v>225</v>
      </c>
      <c r="M1180" s="4">
        <v>48</v>
      </c>
      <c r="N1180" s="4">
        <v>4266</v>
      </c>
      <c r="O1180" s="5">
        <f t="shared" si="18"/>
        <v>4.3015682898529028E-2</v>
      </c>
      <c r="P1180" s="2" t="s">
        <v>22</v>
      </c>
    </row>
    <row r="1181" spans="1:16" x14ac:dyDescent="0.25">
      <c r="A1181" s="6" t="s">
        <v>2431</v>
      </c>
      <c r="B1181" s="6" t="s">
        <v>2432</v>
      </c>
      <c r="C1181" s="6" t="s">
        <v>18</v>
      </c>
      <c r="D1181" s="7" t="s">
        <v>92</v>
      </c>
      <c r="E1181" s="7" t="s">
        <v>27</v>
      </c>
      <c r="F1181" s="6" t="s">
        <v>21</v>
      </c>
      <c r="G1181" s="8">
        <v>680202</v>
      </c>
      <c r="H1181" s="8">
        <v>186100</v>
      </c>
      <c r="I1181" s="8">
        <v>138653</v>
      </c>
      <c r="J1181" s="8">
        <v>4916</v>
      </c>
      <c r="K1181" s="8">
        <v>630</v>
      </c>
      <c r="L1181" s="8">
        <v>584</v>
      </c>
      <c r="M1181" s="8">
        <v>285</v>
      </c>
      <c r="N1181" s="8">
        <v>2452</v>
      </c>
      <c r="O1181" s="9">
        <f t="shared" si="18"/>
        <v>4.6266579158042019E-2</v>
      </c>
      <c r="P1181" s="6" t="s">
        <v>22</v>
      </c>
    </row>
    <row r="1182" spans="1:16" x14ac:dyDescent="0.25">
      <c r="A1182" s="2" t="s">
        <v>2433</v>
      </c>
      <c r="B1182" s="2" t="s">
        <v>2434</v>
      </c>
      <c r="C1182" s="2" t="s">
        <v>25</v>
      </c>
      <c r="D1182" s="3" t="s">
        <v>145</v>
      </c>
      <c r="E1182" s="3" t="s">
        <v>45</v>
      </c>
      <c r="F1182" s="2" t="s">
        <v>54</v>
      </c>
      <c r="G1182" s="4">
        <v>187867</v>
      </c>
      <c r="H1182" s="4">
        <v>25133</v>
      </c>
      <c r="I1182" s="4">
        <v>18549</v>
      </c>
      <c r="J1182" s="4">
        <v>617</v>
      </c>
      <c r="K1182" s="4">
        <v>87</v>
      </c>
      <c r="L1182" s="4">
        <v>53</v>
      </c>
      <c r="M1182" s="4">
        <v>143</v>
      </c>
      <c r="N1182" s="4">
        <v>210</v>
      </c>
      <c r="O1182" s="5">
        <f t="shared" si="18"/>
        <v>4.8520135856380396E-2</v>
      </c>
      <c r="P1182" s="2" t="s">
        <v>22</v>
      </c>
    </row>
    <row r="1183" spans="1:16" x14ac:dyDescent="0.25">
      <c r="A1183" s="6" t="s">
        <v>2435</v>
      </c>
      <c r="B1183" s="6" t="s">
        <v>2436</v>
      </c>
      <c r="C1183" s="6" t="s">
        <v>43</v>
      </c>
      <c r="D1183" s="7" t="s">
        <v>69</v>
      </c>
      <c r="E1183" s="7" t="s">
        <v>39</v>
      </c>
      <c r="F1183" s="6" t="s">
        <v>46</v>
      </c>
      <c r="G1183" s="8">
        <v>11345</v>
      </c>
      <c r="H1183" s="8">
        <v>4676</v>
      </c>
      <c r="I1183" s="8">
        <v>3609</v>
      </c>
      <c r="J1183" s="8">
        <v>249</v>
      </c>
      <c r="K1183" s="8">
        <v>9</v>
      </c>
      <c r="L1183" s="8">
        <v>14</v>
      </c>
      <c r="M1183" s="8">
        <v>19</v>
      </c>
      <c r="N1183" s="8">
        <v>128</v>
      </c>
      <c r="O1183" s="9">
        <f t="shared" si="18"/>
        <v>8.0631753948462184E-2</v>
      </c>
      <c r="P1183" s="6" t="s">
        <v>29</v>
      </c>
    </row>
    <row r="1184" spans="1:16" x14ac:dyDescent="0.25">
      <c r="A1184" s="2" t="s">
        <v>2437</v>
      </c>
      <c r="B1184" s="2" t="s">
        <v>2438</v>
      </c>
      <c r="C1184" s="2" t="s">
        <v>32</v>
      </c>
      <c r="D1184" s="3" t="s">
        <v>49</v>
      </c>
      <c r="E1184" s="3" t="s">
        <v>27</v>
      </c>
      <c r="F1184" s="2" t="s">
        <v>35</v>
      </c>
      <c r="G1184" s="4">
        <v>466226</v>
      </c>
      <c r="H1184" s="4">
        <v>164974</v>
      </c>
      <c r="I1184" s="4">
        <v>134383</v>
      </c>
      <c r="J1184" s="4">
        <v>10980</v>
      </c>
      <c r="K1184" s="4">
        <v>1910</v>
      </c>
      <c r="L1184" s="4">
        <v>1130</v>
      </c>
      <c r="M1184" s="4">
        <v>18</v>
      </c>
      <c r="N1184" s="4">
        <v>5505</v>
      </c>
      <c r="O1184" s="5">
        <f t="shared" si="18"/>
        <v>0.10446261803948416</v>
      </c>
      <c r="P1184" s="2" t="s">
        <v>22</v>
      </c>
    </row>
    <row r="1185" spans="1:16" x14ac:dyDescent="0.25">
      <c r="A1185" s="6" t="s">
        <v>2439</v>
      </c>
      <c r="B1185" s="6" t="s">
        <v>2440</v>
      </c>
      <c r="C1185" s="6" t="s">
        <v>32</v>
      </c>
      <c r="D1185" s="7" t="s">
        <v>49</v>
      </c>
      <c r="E1185" s="7" t="s">
        <v>20</v>
      </c>
      <c r="F1185" s="6" t="s">
        <v>40</v>
      </c>
      <c r="G1185" s="8">
        <v>692991</v>
      </c>
      <c r="H1185" s="8">
        <v>296595</v>
      </c>
      <c r="I1185" s="8">
        <v>268310</v>
      </c>
      <c r="J1185" s="8">
        <v>20322</v>
      </c>
      <c r="K1185" s="8">
        <v>1155</v>
      </c>
      <c r="L1185" s="8">
        <v>917</v>
      </c>
      <c r="M1185" s="8">
        <v>1</v>
      </c>
      <c r="N1185" s="8">
        <v>4202</v>
      </c>
      <c r="O1185" s="9">
        <f t="shared" si="18"/>
        <v>8.3466885319220308E-2</v>
      </c>
      <c r="P1185" s="6" t="s">
        <v>22</v>
      </c>
    </row>
    <row r="1186" spans="1:16" x14ac:dyDescent="0.25">
      <c r="A1186" s="2" t="s">
        <v>2441</v>
      </c>
      <c r="B1186" s="2" t="s">
        <v>2442</v>
      </c>
      <c r="C1186" s="2" t="s">
        <v>43</v>
      </c>
      <c r="D1186" s="3" t="s">
        <v>44</v>
      </c>
      <c r="E1186" s="3" t="s">
        <v>34</v>
      </c>
      <c r="F1186" s="2" t="s">
        <v>46</v>
      </c>
      <c r="G1186" s="4">
        <v>770832</v>
      </c>
      <c r="H1186" s="4">
        <v>286221</v>
      </c>
      <c r="I1186" s="4">
        <v>248997</v>
      </c>
      <c r="J1186" s="4">
        <v>17746</v>
      </c>
      <c r="K1186" s="4">
        <v>830</v>
      </c>
      <c r="L1186" s="4">
        <v>1441</v>
      </c>
      <c r="M1186" s="4">
        <v>39</v>
      </c>
      <c r="N1186" s="4">
        <v>5265</v>
      </c>
      <c r="O1186" s="5">
        <f t="shared" si="18"/>
        <v>8.0547155186608668E-2</v>
      </c>
      <c r="P1186" s="2" t="s">
        <v>29</v>
      </c>
    </row>
    <row r="1187" spans="1:16" x14ac:dyDescent="0.25">
      <c r="A1187" s="6" t="s">
        <v>2443</v>
      </c>
      <c r="B1187" s="6" t="s">
        <v>2444</v>
      </c>
      <c r="C1187" s="6" t="s">
        <v>43</v>
      </c>
      <c r="D1187" s="7" t="s">
        <v>110</v>
      </c>
      <c r="E1187" s="7" t="s">
        <v>27</v>
      </c>
      <c r="F1187" s="6" t="s">
        <v>107</v>
      </c>
      <c r="G1187" s="8">
        <v>554938</v>
      </c>
      <c r="H1187" s="8">
        <v>95284</v>
      </c>
      <c r="I1187" s="8">
        <v>70873</v>
      </c>
      <c r="J1187" s="8">
        <v>6109</v>
      </c>
      <c r="K1187" s="8">
        <v>201</v>
      </c>
      <c r="L1187" s="8">
        <v>296</v>
      </c>
      <c r="M1187" s="8">
        <v>27</v>
      </c>
      <c r="N1187" s="8">
        <v>1683</v>
      </c>
      <c r="O1187" s="9">
        <f t="shared" si="18"/>
        <v>9.3589942573335402E-2</v>
      </c>
      <c r="P1187" s="6" t="s">
        <v>22</v>
      </c>
    </row>
    <row r="1188" spans="1:16" x14ac:dyDescent="0.25">
      <c r="A1188" s="2" t="s">
        <v>2445</v>
      </c>
      <c r="B1188" s="2" t="s">
        <v>2446</v>
      </c>
      <c r="C1188" s="2" t="s">
        <v>76</v>
      </c>
      <c r="D1188" s="3" t="s">
        <v>77</v>
      </c>
      <c r="E1188" s="3" t="s">
        <v>34</v>
      </c>
      <c r="F1188" s="2" t="s">
        <v>78</v>
      </c>
      <c r="G1188" s="4">
        <v>208763</v>
      </c>
      <c r="H1188" s="4">
        <v>80868</v>
      </c>
      <c r="I1188" s="4">
        <v>66285</v>
      </c>
      <c r="J1188" s="4">
        <v>2532</v>
      </c>
      <c r="K1188" s="4">
        <v>112</v>
      </c>
      <c r="L1188" s="4">
        <v>156</v>
      </c>
      <c r="M1188" s="4">
        <v>150</v>
      </c>
      <c r="N1188" s="4">
        <v>2368</v>
      </c>
      <c r="O1188" s="5">
        <f t="shared" si="18"/>
        <v>4.45047899223052E-2</v>
      </c>
      <c r="P1188" s="2" t="s">
        <v>22</v>
      </c>
    </row>
    <row r="1189" spans="1:16" x14ac:dyDescent="0.25">
      <c r="A1189" s="6" t="s">
        <v>2447</v>
      </c>
      <c r="B1189" s="6" t="s">
        <v>2448</v>
      </c>
      <c r="C1189" s="6" t="s">
        <v>43</v>
      </c>
      <c r="D1189" s="7" t="s">
        <v>81</v>
      </c>
      <c r="E1189" s="7" t="s">
        <v>50</v>
      </c>
      <c r="F1189" s="6" t="s">
        <v>107</v>
      </c>
      <c r="G1189" s="8">
        <v>725086</v>
      </c>
      <c r="H1189" s="8">
        <v>230736</v>
      </c>
      <c r="I1189" s="8">
        <v>192781</v>
      </c>
      <c r="J1189" s="8">
        <v>13751</v>
      </c>
      <c r="K1189" s="8">
        <v>1577</v>
      </c>
      <c r="L1189" s="8">
        <v>1368</v>
      </c>
      <c r="M1189" s="8">
        <v>3</v>
      </c>
      <c r="N1189" s="8">
        <v>4276</v>
      </c>
      <c r="O1189" s="9">
        <f t="shared" si="18"/>
        <v>8.6621606901095022E-2</v>
      </c>
      <c r="P1189" s="6" t="s">
        <v>22</v>
      </c>
    </row>
    <row r="1190" spans="1:16" x14ac:dyDescent="0.25">
      <c r="A1190" s="2" t="s">
        <v>2449</v>
      </c>
      <c r="B1190" s="2" t="s">
        <v>2450</v>
      </c>
      <c r="C1190" s="2" t="s">
        <v>32</v>
      </c>
      <c r="D1190" s="3" t="s">
        <v>49</v>
      </c>
      <c r="E1190" s="3" t="s">
        <v>20</v>
      </c>
      <c r="F1190" s="2" t="s">
        <v>51</v>
      </c>
      <c r="G1190" s="4">
        <v>585309</v>
      </c>
      <c r="H1190" s="4">
        <v>115821</v>
      </c>
      <c r="I1190" s="4">
        <v>96602</v>
      </c>
      <c r="J1190" s="4">
        <v>4994</v>
      </c>
      <c r="K1190" s="4">
        <v>741</v>
      </c>
      <c r="L1190" s="4">
        <v>722</v>
      </c>
      <c r="M1190" s="4">
        <v>13</v>
      </c>
      <c r="N1190" s="4">
        <v>3409</v>
      </c>
      <c r="O1190" s="5">
        <f t="shared" si="18"/>
        <v>6.6975839009544319E-2</v>
      </c>
      <c r="P1190" s="2" t="s">
        <v>22</v>
      </c>
    </row>
    <row r="1191" spans="1:16" x14ac:dyDescent="0.25">
      <c r="A1191" s="6" t="s">
        <v>2451</v>
      </c>
      <c r="B1191" s="6" t="s">
        <v>2452</v>
      </c>
      <c r="C1191" s="6" t="s">
        <v>76</v>
      </c>
      <c r="D1191" s="7" t="s">
        <v>189</v>
      </c>
      <c r="E1191" s="7" t="s">
        <v>39</v>
      </c>
      <c r="F1191" s="6" t="s">
        <v>155</v>
      </c>
      <c r="G1191" s="8">
        <v>419465</v>
      </c>
      <c r="H1191" s="8">
        <v>92812</v>
      </c>
      <c r="I1191" s="8">
        <v>71190</v>
      </c>
      <c r="J1191" s="8">
        <v>6182</v>
      </c>
      <c r="K1191" s="8">
        <v>186</v>
      </c>
      <c r="L1191" s="8">
        <v>183</v>
      </c>
      <c r="M1191" s="8">
        <v>500</v>
      </c>
      <c r="N1191" s="8">
        <v>1872</v>
      </c>
      <c r="O1191" s="9">
        <f t="shared" si="18"/>
        <v>9.9044809664278685E-2</v>
      </c>
      <c r="P1191" s="6" t="s">
        <v>22</v>
      </c>
    </row>
    <row r="1192" spans="1:16" x14ac:dyDescent="0.25">
      <c r="A1192" s="2" t="s">
        <v>2453</v>
      </c>
      <c r="B1192" s="2" t="s">
        <v>2454</v>
      </c>
      <c r="C1192" s="2" t="s">
        <v>25</v>
      </c>
      <c r="D1192" s="3" t="s">
        <v>145</v>
      </c>
      <c r="E1192" s="3" t="s">
        <v>45</v>
      </c>
      <c r="F1192" s="2" t="s">
        <v>146</v>
      </c>
      <c r="G1192" s="4">
        <v>368796</v>
      </c>
      <c r="H1192" s="4">
        <v>126430</v>
      </c>
      <c r="I1192" s="4">
        <v>108759</v>
      </c>
      <c r="J1192" s="4">
        <v>3008</v>
      </c>
      <c r="K1192" s="4">
        <v>305</v>
      </c>
      <c r="L1192" s="4">
        <v>337</v>
      </c>
      <c r="M1192" s="4">
        <v>610</v>
      </c>
      <c r="N1192" s="4">
        <v>4201</v>
      </c>
      <c r="O1192" s="5">
        <f t="shared" si="18"/>
        <v>3.9169172206438091E-2</v>
      </c>
      <c r="P1192" s="2" t="s">
        <v>22</v>
      </c>
    </row>
    <row r="1193" spans="1:16" x14ac:dyDescent="0.25">
      <c r="A1193" s="6" t="s">
        <v>2455</v>
      </c>
      <c r="B1193" s="6" t="s">
        <v>2456</v>
      </c>
      <c r="C1193" s="6" t="s">
        <v>76</v>
      </c>
      <c r="D1193" s="7" t="s">
        <v>77</v>
      </c>
      <c r="E1193" s="7" t="s">
        <v>39</v>
      </c>
      <c r="F1193" s="6" t="s">
        <v>78</v>
      </c>
      <c r="G1193" s="8">
        <v>612772</v>
      </c>
      <c r="H1193" s="8">
        <v>270746</v>
      </c>
      <c r="I1193" s="8">
        <v>220653</v>
      </c>
      <c r="J1193" s="8">
        <v>19325</v>
      </c>
      <c r="K1193" s="8">
        <v>2937</v>
      </c>
      <c r="L1193" s="8">
        <v>1007</v>
      </c>
      <c r="M1193" s="8">
        <v>1256</v>
      </c>
      <c r="N1193" s="8">
        <v>2388</v>
      </c>
      <c r="O1193" s="9">
        <f t="shared" si="18"/>
        <v>0.11114736713300975</v>
      </c>
      <c r="P1193" s="6" t="s">
        <v>29</v>
      </c>
    </row>
    <row r="1194" spans="1:16" x14ac:dyDescent="0.25">
      <c r="A1194" s="2" t="s">
        <v>2457</v>
      </c>
      <c r="B1194" s="2" t="s">
        <v>2458</v>
      </c>
      <c r="C1194" s="2" t="s">
        <v>43</v>
      </c>
      <c r="D1194" s="3" t="s">
        <v>81</v>
      </c>
      <c r="E1194" s="3" t="s">
        <v>50</v>
      </c>
      <c r="F1194" s="2" t="s">
        <v>107</v>
      </c>
      <c r="G1194" s="4">
        <v>441852</v>
      </c>
      <c r="H1194" s="4">
        <v>169647</v>
      </c>
      <c r="I1194" s="4">
        <v>138944</v>
      </c>
      <c r="J1194" s="4">
        <v>6435</v>
      </c>
      <c r="K1194" s="4">
        <v>830</v>
      </c>
      <c r="L1194" s="4">
        <v>277</v>
      </c>
      <c r="M1194" s="4">
        <v>43</v>
      </c>
      <c r="N1194" s="4">
        <v>932</v>
      </c>
      <c r="O1194" s="5">
        <f t="shared" si="18"/>
        <v>5.459033855366191E-2</v>
      </c>
      <c r="P1194" s="2" t="s">
        <v>29</v>
      </c>
    </row>
    <row r="1195" spans="1:16" x14ac:dyDescent="0.25">
      <c r="A1195" s="6" t="s">
        <v>2459</v>
      </c>
      <c r="B1195" s="6" t="s">
        <v>2460</v>
      </c>
      <c r="C1195" s="6" t="s">
        <v>32</v>
      </c>
      <c r="D1195" s="7" t="s">
        <v>38</v>
      </c>
      <c r="E1195" s="7" t="s">
        <v>45</v>
      </c>
      <c r="F1195" s="6" t="s">
        <v>35</v>
      </c>
      <c r="G1195" s="8">
        <v>562299</v>
      </c>
      <c r="H1195" s="8">
        <v>99731</v>
      </c>
      <c r="I1195" s="8">
        <v>82422</v>
      </c>
      <c r="J1195" s="8">
        <v>2558</v>
      </c>
      <c r="K1195" s="8">
        <v>200</v>
      </c>
      <c r="L1195" s="8">
        <v>119</v>
      </c>
      <c r="M1195" s="8">
        <v>39</v>
      </c>
      <c r="N1195" s="8">
        <v>2016</v>
      </c>
      <c r="O1195" s="9">
        <f t="shared" si="18"/>
        <v>3.5378903690762173E-2</v>
      </c>
      <c r="P1195" s="6" t="s">
        <v>22</v>
      </c>
    </row>
    <row r="1196" spans="1:16" x14ac:dyDescent="0.25">
      <c r="A1196" s="2" t="s">
        <v>2461</v>
      </c>
      <c r="B1196" s="2" t="s">
        <v>2462</v>
      </c>
      <c r="C1196" s="2" t="s">
        <v>43</v>
      </c>
      <c r="D1196" s="3" t="s">
        <v>110</v>
      </c>
      <c r="E1196" s="3" t="s">
        <v>45</v>
      </c>
      <c r="F1196" s="2" t="s">
        <v>46</v>
      </c>
      <c r="G1196" s="4">
        <v>661293</v>
      </c>
      <c r="H1196" s="4">
        <v>340881</v>
      </c>
      <c r="I1196" s="4">
        <v>260954</v>
      </c>
      <c r="J1196" s="4">
        <v>9609</v>
      </c>
      <c r="K1196" s="4">
        <v>1530</v>
      </c>
      <c r="L1196" s="4">
        <v>220</v>
      </c>
      <c r="M1196" s="4">
        <v>17</v>
      </c>
      <c r="N1196" s="4">
        <v>8120</v>
      </c>
      <c r="O1196" s="5">
        <f t="shared" si="18"/>
        <v>4.3593890110900771E-2</v>
      </c>
      <c r="P1196" s="2" t="s">
        <v>22</v>
      </c>
    </row>
    <row r="1197" spans="1:16" x14ac:dyDescent="0.25">
      <c r="A1197" s="6" t="s">
        <v>2463</v>
      </c>
      <c r="B1197" s="6" t="s">
        <v>2464</v>
      </c>
      <c r="C1197" s="6" t="s">
        <v>18</v>
      </c>
      <c r="D1197" s="7" t="s">
        <v>226</v>
      </c>
      <c r="E1197" s="7" t="s">
        <v>39</v>
      </c>
      <c r="F1197" s="6" t="s">
        <v>73</v>
      </c>
      <c r="G1197" s="8">
        <v>651291</v>
      </c>
      <c r="H1197" s="8">
        <v>60119</v>
      </c>
      <c r="I1197" s="8">
        <v>49400</v>
      </c>
      <c r="J1197" s="8">
        <v>3349</v>
      </c>
      <c r="K1197" s="8">
        <v>254</v>
      </c>
      <c r="L1197" s="8">
        <v>362</v>
      </c>
      <c r="M1197" s="8">
        <v>338</v>
      </c>
      <c r="N1197" s="8">
        <v>935</v>
      </c>
      <c r="O1197" s="9">
        <f t="shared" si="18"/>
        <v>8.7105263157894741E-2</v>
      </c>
      <c r="P1197" s="6" t="s">
        <v>29</v>
      </c>
    </row>
    <row r="1198" spans="1:16" x14ac:dyDescent="0.25">
      <c r="A1198" s="2" t="s">
        <v>2465</v>
      </c>
      <c r="B1198" s="2" t="s">
        <v>2466</v>
      </c>
      <c r="C1198" s="2" t="s">
        <v>76</v>
      </c>
      <c r="D1198" s="3" t="s">
        <v>189</v>
      </c>
      <c r="E1198" s="3" t="s">
        <v>20</v>
      </c>
      <c r="F1198" s="2" t="s">
        <v>78</v>
      </c>
      <c r="G1198" s="4">
        <v>120511</v>
      </c>
      <c r="H1198" s="4">
        <v>26300</v>
      </c>
      <c r="I1198" s="4">
        <v>21412</v>
      </c>
      <c r="J1198" s="4">
        <v>1520</v>
      </c>
      <c r="K1198" s="4">
        <v>92</v>
      </c>
      <c r="L1198" s="4">
        <v>175</v>
      </c>
      <c r="M1198" s="4">
        <v>239</v>
      </c>
      <c r="N1198" s="4">
        <v>552</v>
      </c>
      <c r="O1198" s="5">
        <f t="shared" si="18"/>
        <v>9.4619839342424808E-2</v>
      </c>
      <c r="P1198" s="2" t="s">
        <v>66</v>
      </c>
    </row>
    <row r="1199" spans="1:16" x14ac:dyDescent="0.25">
      <c r="A1199" s="6" t="s">
        <v>2467</v>
      </c>
      <c r="B1199" s="6" t="s">
        <v>2468</v>
      </c>
      <c r="C1199" s="6" t="s">
        <v>18</v>
      </c>
      <c r="D1199" s="7" t="s">
        <v>231</v>
      </c>
      <c r="E1199" s="7" t="s">
        <v>50</v>
      </c>
      <c r="F1199" s="6" t="s">
        <v>21</v>
      </c>
      <c r="G1199" s="8">
        <v>833323</v>
      </c>
      <c r="H1199" s="8">
        <v>381530</v>
      </c>
      <c r="I1199" s="8">
        <v>334740</v>
      </c>
      <c r="J1199" s="8">
        <v>27680</v>
      </c>
      <c r="K1199" s="8">
        <v>2186</v>
      </c>
      <c r="L1199" s="8">
        <v>1168</v>
      </c>
      <c r="M1199" s="8">
        <v>6010</v>
      </c>
      <c r="N1199" s="8">
        <v>13200</v>
      </c>
      <c r="O1199" s="9">
        <f t="shared" si="18"/>
        <v>0.11066499372647427</v>
      </c>
      <c r="P1199" s="6" t="s">
        <v>22</v>
      </c>
    </row>
    <row r="1200" spans="1:16" x14ac:dyDescent="0.25">
      <c r="A1200" s="2" t="s">
        <v>2469</v>
      </c>
      <c r="B1200" s="2" t="s">
        <v>2470</v>
      </c>
      <c r="C1200" s="2" t="s">
        <v>32</v>
      </c>
      <c r="D1200" s="3" t="s">
        <v>38</v>
      </c>
      <c r="E1200" s="3" t="s">
        <v>27</v>
      </c>
      <c r="F1200" s="2" t="s">
        <v>128</v>
      </c>
      <c r="G1200" s="4">
        <v>21456</v>
      </c>
      <c r="H1200" s="4">
        <v>3907</v>
      </c>
      <c r="I1200" s="4">
        <v>3451</v>
      </c>
      <c r="J1200" s="4">
        <v>162</v>
      </c>
      <c r="K1200" s="4">
        <v>7</v>
      </c>
      <c r="L1200" s="4">
        <v>7</v>
      </c>
      <c r="M1200" s="4">
        <v>35</v>
      </c>
      <c r="N1200" s="4">
        <v>122</v>
      </c>
      <c r="O1200" s="5">
        <f t="shared" si="18"/>
        <v>6.1141698058533755E-2</v>
      </c>
      <c r="P1200" s="2" t="s">
        <v>22</v>
      </c>
    </row>
    <row r="1201" spans="1:16" x14ac:dyDescent="0.25">
      <c r="A1201" s="6" t="s">
        <v>2471</v>
      </c>
      <c r="B1201" s="6" t="s">
        <v>2472</v>
      </c>
      <c r="C1201" s="6" t="s">
        <v>18</v>
      </c>
      <c r="D1201" s="7" t="s">
        <v>57</v>
      </c>
      <c r="E1201" s="7" t="s">
        <v>50</v>
      </c>
      <c r="F1201" s="6" t="s">
        <v>73</v>
      </c>
      <c r="G1201" s="8">
        <v>569629</v>
      </c>
      <c r="H1201" s="8">
        <v>246505</v>
      </c>
      <c r="I1201" s="8">
        <v>198244</v>
      </c>
      <c r="J1201" s="8">
        <v>17256</v>
      </c>
      <c r="K1201" s="8">
        <v>2442</v>
      </c>
      <c r="L1201" s="8">
        <v>582</v>
      </c>
      <c r="M1201" s="8">
        <v>2062</v>
      </c>
      <c r="N1201" s="8">
        <v>8511</v>
      </c>
      <c r="O1201" s="9">
        <f t="shared" si="18"/>
        <v>0.11269950162426101</v>
      </c>
      <c r="P1201" s="6" t="s">
        <v>22</v>
      </c>
    </row>
    <row r="1202" spans="1:16" x14ac:dyDescent="0.25">
      <c r="A1202" s="2" t="s">
        <v>2473</v>
      </c>
      <c r="B1202" s="2" t="s">
        <v>2474</v>
      </c>
      <c r="C1202" s="2" t="s">
        <v>76</v>
      </c>
      <c r="D1202" s="3" t="s">
        <v>77</v>
      </c>
      <c r="E1202" s="3" t="s">
        <v>34</v>
      </c>
      <c r="F1202" s="2" t="s">
        <v>155</v>
      </c>
      <c r="G1202" s="4">
        <v>50655</v>
      </c>
      <c r="H1202" s="4">
        <v>24847</v>
      </c>
      <c r="I1202" s="4">
        <v>21103</v>
      </c>
      <c r="J1202" s="4">
        <v>648</v>
      </c>
      <c r="K1202" s="4">
        <v>105</v>
      </c>
      <c r="L1202" s="4">
        <v>78</v>
      </c>
      <c r="M1202" s="4">
        <v>78</v>
      </c>
      <c r="N1202" s="4">
        <v>275</v>
      </c>
      <c r="O1202" s="5">
        <f t="shared" si="18"/>
        <v>4.3074444391792636E-2</v>
      </c>
      <c r="P1202" s="2" t="s">
        <v>66</v>
      </c>
    </row>
    <row r="1203" spans="1:16" x14ac:dyDescent="0.25">
      <c r="A1203" s="6" t="s">
        <v>2475</v>
      </c>
      <c r="B1203" s="6" t="s">
        <v>2476</v>
      </c>
      <c r="C1203" s="6" t="s">
        <v>43</v>
      </c>
      <c r="D1203" s="7" t="s">
        <v>110</v>
      </c>
      <c r="E1203" s="7" t="s">
        <v>27</v>
      </c>
      <c r="F1203" s="6" t="s">
        <v>70</v>
      </c>
      <c r="G1203" s="8">
        <v>462064</v>
      </c>
      <c r="H1203" s="8">
        <v>212101</v>
      </c>
      <c r="I1203" s="8">
        <v>168628</v>
      </c>
      <c r="J1203" s="8">
        <v>11489</v>
      </c>
      <c r="K1203" s="8">
        <v>1210</v>
      </c>
      <c r="L1203" s="8">
        <v>946</v>
      </c>
      <c r="M1203" s="8">
        <v>46</v>
      </c>
      <c r="N1203" s="8">
        <v>6865</v>
      </c>
      <c r="O1203" s="9">
        <f t="shared" si="18"/>
        <v>8.1190549612164056E-2</v>
      </c>
      <c r="P1203" s="6" t="s">
        <v>29</v>
      </c>
    </row>
    <row r="1204" spans="1:16" x14ac:dyDescent="0.25">
      <c r="A1204" s="2" t="s">
        <v>2477</v>
      </c>
      <c r="B1204" s="2" t="s">
        <v>2478</v>
      </c>
      <c r="C1204" s="2" t="s">
        <v>76</v>
      </c>
      <c r="D1204" s="3" t="s">
        <v>77</v>
      </c>
      <c r="E1204" s="3" t="s">
        <v>34</v>
      </c>
      <c r="F1204" s="2" t="s">
        <v>155</v>
      </c>
      <c r="G1204" s="4">
        <v>451004</v>
      </c>
      <c r="H1204" s="4">
        <v>212928</v>
      </c>
      <c r="I1204" s="4">
        <v>159867</v>
      </c>
      <c r="J1204" s="4">
        <v>15998</v>
      </c>
      <c r="K1204" s="4">
        <v>1207</v>
      </c>
      <c r="L1204" s="4">
        <v>2335</v>
      </c>
      <c r="M1204" s="4">
        <v>1220</v>
      </c>
      <c r="N1204" s="4">
        <v>4867</v>
      </c>
      <c r="O1204" s="5">
        <f t="shared" si="18"/>
        <v>0.12985794441629606</v>
      </c>
      <c r="P1204" s="2" t="s">
        <v>22</v>
      </c>
    </row>
    <row r="1205" spans="1:16" x14ac:dyDescent="0.25">
      <c r="A1205" s="6" t="s">
        <v>2479</v>
      </c>
      <c r="B1205" s="6" t="s">
        <v>2480</v>
      </c>
      <c r="C1205" s="6" t="s">
        <v>32</v>
      </c>
      <c r="D1205" s="7" t="s">
        <v>33</v>
      </c>
      <c r="E1205" s="7" t="s">
        <v>39</v>
      </c>
      <c r="F1205" s="6" t="s">
        <v>40</v>
      </c>
      <c r="G1205" s="8">
        <v>175341</v>
      </c>
      <c r="H1205" s="8">
        <v>17887</v>
      </c>
      <c r="I1205" s="8">
        <v>15619</v>
      </c>
      <c r="J1205" s="8">
        <v>493</v>
      </c>
      <c r="K1205" s="8">
        <v>38</v>
      </c>
      <c r="L1205" s="8">
        <v>31</v>
      </c>
      <c r="M1205" s="8">
        <v>38</v>
      </c>
      <c r="N1205" s="8">
        <v>323</v>
      </c>
      <c r="O1205" s="9">
        <f t="shared" si="18"/>
        <v>3.8414751264485562E-2</v>
      </c>
      <c r="P1205" s="6" t="s">
        <v>22</v>
      </c>
    </row>
    <row r="1206" spans="1:16" x14ac:dyDescent="0.25">
      <c r="A1206" s="2" t="s">
        <v>2481</v>
      </c>
      <c r="B1206" s="2" t="s">
        <v>2482</v>
      </c>
      <c r="C1206" s="2" t="s">
        <v>25</v>
      </c>
      <c r="D1206" s="3" t="s">
        <v>64</v>
      </c>
      <c r="E1206" s="3" t="s">
        <v>34</v>
      </c>
      <c r="F1206" s="2" t="s">
        <v>54</v>
      </c>
      <c r="G1206" s="4">
        <v>350402</v>
      </c>
      <c r="H1206" s="4">
        <v>214153</v>
      </c>
      <c r="I1206" s="4">
        <v>180997</v>
      </c>
      <c r="J1206" s="4">
        <v>9931</v>
      </c>
      <c r="K1206" s="4">
        <v>341</v>
      </c>
      <c r="L1206" s="4">
        <v>842</v>
      </c>
      <c r="M1206" s="4">
        <v>1450</v>
      </c>
      <c r="N1206" s="4">
        <v>3568</v>
      </c>
      <c r="O1206" s="5">
        <f t="shared" si="18"/>
        <v>6.9415515174284653E-2</v>
      </c>
      <c r="P1206" s="2" t="s">
        <v>22</v>
      </c>
    </row>
    <row r="1207" spans="1:16" x14ac:dyDescent="0.25">
      <c r="A1207" s="6" t="s">
        <v>2483</v>
      </c>
      <c r="B1207" s="6" t="s">
        <v>2484</v>
      </c>
      <c r="C1207" s="6" t="s">
        <v>25</v>
      </c>
      <c r="D1207" s="7" t="s">
        <v>61</v>
      </c>
      <c r="E1207" s="7" t="s">
        <v>39</v>
      </c>
      <c r="F1207" s="6" t="s">
        <v>28</v>
      </c>
      <c r="G1207" s="8">
        <v>181515</v>
      </c>
      <c r="H1207" s="8">
        <v>99784</v>
      </c>
      <c r="I1207" s="8">
        <v>81579</v>
      </c>
      <c r="J1207" s="8">
        <v>3866</v>
      </c>
      <c r="K1207" s="8">
        <v>399</v>
      </c>
      <c r="L1207" s="8">
        <v>118</v>
      </c>
      <c r="M1207" s="8">
        <v>299</v>
      </c>
      <c r="N1207" s="8">
        <v>1495</v>
      </c>
      <c r="O1207" s="9">
        <f t="shared" si="18"/>
        <v>5.7392221037276751E-2</v>
      </c>
      <c r="P1207" s="6" t="s">
        <v>22</v>
      </c>
    </row>
    <row r="1208" spans="1:16" x14ac:dyDescent="0.25">
      <c r="A1208" s="2" t="s">
        <v>2485</v>
      </c>
      <c r="B1208" s="2" t="s">
        <v>2486</v>
      </c>
      <c r="C1208" s="2" t="s">
        <v>43</v>
      </c>
      <c r="D1208" s="3" t="s">
        <v>81</v>
      </c>
      <c r="E1208" s="3" t="s">
        <v>34</v>
      </c>
      <c r="F1208" s="2" t="s">
        <v>107</v>
      </c>
      <c r="G1208" s="4">
        <v>263738</v>
      </c>
      <c r="H1208" s="4">
        <v>120078</v>
      </c>
      <c r="I1208" s="4">
        <v>108636</v>
      </c>
      <c r="J1208" s="4">
        <v>2891</v>
      </c>
      <c r="K1208" s="4">
        <v>397</v>
      </c>
      <c r="L1208" s="4">
        <v>235</v>
      </c>
      <c r="M1208" s="4">
        <v>49</v>
      </c>
      <c r="N1208" s="4">
        <v>2906</v>
      </c>
      <c r="O1208" s="5">
        <f t="shared" si="18"/>
        <v>3.2880444788099712E-2</v>
      </c>
      <c r="P1208" s="2" t="s">
        <v>29</v>
      </c>
    </row>
    <row r="1209" spans="1:16" x14ac:dyDescent="0.25">
      <c r="A1209" s="6" t="s">
        <v>2487</v>
      </c>
      <c r="B1209" s="6" t="s">
        <v>2488</v>
      </c>
      <c r="C1209" s="6" t="s">
        <v>18</v>
      </c>
      <c r="D1209" s="7" t="s">
        <v>92</v>
      </c>
      <c r="E1209" s="7" t="s">
        <v>45</v>
      </c>
      <c r="F1209" s="6" t="s">
        <v>73</v>
      </c>
      <c r="G1209" s="8">
        <v>769540</v>
      </c>
      <c r="H1209" s="8">
        <v>213553</v>
      </c>
      <c r="I1209" s="8">
        <v>182955</v>
      </c>
      <c r="J1209" s="8">
        <v>8387</v>
      </c>
      <c r="K1209" s="8">
        <v>660</v>
      </c>
      <c r="L1209" s="8">
        <v>365</v>
      </c>
      <c r="M1209" s="8">
        <v>1540</v>
      </c>
      <c r="N1209" s="8">
        <v>2158</v>
      </c>
      <c r="O1209" s="9">
        <f t="shared" si="18"/>
        <v>5.9861714629280423E-2</v>
      </c>
      <c r="P1209" s="6" t="s">
        <v>29</v>
      </c>
    </row>
    <row r="1210" spans="1:16" x14ac:dyDescent="0.25">
      <c r="A1210" s="2" t="s">
        <v>2489</v>
      </c>
      <c r="B1210" s="2" t="s">
        <v>2490</v>
      </c>
      <c r="C1210" s="2" t="s">
        <v>76</v>
      </c>
      <c r="D1210" s="3" t="s">
        <v>182</v>
      </c>
      <c r="E1210" s="3" t="s">
        <v>34</v>
      </c>
      <c r="F1210" s="2" t="s">
        <v>78</v>
      </c>
      <c r="G1210" s="4">
        <v>515519</v>
      </c>
      <c r="H1210" s="4">
        <v>65934</v>
      </c>
      <c r="I1210" s="4">
        <v>46947</v>
      </c>
      <c r="J1210" s="4">
        <v>4943</v>
      </c>
      <c r="K1210" s="4">
        <v>540</v>
      </c>
      <c r="L1210" s="4">
        <v>508</v>
      </c>
      <c r="M1210" s="4">
        <v>606</v>
      </c>
      <c r="N1210" s="4">
        <v>1515</v>
      </c>
      <c r="O1210" s="5">
        <f t="shared" si="18"/>
        <v>0.14052016103265386</v>
      </c>
      <c r="P1210" s="2" t="s">
        <v>22</v>
      </c>
    </row>
    <row r="1211" spans="1:16" x14ac:dyDescent="0.25">
      <c r="A1211" s="6" t="s">
        <v>2491</v>
      </c>
      <c r="B1211" s="6" t="s">
        <v>2492</v>
      </c>
      <c r="C1211" s="6" t="s">
        <v>25</v>
      </c>
      <c r="D1211" s="7" t="s">
        <v>244</v>
      </c>
      <c r="E1211" s="7" t="s">
        <v>45</v>
      </c>
      <c r="F1211" s="6" t="s">
        <v>146</v>
      </c>
      <c r="G1211" s="8">
        <v>376445</v>
      </c>
      <c r="H1211" s="8">
        <v>93964</v>
      </c>
      <c r="I1211" s="8">
        <v>80902</v>
      </c>
      <c r="J1211" s="8">
        <v>6689</v>
      </c>
      <c r="K1211" s="8">
        <v>497</v>
      </c>
      <c r="L1211" s="8">
        <v>858</v>
      </c>
      <c r="M1211" s="8">
        <v>1463</v>
      </c>
      <c r="N1211" s="8">
        <v>805</v>
      </c>
      <c r="O1211" s="9">
        <f t="shared" si="18"/>
        <v>0.1175125460433611</v>
      </c>
      <c r="P1211" s="6" t="s">
        <v>22</v>
      </c>
    </row>
    <row r="1212" spans="1:16" x14ac:dyDescent="0.25">
      <c r="A1212" s="2" t="s">
        <v>2493</v>
      </c>
      <c r="B1212" s="2" t="s">
        <v>2494</v>
      </c>
      <c r="C1212" s="2" t="s">
        <v>18</v>
      </c>
      <c r="D1212" s="3" t="s">
        <v>231</v>
      </c>
      <c r="E1212" s="3" t="s">
        <v>27</v>
      </c>
      <c r="F1212" s="2" t="s">
        <v>21</v>
      </c>
      <c r="G1212" s="4">
        <v>40927</v>
      </c>
      <c r="H1212" s="4">
        <v>14666</v>
      </c>
      <c r="I1212" s="4">
        <v>10363</v>
      </c>
      <c r="J1212" s="4">
        <v>465</v>
      </c>
      <c r="K1212" s="4">
        <v>50</v>
      </c>
      <c r="L1212" s="4">
        <v>34</v>
      </c>
      <c r="M1212" s="4">
        <v>104</v>
      </c>
      <c r="N1212" s="4">
        <v>103</v>
      </c>
      <c r="O1212" s="5">
        <f t="shared" si="18"/>
        <v>6.3012641127086752E-2</v>
      </c>
      <c r="P1212" s="2" t="s">
        <v>22</v>
      </c>
    </row>
    <row r="1213" spans="1:16" x14ac:dyDescent="0.25">
      <c r="A1213" s="6" t="s">
        <v>2495</v>
      </c>
      <c r="B1213" s="6" t="s">
        <v>2496</v>
      </c>
      <c r="C1213" s="6" t="s">
        <v>43</v>
      </c>
      <c r="D1213" s="7" t="s">
        <v>44</v>
      </c>
      <c r="E1213" s="7" t="s">
        <v>39</v>
      </c>
      <c r="F1213" s="6" t="s">
        <v>70</v>
      </c>
      <c r="G1213" s="8">
        <v>540398</v>
      </c>
      <c r="H1213" s="8">
        <v>208010</v>
      </c>
      <c r="I1213" s="8">
        <v>182769</v>
      </c>
      <c r="J1213" s="8">
        <v>11109</v>
      </c>
      <c r="K1213" s="8">
        <v>920</v>
      </c>
      <c r="L1213" s="8">
        <v>473</v>
      </c>
      <c r="M1213" s="8">
        <v>34</v>
      </c>
      <c r="N1213" s="8">
        <v>4005</v>
      </c>
      <c r="O1213" s="9">
        <f t="shared" si="18"/>
        <v>6.8589312191892501E-2</v>
      </c>
      <c r="P1213" s="6" t="s">
        <v>22</v>
      </c>
    </row>
    <row r="1214" spans="1:16" x14ac:dyDescent="0.25">
      <c r="A1214" s="2" t="s">
        <v>2497</v>
      </c>
      <c r="B1214" s="2" t="s">
        <v>2498</v>
      </c>
      <c r="C1214" s="2" t="s">
        <v>18</v>
      </c>
      <c r="D1214" s="3" t="s">
        <v>226</v>
      </c>
      <c r="E1214" s="3" t="s">
        <v>50</v>
      </c>
      <c r="F1214" s="2" t="s">
        <v>21</v>
      </c>
      <c r="G1214" s="4">
        <v>130664</v>
      </c>
      <c r="H1214" s="4">
        <v>33223</v>
      </c>
      <c r="I1214" s="4">
        <v>29335</v>
      </c>
      <c r="J1214" s="4">
        <v>1088</v>
      </c>
      <c r="K1214" s="4">
        <v>86</v>
      </c>
      <c r="L1214" s="4">
        <v>53</v>
      </c>
      <c r="M1214" s="4">
        <v>231</v>
      </c>
      <c r="N1214" s="4">
        <v>947</v>
      </c>
      <c r="O1214" s="5">
        <f t="shared" si="18"/>
        <v>4.9701721493096984E-2</v>
      </c>
      <c r="P1214" s="2" t="s">
        <v>22</v>
      </c>
    </row>
    <row r="1215" spans="1:16" x14ac:dyDescent="0.25">
      <c r="A1215" s="6" t="s">
        <v>2499</v>
      </c>
      <c r="B1215" s="6" t="s">
        <v>2500</v>
      </c>
      <c r="C1215" s="6" t="s">
        <v>18</v>
      </c>
      <c r="D1215" s="7" t="s">
        <v>57</v>
      </c>
      <c r="E1215" s="7" t="s">
        <v>45</v>
      </c>
      <c r="F1215" s="6" t="s">
        <v>58</v>
      </c>
      <c r="G1215" s="8">
        <v>199623</v>
      </c>
      <c r="H1215" s="8">
        <v>114889</v>
      </c>
      <c r="I1215" s="8">
        <v>82637</v>
      </c>
      <c r="J1215" s="8">
        <v>5601</v>
      </c>
      <c r="K1215" s="8">
        <v>791</v>
      </c>
      <c r="L1215" s="8">
        <v>791</v>
      </c>
      <c r="M1215" s="8">
        <v>943</v>
      </c>
      <c r="N1215" s="8">
        <v>1944</v>
      </c>
      <c r="O1215" s="9">
        <f t="shared" si="18"/>
        <v>9.8333676198313111E-2</v>
      </c>
      <c r="P1215" s="6" t="s">
        <v>66</v>
      </c>
    </row>
    <row r="1216" spans="1:16" x14ac:dyDescent="0.25">
      <c r="A1216" s="2" t="s">
        <v>2501</v>
      </c>
      <c r="B1216" s="2" t="s">
        <v>2502</v>
      </c>
      <c r="C1216" s="2" t="s">
        <v>32</v>
      </c>
      <c r="D1216" s="3" t="s">
        <v>49</v>
      </c>
      <c r="E1216" s="3" t="s">
        <v>27</v>
      </c>
      <c r="F1216" s="2" t="s">
        <v>40</v>
      </c>
      <c r="G1216" s="4">
        <v>396838</v>
      </c>
      <c r="H1216" s="4">
        <v>129014</v>
      </c>
      <c r="I1216" s="4">
        <v>91804</v>
      </c>
      <c r="J1216" s="4">
        <v>7128</v>
      </c>
      <c r="K1216" s="4">
        <v>840</v>
      </c>
      <c r="L1216" s="4">
        <v>169</v>
      </c>
      <c r="M1216" s="4">
        <v>2</v>
      </c>
      <c r="N1216" s="4">
        <v>1079</v>
      </c>
      <c r="O1216" s="5">
        <f t="shared" si="18"/>
        <v>8.8656267700753785E-2</v>
      </c>
      <c r="P1216" s="2" t="s">
        <v>22</v>
      </c>
    </row>
    <row r="1217" spans="1:16" x14ac:dyDescent="0.25">
      <c r="A1217" s="6" t="s">
        <v>2503</v>
      </c>
      <c r="B1217" s="6" t="s">
        <v>2504</v>
      </c>
      <c r="C1217" s="6" t="s">
        <v>43</v>
      </c>
      <c r="D1217" s="7" t="s">
        <v>81</v>
      </c>
      <c r="E1217" s="7" t="s">
        <v>27</v>
      </c>
      <c r="F1217" s="6" t="s">
        <v>70</v>
      </c>
      <c r="G1217" s="8">
        <v>719472</v>
      </c>
      <c r="H1217" s="8">
        <v>124701</v>
      </c>
      <c r="I1217" s="8">
        <v>89622</v>
      </c>
      <c r="J1217" s="8">
        <v>6941</v>
      </c>
      <c r="K1217" s="8">
        <v>899</v>
      </c>
      <c r="L1217" s="8">
        <v>400</v>
      </c>
      <c r="M1217" s="8">
        <v>18</v>
      </c>
      <c r="N1217" s="8">
        <v>1260</v>
      </c>
      <c r="O1217" s="9">
        <f t="shared" si="18"/>
        <v>9.2142554283546452E-2</v>
      </c>
      <c r="P1217" s="6" t="s">
        <v>22</v>
      </c>
    </row>
    <row r="1218" spans="1:16" x14ac:dyDescent="0.25">
      <c r="A1218" s="2" t="s">
        <v>2505</v>
      </c>
      <c r="B1218" s="2" t="s">
        <v>2506</v>
      </c>
      <c r="C1218" s="2" t="s">
        <v>43</v>
      </c>
      <c r="D1218" s="3" t="s">
        <v>110</v>
      </c>
      <c r="E1218" s="3" t="s">
        <v>27</v>
      </c>
      <c r="F1218" s="2" t="s">
        <v>107</v>
      </c>
      <c r="G1218" s="4">
        <v>647449</v>
      </c>
      <c r="H1218" s="4">
        <v>266890</v>
      </c>
      <c r="I1218" s="4">
        <v>196845</v>
      </c>
      <c r="J1218" s="4">
        <v>19923</v>
      </c>
      <c r="K1218" s="4">
        <v>1706</v>
      </c>
      <c r="L1218" s="4">
        <v>2406</v>
      </c>
      <c r="M1218" s="4">
        <v>31</v>
      </c>
      <c r="N1218" s="4">
        <v>3965</v>
      </c>
      <c r="O1218" s="5">
        <f t="shared" ref="O1218:O1281" si="19">IF(I1218&gt;0, (J1218+K1218+L1218+M1218)/I1218, 0)</f>
        <v>0.12225862988645889</v>
      </c>
      <c r="P1218" s="2" t="s">
        <v>29</v>
      </c>
    </row>
    <row r="1219" spans="1:16" x14ac:dyDescent="0.25">
      <c r="A1219" s="6" t="s">
        <v>2507</v>
      </c>
      <c r="B1219" s="6" t="s">
        <v>2508</v>
      </c>
      <c r="C1219" s="6" t="s">
        <v>76</v>
      </c>
      <c r="D1219" s="7" t="s">
        <v>189</v>
      </c>
      <c r="E1219" s="7" t="s">
        <v>34</v>
      </c>
      <c r="F1219" s="6" t="s">
        <v>155</v>
      </c>
      <c r="G1219" s="8">
        <v>152927</v>
      </c>
      <c r="H1219" s="8">
        <v>77191</v>
      </c>
      <c r="I1219" s="8">
        <v>66449</v>
      </c>
      <c r="J1219" s="8">
        <v>4365</v>
      </c>
      <c r="K1219" s="8">
        <v>718</v>
      </c>
      <c r="L1219" s="8">
        <v>567</v>
      </c>
      <c r="M1219" s="8">
        <v>950</v>
      </c>
      <c r="N1219" s="8">
        <v>2284</v>
      </c>
      <c r="O1219" s="9">
        <f t="shared" si="19"/>
        <v>9.9324293819320078E-2</v>
      </c>
      <c r="P1219" s="6" t="s">
        <v>22</v>
      </c>
    </row>
    <row r="1220" spans="1:16" x14ac:dyDescent="0.25">
      <c r="A1220" s="2" t="s">
        <v>2509</v>
      </c>
      <c r="B1220" s="2" t="s">
        <v>2510</v>
      </c>
      <c r="C1220" s="2" t="s">
        <v>32</v>
      </c>
      <c r="D1220" s="3" t="s">
        <v>175</v>
      </c>
      <c r="E1220" s="3" t="s">
        <v>39</v>
      </c>
      <c r="F1220" s="2" t="s">
        <v>128</v>
      </c>
      <c r="G1220" s="4">
        <v>346607</v>
      </c>
      <c r="H1220" s="4">
        <v>132264</v>
      </c>
      <c r="I1220" s="4">
        <v>119513</v>
      </c>
      <c r="J1220" s="4">
        <v>9080</v>
      </c>
      <c r="K1220" s="4">
        <v>1348</v>
      </c>
      <c r="L1220" s="4">
        <v>1119</v>
      </c>
      <c r="M1220" s="4">
        <v>13</v>
      </c>
      <c r="N1220" s="4">
        <v>2349</v>
      </c>
      <c r="O1220" s="5">
        <f t="shared" si="19"/>
        <v>9.67258791930585E-2</v>
      </c>
      <c r="P1220" s="2" t="s">
        <v>29</v>
      </c>
    </row>
    <row r="1221" spans="1:16" x14ac:dyDescent="0.25">
      <c r="A1221" s="6" t="s">
        <v>2511</v>
      </c>
      <c r="B1221" s="6" t="s">
        <v>2512</v>
      </c>
      <c r="C1221" s="6" t="s">
        <v>76</v>
      </c>
      <c r="D1221" s="7" t="s">
        <v>77</v>
      </c>
      <c r="E1221" s="7" t="s">
        <v>20</v>
      </c>
      <c r="F1221" s="6" t="s">
        <v>155</v>
      </c>
      <c r="G1221" s="8">
        <v>671696</v>
      </c>
      <c r="H1221" s="8">
        <v>2603986</v>
      </c>
      <c r="I1221" s="8">
        <v>2253585</v>
      </c>
      <c r="J1221" s="8">
        <v>184714</v>
      </c>
      <c r="K1221" s="8">
        <v>8702</v>
      </c>
      <c r="L1221" s="8">
        <v>5661</v>
      </c>
      <c r="M1221" s="8">
        <v>18314</v>
      </c>
      <c r="N1221" s="8">
        <v>90051</v>
      </c>
      <c r="O1221" s="9">
        <f t="shared" si="19"/>
        <v>9.6464522083702195E-2</v>
      </c>
      <c r="P1221" s="6" t="s">
        <v>22</v>
      </c>
    </row>
    <row r="1222" spans="1:16" x14ac:dyDescent="0.25">
      <c r="A1222" s="2" t="s">
        <v>2513</v>
      </c>
      <c r="B1222" s="2" t="s">
        <v>2514</v>
      </c>
      <c r="C1222" s="2" t="s">
        <v>18</v>
      </c>
      <c r="D1222" s="3" t="s">
        <v>92</v>
      </c>
      <c r="E1222" s="3" t="s">
        <v>34</v>
      </c>
      <c r="F1222" s="2" t="s">
        <v>21</v>
      </c>
      <c r="G1222" s="4">
        <v>776232</v>
      </c>
      <c r="H1222" s="4">
        <v>352653</v>
      </c>
      <c r="I1222" s="4">
        <v>291301</v>
      </c>
      <c r="J1222" s="4">
        <v>24952</v>
      </c>
      <c r="K1222" s="4">
        <v>3867</v>
      </c>
      <c r="L1222" s="4">
        <v>1943</v>
      </c>
      <c r="M1222" s="4">
        <v>4127</v>
      </c>
      <c r="N1222" s="4">
        <v>5682</v>
      </c>
      <c r="O1222" s="5">
        <f t="shared" si="19"/>
        <v>0.11976958541165324</v>
      </c>
      <c r="P1222" s="2" t="s">
        <v>22</v>
      </c>
    </row>
    <row r="1223" spans="1:16" x14ac:dyDescent="0.25">
      <c r="A1223" s="6" t="s">
        <v>2515</v>
      </c>
      <c r="B1223" s="6" t="s">
        <v>2516</v>
      </c>
      <c r="C1223" s="6" t="s">
        <v>43</v>
      </c>
      <c r="D1223" s="7" t="s">
        <v>44</v>
      </c>
      <c r="E1223" s="7" t="s">
        <v>20</v>
      </c>
      <c r="F1223" s="6" t="s">
        <v>46</v>
      </c>
      <c r="G1223" s="8">
        <v>96274</v>
      </c>
      <c r="H1223" s="8">
        <v>43755</v>
      </c>
      <c r="I1223" s="8">
        <v>35485</v>
      </c>
      <c r="J1223" s="8">
        <v>2846</v>
      </c>
      <c r="K1223" s="8">
        <v>407</v>
      </c>
      <c r="L1223" s="8">
        <v>228</v>
      </c>
      <c r="M1223" s="8">
        <v>47</v>
      </c>
      <c r="N1223" s="8">
        <v>234</v>
      </c>
      <c r="O1223" s="9">
        <f t="shared" si="19"/>
        <v>9.9422291108919258E-2</v>
      </c>
      <c r="P1223" s="6" t="s">
        <v>29</v>
      </c>
    </row>
    <row r="1224" spans="1:16" x14ac:dyDescent="0.25">
      <c r="A1224" s="2" t="s">
        <v>2517</v>
      </c>
      <c r="B1224" s="2" t="s">
        <v>2518</v>
      </c>
      <c r="C1224" s="2" t="s">
        <v>32</v>
      </c>
      <c r="D1224" s="3" t="s">
        <v>175</v>
      </c>
      <c r="E1224" s="3" t="s">
        <v>45</v>
      </c>
      <c r="F1224" s="2" t="s">
        <v>128</v>
      </c>
      <c r="G1224" s="4">
        <v>130280</v>
      </c>
      <c r="H1224" s="4">
        <v>68884</v>
      </c>
      <c r="I1224" s="4">
        <v>48376</v>
      </c>
      <c r="J1224" s="4">
        <v>5339</v>
      </c>
      <c r="K1224" s="4">
        <v>586</v>
      </c>
      <c r="L1224" s="4">
        <v>698</v>
      </c>
      <c r="M1224" s="4">
        <v>30</v>
      </c>
      <c r="N1224" s="4">
        <v>979</v>
      </c>
      <c r="O1224" s="5">
        <f t="shared" si="19"/>
        <v>0.13752687282950224</v>
      </c>
      <c r="P1224" s="2" t="s">
        <v>29</v>
      </c>
    </row>
    <row r="1225" spans="1:16" x14ac:dyDescent="0.25">
      <c r="A1225" s="6" t="s">
        <v>2519</v>
      </c>
      <c r="B1225" s="6" t="s">
        <v>2520</v>
      </c>
      <c r="C1225" s="6" t="s">
        <v>32</v>
      </c>
      <c r="D1225" s="7" t="s">
        <v>175</v>
      </c>
      <c r="E1225" s="7" t="s">
        <v>27</v>
      </c>
      <c r="F1225" s="6" t="s">
        <v>128</v>
      </c>
      <c r="G1225" s="8">
        <v>726105</v>
      </c>
      <c r="H1225" s="8">
        <v>400098</v>
      </c>
      <c r="I1225" s="8">
        <v>288964</v>
      </c>
      <c r="J1225" s="8">
        <v>20059</v>
      </c>
      <c r="K1225" s="8">
        <v>971</v>
      </c>
      <c r="L1225" s="8">
        <v>1140</v>
      </c>
      <c r="M1225" s="8">
        <v>3</v>
      </c>
      <c r="N1225" s="8">
        <v>12554</v>
      </c>
      <c r="O1225" s="9">
        <f t="shared" si="19"/>
        <v>7.6732741794825657E-2</v>
      </c>
      <c r="P1225" s="6" t="s">
        <v>22</v>
      </c>
    </row>
    <row r="1226" spans="1:16" x14ac:dyDescent="0.25">
      <c r="A1226" s="2" t="s">
        <v>2521</v>
      </c>
      <c r="B1226" s="2" t="s">
        <v>2522</v>
      </c>
      <c r="C1226" s="2" t="s">
        <v>76</v>
      </c>
      <c r="D1226" s="3" t="s">
        <v>103</v>
      </c>
      <c r="E1226" s="3" t="s">
        <v>45</v>
      </c>
      <c r="F1226" s="2" t="s">
        <v>104</v>
      </c>
      <c r="G1226" s="4">
        <v>218130</v>
      </c>
      <c r="H1226" s="4">
        <v>67439</v>
      </c>
      <c r="I1226" s="4">
        <v>48377</v>
      </c>
      <c r="J1226" s="4">
        <v>4141</v>
      </c>
      <c r="K1226" s="4">
        <v>440</v>
      </c>
      <c r="L1226" s="4">
        <v>405</v>
      </c>
      <c r="M1226" s="4">
        <v>677</v>
      </c>
      <c r="N1226" s="4">
        <v>760</v>
      </c>
      <c r="O1226" s="5">
        <f t="shared" si="19"/>
        <v>0.11705975980321227</v>
      </c>
      <c r="P1226" s="2" t="s">
        <v>22</v>
      </c>
    </row>
    <row r="1227" spans="1:16" x14ac:dyDescent="0.25">
      <c r="A1227" s="6" t="s">
        <v>2523</v>
      </c>
      <c r="B1227" s="6" t="s">
        <v>2524</v>
      </c>
      <c r="C1227" s="6" t="s">
        <v>18</v>
      </c>
      <c r="D1227" s="7" t="s">
        <v>92</v>
      </c>
      <c r="E1227" s="7" t="s">
        <v>50</v>
      </c>
      <c r="F1227" s="6" t="s">
        <v>58</v>
      </c>
      <c r="G1227" s="8">
        <v>97236</v>
      </c>
      <c r="H1227" s="8">
        <v>60744</v>
      </c>
      <c r="I1227" s="8">
        <v>51416</v>
      </c>
      <c r="J1227" s="8">
        <v>1528</v>
      </c>
      <c r="K1227" s="8">
        <v>122</v>
      </c>
      <c r="L1227" s="8">
        <v>107</v>
      </c>
      <c r="M1227" s="8">
        <v>191</v>
      </c>
      <c r="N1227" s="8">
        <v>1369</v>
      </c>
      <c r="O1227" s="9">
        <f t="shared" si="19"/>
        <v>3.7887039053990976E-2</v>
      </c>
      <c r="P1227" s="6" t="s">
        <v>22</v>
      </c>
    </row>
    <row r="1228" spans="1:16" x14ac:dyDescent="0.25">
      <c r="A1228" s="2" t="s">
        <v>2525</v>
      </c>
      <c r="B1228" s="2" t="s">
        <v>2526</v>
      </c>
      <c r="C1228" s="2" t="s">
        <v>76</v>
      </c>
      <c r="D1228" s="3" t="s">
        <v>77</v>
      </c>
      <c r="E1228" s="3" t="s">
        <v>39</v>
      </c>
      <c r="F1228" s="2" t="s">
        <v>78</v>
      </c>
      <c r="G1228" s="4">
        <v>260553</v>
      </c>
      <c r="H1228" s="4">
        <v>121662</v>
      </c>
      <c r="I1228" s="4">
        <v>102829</v>
      </c>
      <c r="J1228" s="4">
        <v>8552</v>
      </c>
      <c r="K1228" s="4">
        <v>1425</v>
      </c>
      <c r="L1228" s="4">
        <v>695</v>
      </c>
      <c r="M1228" s="4">
        <v>738</v>
      </c>
      <c r="N1228" s="4">
        <v>711</v>
      </c>
      <c r="O1228" s="5">
        <f t="shared" si="19"/>
        <v>0.11096091569498877</v>
      </c>
      <c r="P1228" s="2" t="s">
        <v>22</v>
      </c>
    </row>
    <row r="1229" spans="1:16" x14ac:dyDescent="0.25">
      <c r="A1229" s="6" t="s">
        <v>2527</v>
      </c>
      <c r="B1229" s="6" t="s">
        <v>2528</v>
      </c>
      <c r="C1229" s="6" t="s">
        <v>32</v>
      </c>
      <c r="D1229" s="7" t="s">
        <v>121</v>
      </c>
      <c r="E1229" s="7" t="s">
        <v>34</v>
      </c>
      <c r="F1229" s="6" t="s">
        <v>40</v>
      </c>
      <c r="G1229" s="8">
        <v>263987</v>
      </c>
      <c r="H1229" s="8">
        <v>99551</v>
      </c>
      <c r="I1229" s="8">
        <v>87365</v>
      </c>
      <c r="J1229" s="8">
        <v>3522</v>
      </c>
      <c r="K1229" s="8">
        <v>537</v>
      </c>
      <c r="L1229" s="8">
        <v>383</v>
      </c>
      <c r="M1229" s="8">
        <v>4</v>
      </c>
      <c r="N1229" s="8">
        <v>602</v>
      </c>
      <c r="O1229" s="9">
        <f t="shared" si="19"/>
        <v>5.0889944485778056E-2</v>
      </c>
      <c r="P1229" s="6" t="s">
        <v>22</v>
      </c>
    </row>
    <row r="1230" spans="1:16" x14ac:dyDescent="0.25">
      <c r="A1230" s="2" t="s">
        <v>2529</v>
      </c>
      <c r="B1230" s="2" t="s">
        <v>2530</v>
      </c>
      <c r="C1230" s="2" t="s">
        <v>25</v>
      </c>
      <c r="D1230" s="3" t="s">
        <v>244</v>
      </c>
      <c r="E1230" s="3" t="s">
        <v>27</v>
      </c>
      <c r="F1230" s="2" t="s">
        <v>28</v>
      </c>
      <c r="G1230" s="4">
        <v>431991</v>
      </c>
      <c r="H1230" s="4">
        <v>45111</v>
      </c>
      <c r="I1230" s="4">
        <v>41138</v>
      </c>
      <c r="J1230" s="4">
        <v>1003</v>
      </c>
      <c r="K1230" s="4">
        <v>130</v>
      </c>
      <c r="L1230" s="4">
        <v>91</v>
      </c>
      <c r="M1230" s="4">
        <v>77</v>
      </c>
      <c r="N1230" s="4">
        <v>1551</v>
      </c>
      <c r="O1230" s="5">
        <f t="shared" si="19"/>
        <v>3.162526131557198E-2</v>
      </c>
      <c r="P1230" s="2" t="s">
        <v>22</v>
      </c>
    </row>
    <row r="1231" spans="1:16" x14ac:dyDescent="0.25">
      <c r="A1231" s="6" t="s">
        <v>2531</v>
      </c>
      <c r="B1231" s="6" t="s">
        <v>2532</v>
      </c>
      <c r="C1231" s="6" t="s">
        <v>32</v>
      </c>
      <c r="D1231" s="7" t="s">
        <v>49</v>
      </c>
      <c r="E1231" s="7" t="s">
        <v>27</v>
      </c>
      <c r="F1231" s="6" t="s">
        <v>128</v>
      </c>
      <c r="G1231" s="8">
        <v>278587</v>
      </c>
      <c r="H1231" s="8">
        <v>129700</v>
      </c>
      <c r="I1231" s="8">
        <v>94101</v>
      </c>
      <c r="J1231" s="8">
        <v>8469</v>
      </c>
      <c r="K1231" s="8">
        <v>546</v>
      </c>
      <c r="L1231" s="8">
        <v>518</v>
      </c>
      <c r="M1231" s="8">
        <v>13</v>
      </c>
      <c r="N1231" s="8">
        <v>4253</v>
      </c>
      <c r="O1231" s="9">
        <f t="shared" si="19"/>
        <v>0.10144419294162656</v>
      </c>
      <c r="P1231" s="6" t="s">
        <v>22</v>
      </c>
    </row>
    <row r="1232" spans="1:16" x14ac:dyDescent="0.25">
      <c r="A1232" s="2" t="s">
        <v>2533</v>
      </c>
      <c r="B1232" s="2" t="s">
        <v>2534</v>
      </c>
      <c r="C1232" s="2" t="s">
        <v>32</v>
      </c>
      <c r="D1232" s="3" t="s">
        <v>38</v>
      </c>
      <c r="E1232" s="3" t="s">
        <v>45</v>
      </c>
      <c r="F1232" s="2" t="s">
        <v>128</v>
      </c>
      <c r="G1232" s="4">
        <v>599839</v>
      </c>
      <c r="H1232" s="4">
        <v>220875</v>
      </c>
      <c r="I1232" s="4">
        <v>196314</v>
      </c>
      <c r="J1232" s="4">
        <v>16854</v>
      </c>
      <c r="K1232" s="4">
        <v>1792</v>
      </c>
      <c r="L1232" s="4">
        <v>2013</v>
      </c>
      <c r="M1232" s="4">
        <v>20</v>
      </c>
      <c r="N1232" s="4">
        <v>6103</v>
      </c>
      <c r="O1232" s="5">
        <f t="shared" si="19"/>
        <v>0.10533634891041903</v>
      </c>
      <c r="P1232" s="2" t="s">
        <v>22</v>
      </c>
    </row>
    <row r="1233" spans="1:16" x14ac:dyDescent="0.25">
      <c r="A1233" s="6" t="s">
        <v>2535</v>
      </c>
      <c r="B1233" s="6" t="s">
        <v>2536</v>
      </c>
      <c r="C1233" s="6" t="s">
        <v>18</v>
      </c>
      <c r="D1233" s="7" t="s">
        <v>92</v>
      </c>
      <c r="E1233" s="7" t="s">
        <v>45</v>
      </c>
      <c r="F1233" s="6" t="s">
        <v>58</v>
      </c>
      <c r="G1233" s="8">
        <v>144880</v>
      </c>
      <c r="H1233" s="8">
        <v>21771</v>
      </c>
      <c r="I1233" s="8">
        <v>19494</v>
      </c>
      <c r="J1233" s="8">
        <v>463</v>
      </c>
      <c r="K1233" s="8">
        <v>81</v>
      </c>
      <c r="L1233" s="8">
        <v>57</v>
      </c>
      <c r="M1233" s="8">
        <v>112</v>
      </c>
      <c r="N1233" s="8">
        <v>752</v>
      </c>
      <c r="O1233" s="9">
        <f t="shared" si="19"/>
        <v>3.657535651995486E-2</v>
      </c>
      <c r="P1233" s="6" t="s">
        <v>29</v>
      </c>
    </row>
    <row r="1234" spans="1:16" x14ac:dyDescent="0.25">
      <c r="A1234" s="2" t="s">
        <v>2537</v>
      </c>
      <c r="B1234" s="2" t="s">
        <v>2538</v>
      </c>
      <c r="C1234" s="2" t="s">
        <v>18</v>
      </c>
      <c r="D1234" s="3" t="s">
        <v>226</v>
      </c>
      <c r="E1234" s="3" t="s">
        <v>20</v>
      </c>
      <c r="F1234" s="2" t="s">
        <v>58</v>
      </c>
      <c r="G1234" s="4">
        <v>220881</v>
      </c>
      <c r="H1234" s="4">
        <v>113356</v>
      </c>
      <c r="I1234" s="4">
        <v>91999</v>
      </c>
      <c r="J1234" s="4">
        <v>3665</v>
      </c>
      <c r="K1234" s="4">
        <v>368</v>
      </c>
      <c r="L1234" s="4">
        <v>383</v>
      </c>
      <c r="M1234" s="4">
        <v>446</v>
      </c>
      <c r="N1234" s="4">
        <v>2307</v>
      </c>
      <c r="O1234" s="5">
        <f t="shared" si="19"/>
        <v>5.2848400526092673E-2</v>
      </c>
      <c r="P1234" s="2" t="s">
        <v>29</v>
      </c>
    </row>
    <row r="1235" spans="1:16" x14ac:dyDescent="0.25">
      <c r="A1235" s="6" t="s">
        <v>2539</v>
      </c>
      <c r="B1235" s="6" t="s">
        <v>2540</v>
      </c>
      <c r="C1235" s="6" t="s">
        <v>32</v>
      </c>
      <c r="D1235" s="7" t="s">
        <v>121</v>
      </c>
      <c r="E1235" s="7" t="s">
        <v>34</v>
      </c>
      <c r="F1235" s="6" t="s">
        <v>40</v>
      </c>
      <c r="G1235" s="8">
        <v>101373</v>
      </c>
      <c r="H1235" s="8">
        <v>8596</v>
      </c>
      <c r="I1235" s="8">
        <v>7194</v>
      </c>
      <c r="J1235" s="8">
        <v>230</v>
      </c>
      <c r="K1235" s="8">
        <v>39</v>
      </c>
      <c r="L1235" s="8">
        <v>10</v>
      </c>
      <c r="M1235" s="8">
        <v>40</v>
      </c>
      <c r="N1235" s="8">
        <v>268</v>
      </c>
      <c r="O1235" s="9">
        <f t="shared" si="19"/>
        <v>4.4342507645259939E-2</v>
      </c>
      <c r="P1235" s="6" t="s">
        <v>66</v>
      </c>
    </row>
    <row r="1236" spans="1:16" x14ac:dyDescent="0.25">
      <c r="A1236" s="2" t="s">
        <v>2541</v>
      </c>
      <c r="B1236" s="2" t="s">
        <v>2542</v>
      </c>
      <c r="C1236" s="2" t="s">
        <v>25</v>
      </c>
      <c r="D1236" s="3" t="s">
        <v>244</v>
      </c>
      <c r="E1236" s="3" t="s">
        <v>50</v>
      </c>
      <c r="F1236" s="2" t="s">
        <v>146</v>
      </c>
      <c r="G1236" s="4">
        <v>43938</v>
      </c>
      <c r="H1236" s="4">
        <v>5213</v>
      </c>
      <c r="I1236" s="4">
        <v>4638</v>
      </c>
      <c r="J1236" s="4">
        <v>177</v>
      </c>
      <c r="K1236" s="4">
        <v>7</v>
      </c>
      <c r="L1236" s="4">
        <v>4</v>
      </c>
      <c r="M1236" s="4">
        <v>31</v>
      </c>
      <c r="N1236" s="4">
        <v>96</v>
      </c>
      <c r="O1236" s="5">
        <f t="shared" si="19"/>
        <v>4.7218628719275547E-2</v>
      </c>
      <c r="P1236" s="2" t="s">
        <v>22</v>
      </c>
    </row>
    <row r="1237" spans="1:16" x14ac:dyDescent="0.25">
      <c r="A1237" s="6" t="s">
        <v>2543</v>
      </c>
      <c r="B1237" s="6" t="s">
        <v>2544</v>
      </c>
      <c r="C1237" s="6" t="s">
        <v>76</v>
      </c>
      <c r="D1237" s="7" t="s">
        <v>182</v>
      </c>
      <c r="E1237" s="7" t="s">
        <v>45</v>
      </c>
      <c r="F1237" s="6" t="s">
        <v>78</v>
      </c>
      <c r="G1237" s="8">
        <v>107048</v>
      </c>
      <c r="H1237" s="8">
        <v>18299</v>
      </c>
      <c r="I1237" s="8">
        <v>16826</v>
      </c>
      <c r="J1237" s="8">
        <v>629</v>
      </c>
      <c r="K1237" s="8">
        <v>70</v>
      </c>
      <c r="L1237" s="8">
        <v>18</v>
      </c>
      <c r="M1237" s="8">
        <v>109</v>
      </c>
      <c r="N1237" s="8">
        <v>483</v>
      </c>
      <c r="O1237" s="9">
        <f t="shared" si="19"/>
        <v>4.9090692975157495E-2</v>
      </c>
      <c r="P1237" s="6" t="s">
        <v>22</v>
      </c>
    </row>
    <row r="1238" spans="1:16" x14ac:dyDescent="0.25">
      <c r="A1238" s="2" t="s">
        <v>2545</v>
      </c>
      <c r="B1238" s="2" t="s">
        <v>2546</v>
      </c>
      <c r="C1238" s="2" t="s">
        <v>18</v>
      </c>
      <c r="D1238" s="3" t="s">
        <v>92</v>
      </c>
      <c r="E1238" s="3" t="s">
        <v>39</v>
      </c>
      <c r="F1238" s="2" t="s">
        <v>21</v>
      </c>
      <c r="G1238" s="4">
        <v>618414</v>
      </c>
      <c r="H1238" s="4">
        <v>246173</v>
      </c>
      <c r="I1238" s="4">
        <v>212636</v>
      </c>
      <c r="J1238" s="4">
        <v>19442</v>
      </c>
      <c r="K1238" s="4">
        <v>3107</v>
      </c>
      <c r="L1238" s="4">
        <v>1840</v>
      </c>
      <c r="M1238" s="4">
        <v>1768</v>
      </c>
      <c r="N1238" s="4">
        <v>2541</v>
      </c>
      <c r="O1238" s="5">
        <f t="shared" si="19"/>
        <v>0.12301303636261028</v>
      </c>
      <c r="P1238" s="2" t="s">
        <v>22</v>
      </c>
    </row>
    <row r="1239" spans="1:16" x14ac:dyDescent="0.25">
      <c r="A1239" s="6" t="s">
        <v>2547</v>
      </c>
      <c r="B1239" s="6" t="s">
        <v>2548</v>
      </c>
      <c r="C1239" s="6" t="s">
        <v>25</v>
      </c>
      <c r="D1239" s="7" t="s">
        <v>244</v>
      </c>
      <c r="E1239" s="7" t="s">
        <v>34</v>
      </c>
      <c r="F1239" s="6" t="s">
        <v>28</v>
      </c>
      <c r="G1239" s="8">
        <v>730103</v>
      </c>
      <c r="H1239" s="8">
        <v>147459</v>
      </c>
      <c r="I1239" s="8">
        <v>106454</v>
      </c>
      <c r="J1239" s="8">
        <v>7669</v>
      </c>
      <c r="K1239" s="8">
        <v>945</v>
      </c>
      <c r="L1239" s="8">
        <v>188</v>
      </c>
      <c r="M1239" s="8">
        <v>851</v>
      </c>
      <c r="N1239" s="8">
        <v>3063</v>
      </c>
      <c r="O1239" s="9">
        <f t="shared" si="19"/>
        <v>9.0677663591786126E-2</v>
      </c>
      <c r="P1239" s="6" t="s">
        <v>22</v>
      </c>
    </row>
    <row r="1240" spans="1:16" x14ac:dyDescent="0.25">
      <c r="A1240" s="2" t="s">
        <v>2549</v>
      </c>
      <c r="B1240" s="2" t="s">
        <v>2550</v>
      </c>
      <c r="C1240" s="2" t="s">
        <v>76</v>
      </c>
      <c r="D1240" s="3" t="s">
        <v>86</v>
      </c>
      <c r="E1240" s="3" t="s">
        <v>27</v>
      </c>
      <c r="F1240" s="2" t="s">
        <v>104</v>
      </c>
      <c r="G1240" s="4">
        <v>472944</v>
      </c>
      <c r="H1240" s="4">
        <v>83619</v>
      </c>
      <c r="I1240" s="4">
        <v>72864</v>
      </c>
      <c r="J1240" s="4">
        <v>1831</v>
      </c>
      <c r="K1240" s="4">
        <v>146</v>
      </c>
      <c r="L1240" s="4">
        <v>225</v>
      </c>
      <c r="M1240" s="4">
        <v>234</v>
      </c>
      <c r="N1240" s="4">
        <v>2431</v>
      </c>
      <c r="O1240" s="5">
        <f t="shared" si="19"/>
        <v>3.3432147562582344E-2</v>
      </c>
      <c r="P1240" s="2" t="s">
        <v>29</v>
      </c>
    </row>
    <row r="1241" spans="1:16" x14ac:dyDescent="0.25">
      <c r="A1241" s="6" t="s">
        <v>2551</v>
      </c>
      <c r="B1241" s="6" t="s">
        <v>2552</v>
      </c>
      <c r="C1241" s="6" t="s">
        <v>32</v>
      </c>
      <c r="D1241" s="7" t="s">
        <v>33</v>
      </c>
      <c r="E1241" s="7" t="s">
        <v>27</v>
      </c>
      <c r="F1241" s="6" t="s">
        <v>128</v>
      </c>
      <c r="G1241" s="8">
        <v>12961</v>
      </c>
      <c r="H1241" s="8">
        <v>4551</v>
      </c>
      <c r="I1241" s="8">
        <v>3215</v>
      </c>
      <c r="J1241" s="8">
        <v>117</v>
      </c>
      <c r="K1241" s="8">
        <v>7</v>
      </c>
      <c r="L1241" s="8">
        <v>7</v>
      </c>
      <c r="M1241" s="8">
        <v>36</v>
      </c>
      <c r="N1241" s="8">
        <v>154</v>
      </c>
      <c r="O1241" s="9">
        <f t="shared" si="19"/>
        <v>5.1944012441679628E-2</v>
      </c>
      <c r="P1241" s="6" t="s">
        <v>22</v>
      </c>
    </row>
    <row r="1242" spans="1:16" x14ac:dyDescent="0.25">
      <c r="A1242" s="2" t="s">
        <v>2553</v>
      </c>
      <c r="B1242" s="2" t="s">
        <v>2554</v>
      </c>
      <c r="C1242" s="2" t="s">
        <v>76</v>
      </c>
      <c r="D1242" s="3" t="s">
        <v>86</v>
      </c>
      <c r="E1242" s="3" t="s">
        <v>34</v>
      </c>
      <c r="F1242" s="2" t="s">
        <v>104</v>
      </c>
      <c r="G1242" s="4">
        <v>182503</v>
      </c>
      <c r="H1242" s="4">
        <v>25955</v>
      </c>
      <c r="I1242" s="4">
        <v>22810</v>
      </c>
      <c r="J1242" s="4">
        <v>1401</v>
      </c>
      <c r="K1242" s="4">
        <v>198</v>
      </c>
      <c r="L1242" s="4">
        <v>114</v>
      </c>
      <c r="M1242" s="4">
        <v>91</v>
      </c>
      <c r="N1242" s="4">
        <v>433</v>
      </c>
      <c r="O1242" s="5">
        <f t="shared" si="19"/>
        <v>7.9088119245944763E-2</v>
      </c>
      <c r="P1242" s="2" t="s">
        <v>22</v>
      </c>
    </row>
    <row r="1243" spans="1:16" x14ac:dyDescent="0.25">
      <c r="A1243" s="6" t="s">
        <v>2555</v>
      </c>
      <c r="B1243" s="6" t="s">
        <v>2556</v>
      </c>
      <c r="C1243" s="6" t="s">
        <v>18</v>
      </c>
      <c r="D1243" s="7" t="s">
        <v>231</v>
      </c>
      <c r="E1243" s="7" t="s">
        <v>45</v>
      </c>
      <c r="F1243" s="6" t="s">
        <v>58</v>
      </c>
      <c r="G1243" s="8">
        <v>782096</v>
      </c>
      <c r="H1243" s="8">
        <v>112440</v>
      </c>
      <c r="I1243" s="8">
        <v>81452</v>
      </c>
      <c r="J1243" s="8">
        <v>3376</v>
      </c>
      <c r="K1243" s="8">
        <v>510</v>
      </c>
      <c r="L1243" s="8">
        <v>490</v>
      </c>
      <c r="M1243" s="8">
        <v>488</v>
      </c>
      <c r="N1243" s="8">
        <v>583</v>
      </c>
      <c r="O1243" s="9">
        <f t="shared" si="19"/>
        <v>5.971615184403084E-2</v>
      </c>
      <c r="P1243" s="6" t="s">
        <v>22</v>
      </c>
    </row>
    <row r="1244" spans="1:16" x14ac:dyDescent="0.25">
      <c r="A1244" s="2" t="s">
        <v>2557</v>
      </c>
      <c r="B1244" s="2" t="s">
        <v>2558</v>
      </c>
      <c r="C1244" s="2" t="s">
        <v>25</v>
      </c>
      <c r="D1244" s="3" t="s">
        <v>244</v>
      </c>
      <c r="E1244" s="3" t="s">
        <v>50</v>
      </c>
      <c r="F1244" s="2" t="s">
        <v>146</v>
      </c>
      <c r="G1244" s="4">
        <v>195088</v>
      </c>
      <c r="H1244" s="4">
        <v>25931</v>
      </c>
      <c r="I1244" s="4">
        <v>18239</v>
      </c>
      <c r="J1244" s="4">
        <v>1051</v>
      </c>
      <c r="K1244" s="4">
        <v>65</v>
      </c>
      <c r="L1244" s="4">
        <v>101</v>
      </c>
      <c r="M1244" s="4">
        <v>211</v>
      </c>
      <c r="N1244" s="4">
        <v>240</v>
      </c>
      <c r="O1244" s="5">
        <f t="shared" si="19"/>
        <v>7.8293766105597892E-2</v>
      </c>
      <c r="P1244" s="2" t="s">
        <v>29</v>
      </c>
    </row>
    <row r="1245" spans="1:16" x14ac:dyDescent="0.25">
      <c r="A1245" s="6" t="s">
        <v>2559</v>
      </c>
      <c r="B1245" s="6" t="s">
        <v>2560</v>
      </c>
      <c r="C1245" s="6" t="s">
        <v>18</v>
      </c>
      <c r="D1245" s="7" t="s">
        <v>231</v>
      </c>
      <c r="E1245" s="7" t="s">
        <v>45</v>
      </c>
      <c r="F1245" s="6" t="s">
        <v>58</v>
      </c>
      <c r="G1245" s="8">
        <v>839091</v>
      </c>
      <c r="H1245" s="8">
        <v>489594</v>
      </c>
      <c r="I1245" s="8">
        <v>409175</v>
      </c>
      <c r="J1245" s="8">
        <v>15909</v>
      </c>
      <c r="K1245" s="8">
        <v>913</v>
      </c>
      <c r="L1245" s="8">
        <v>1645</v>
      </c>
      <c r="M1245" s="8">
        <v>1919</v>
      </c>
      <c r="N1245" s="8">
        <v>3834</v>
      </c>
      <c r="O1245" s="9">
        <f t="shared" si="19"/>
        <v>4.9822203213783833E-2</v>
      </c>
      <c r="P1245" s="6" t="s">
        <v>66</v>
      </c>
    </row>
    <row r="1246" spans="1:16" x14ac:dyDescent="0.25">
      <c r="A1246" s="2" t="s">
        <v>2561</v>
      </c>
      <c r="B1246" s="2" t="s">
        <v>2562</v>
      </c>
      <c r="C1246" s="2" t="s">
        <v>32</v>
      </c>
      <c r="D1246" s="3" t="s">
        <v>33</v>
      </c>
      <c r="E1246" s="3" t="s">
        <v>50</v>
      </c>
      <c r="F1246" s="2" t="s">
        <v>128</v>
      </c>
      <c r="G1246" s="4">
        <v>712519</v>
      </c>
      <c r="H1246" s="4">
        <v>442025</v>
      </c>
      <c r="I1246" s="4">
        <v>376715</v>
      </c>
      <c r="J1246" s="4">
        <v>24338</v>
      </c>
      <c r="K1246" s="4">
        <v>2010</v>
      </c>
      <c r="L1246" s="4">
        <v>1696</v>
      </c>
      <c r="M1246" s="4">
        <v>8</v>
      </c>
      <c r="N1246" s="4">
        <v>3612</v>
      </c>
      <c r="O1246" s="5">
        <f t="shared" si="19"/>
        <v>7.4464781067916069E-2</v>
      </c>
      <c r="P1246" s="2" t="s">
        <v>22</v>
      </c>
    </row>
    <row r="1247" spans="1:16" x14ac:dyDescent="0.25">
      <c r="A1247" s="6" t="s">
        <v>2563</v>
      </c>
      <c r="B1247" s="6" t="s">
        <v>2564</v>
      </c>
      <c r="C1247" s="6" t="s">
        <v>43</v>
      </c>
      <c r="D1247" s="7" t="s">
        <v>81</v>
      </c>
      <c r="E1247" s="7" t="s">
        <v>20</v>
      </c>
      <c r="F1247" s="6" t="s">
        <v>46</v>
      </c>
      <c r="G1247" s="8">
        <v>569247</v>
      </c>
      <c r="H1247" s="8">
        <v>367858</v>
      </c>
      <c r="I1247" s="8">
        <v>280608</v>
      </c>
      <c r="J1247" s="8">
        <v>20746</v>
      </c>
      <c r="K1247" s="8">
        <v>2289</v>
      </c>
      <c r="L1247" s="8">
        <v>1530</v>
      </c>
      <c r="M1247" s="8">
        <v>30</v>
      </c>
      <c r="N1247" s="8">
        <v>7975</v>
      </c>
      <c r="O1247" s="9">
        <f t="shared" si="19"/>
        <v>8.7648962253392637E-2</v>
      </c>
      <c r="P1247" s="6" t="s">
        <v>29</v>
      </c>
    </row>
    <row r="1248" spans="1:16" x14ac:dyDescent="0.25">
      <c r="A1248" s="2" t="s">
        <v>2565</v>
      </c>
      <c r="B1248" s="2" t="s">
        <v>2566</v>
      </c>
      <c r="C1248" s="2" t="s">
        <v>25</v>
      </c>
      <c r="D1248" s="3" t="s">
        <v>26</v>
      </c>
      <c r="E1248" s="3" t="s">
        <v>39</v>
      </c>
      <c r="F1248" s="2" t="s">
        <v>54</v>
      </c>
      <c r="G1248" s="4">
        <v>12641</v>
      </c>
      <c r="H1248" s="4">
        <v>2951</v>
      </c>
      <c r="I1248" s="4">
        <v>2233</v>
      </c>
      <c r="J1248" s="4">
        <v>149</v>
      </c>
      <c r="K1248" s="4">
        <v>9</v>
      </c>
      <c r="L1248" s="4">
        <v>18</v>
      </c>
      <c r="M1248" s="4">
        <v>24</v>
      </c>
      <c r="N1248" s="4">
        <v>22</v>
      </c>
      <c r="O1248" s="5">
        <f t="shared" si="19"/>
        <v>8.9565606806986123E-2</v>
      </c>
      <c r="P1248" s="2" t="s">
        <v>22</v>
      </c>
    </row>
    <row r="1249" spans="1:16" x14ac:dyDescent="0.25">
      <c r="A1249" s="6" t="s">
        <v>2567</v>
      </c>
      <c r="B1249" s="6" t="s">
        <v>2568</v>
      </c>
      <c r="C1249" s="6" t="s">
        <v>43</v>
      </c>
      <c r="D1249" s="7" t="s">
        <v>172</v>
      </c>
      <c r="E1249" s="7" t="s">
        <v>20</v>
      </c>
      <c r="F1249" s="6" t="s">
        <v>70</v>
      </c>
      <c r="G1249" s="8">
        <v>460919</v>
      </c>
      <c r="H1249" s="8">
        <v>50102</v>
      </c>
      <c r="I1249" s="8">
        <v>43194</v>
      </c>
      <c r="J1249" s="8">
        <v>3298</v>
      </c>
      <c r="K1249" s="8">
        <v>560</v>
      </c>
      <c r="L1249" s="8">
        <v>395</v>
      </c>
      <c r="M1249" s="8">
        <v>12</v>
      </c>
      <c r="N1249" s="8">
        <v>841</v>
      </c>
      <c r="O1249" s="9">
        <f t="shared" si="19"/>
        <v>9.8740565819326762E-2</v>
      </c>
      <c r="P1249" s="6" t="s">
        <v>66</v>
      </c>
    </row>
    <row r="1250" spans="1:16" x14ac:dyDescent="0.25">
      <c r="A1250" s="2" t="s">
        <v>2569</v>
      </c>
      <c r="B1250" s="2" t="s">
        <v>2570</v>
      </c>
      <c r="C1250" s="2" t="s">
        <v>18</v>
      </c>
      <c r="D1250" s="3" t="s">
        <v>19</v>
      </c>
      <c r="E1250" s="3" t="s">
        <v>50</v>
      </c>
      <c r="F1250" s="2" t="s">
        <v>73</v>
      </c>
      <c r="G1250" s="4">
        <v>284583</v>
      </c>
      <c r="H1250" s="4">
        <v>66631</v>
      </c>
      <c r="I1250" s="4">
        <v>54032</v>
      </c>
      <c r="J1250" s="4">
        <v>1801</v>
      </c>
      <c r="K1250" s="4">
        <v>209</v>
      </c>
      <c r="L1250" s="4">
        <v>159</v>
      </c>
      <c r="M1250" s="4">
        <v>204</v>
      </c>
      <c r="N1250" s="4">
        <v>1196</v>
      </c>
      <c r="O1250" s="5">
        <f t="shared" si="19"/>
        <v>4.391841871483565E-2</v>
      </c>
      <c r="P1250" s="2" t="s">
        <v>22</v>
      </c>
    </row>
    <row r="1251" spans="1:16" x14ac:dyDescent="0.25">
      <c r="A1251" s="6" t="s">
        <v>2571</v>
      </c>
      <c r="B1251" s="6" t="s">
        <v>2572</v>
      </c>
      <c r="C1251" s="6" t="s">
        <v>25</v>
      </c>
      <c r="D1251" s="7" t="s">
        <v>64</v>
      </c>
      <c r="E1251" s="7" t="s">
        <v>45</v>
      </c>
      <c r="F1251" s="6" t="s">
        <v>65</v>
      </c>
      <c r="G1251" s="8">
        <v>722157</v>
      </c>
      <c r="H1251" s="8">
        <v>118851</v>
      </c>
      <c r="I1251" s="8">
        <v>92589</v>
      </c>
      <c r="J1251" s="8">
        <v>4722</v>
      </c>
      <c r="K1251" s="8">
        <v>764</v>
      </c>
      <c r="L1251" s="8">
        <v>561</v>
      </c>
      <c r="M1251" s="8">
        <v>237</v>
      </c>
      <c r="N1251" s="8">
        <v>667</v>
      </c>
      <c r="O1251" s="9">
        <f t="shared" si="19"/>
        <v>6.7869833349533962E-2</v>
      </c>
      <c r="P1251" s="6" t="s">
        <v>22</v>
      </c>
    </row>
    <row r="1252" spans="1:16" x14ac:dyDescent="0.25">
      <c r="A1252" s="2" t="s">
        <v>2573</v>
      </c>
      <c r="B1252" s="2" t="s">
        <v>2574</v>
      </c>
      <c r="C1252" s="2" t="s">
        <v>32</v>
      </c>
      <c r="D1252" s="3" t="s">
        <v>121</v>
      </c>
      <c r="E1252" s="3" t="s">
        <v>20</v>
      </c>
      <c r="F1252" s="2" t="s">
        <v>128</v>
      </c>
      <c r="G1252" s="4">
        <v>644424</v>
      </c>
      <c r="H1252" s="4">
        <v>2463446</v>
      </c>
      <c r="I1252" s="4">
        <v>2140699</v>
      </c>
      <c r="J1252" s="4">
        <v>133242</v>
      </c>
      <c r="K1252" s="4">
        <v>5795</v>
      </c>
      <c r="L1252" s="4">
        <v>7031</v>
      </c>
      <c r="M1252" s="4">
        <v>25</v>
      </c>
      <c r="N1252" s="4">
        <v>71315</v>
      </c>
      <c r="O1252" s="5">
        <f t="shared" si="19"/>
        <v>6.8245465616604675E-2</v>
      </c>
      <c r="P1252" s="2" t="s">
        <v>22</v>
      </c>
    </row>
    <row r="1253" spans="1:16" x14ac:dyDescent="0.25">
      <c r="A1253" s="6" t="s">
        <v>2575</v>
      </c>
      <c r="B1253" s="6" t="s">
        <v>2576</v>
      </c>
      <c r="C1253" s="6" t="s">
        <v>25</v>
      </c>
      <c r="D1253" s="7" t="s">
        <v>64</v>
      </c>
      <c r="E1253" s="7" t="s">
        <v>20</v>
      </c>
      <c r="F1253" s="6" t="s">
        <v>65</v>
      </c>
      <c r="G1253" s="8">
        <v>213831</v>
      </c>
      <c r="H1253" s="8">
        <v>107564</v>
      </c>
      <c r="I1253" s="8">
        <v>91226</v>
      </c>
      <c r="J1253" s="8">
        <v>8250</v>
      </c>
      <c r="K1253" s="8">
        <v>961</v>
      </c>
      <c r="L1253" s="8">
        <v>658</v>
      </c>
      <c r="M1253" s="8">
        <v>1594</v>
      </c>
      <c r="N1253" s="8">
        <v>682</v>
      </c>
      <c r="O1253" s="9">
        <f t="shared" si="19"/>
        <v>0.12565496678578475</v>
      </c>
      <c r="P1253" s="6" t="s">
        <v>22</v>
      </c>
    </row>
    <row r="1254" spans="1:16" x14ac:dyDescent="0.25">
      <c r="A1254" s="2" t="s">
        <v>2577</v>
      </c>
      <c r="B1254" s="2" t="s">
        <v>2578</v>
      </c>
      <c r="C1254" s="2" t="s">
        <v>43</v>
      </c>
      <c r="D1254" s="3" t="s">
        <v>81</v>
      </c>
      <c r="E1254" s="3" t="s">
        <v>27</v>
      </c>
      <c r="F1254" s="2" t="s">
        <v>46</v>
      </c>
      <c r="G1254" s="4">
        <v>505846</v>
      </c>
      <c r="H1254" s="4">
        <v>152487</v>
      </c>
      <c r="I1254" s="4">
        <v>108440</v>
      </c>
      <c r="J1254" s="4">
        <v>11479</v>
      </c>
      <c r="K1254" s="4">
        <v>1749</v>
      </c>
      <c r="L1254" s="4">
        <v>1680</v>
      </c>
      <c r="M1254" s="4">
        <v>32</v>
      </c>
      <c r="N1254" s="4">
        <v>2031</v>
      </c>
      <c r="O1254" s="5">
        <f t="shared" si="19"/>
        <v>0.13777203983769826</v>
      </c>
      <c r="P1254" s="2" t="s">
        <v>22</v>
      </c>
    </row>
    <row r="1255" spans="1:16" x14ac:dyDescent="0.25">
      <c r="A1255" s="6" t="s">
        <v>2579</v>
      </c>
      <c r="B1255" s="6" t="s">
        <v>2580</v>
      </c>
      <c r="C1255" s="6" t="s">
        <v>25</v>
      </c>
      <c r="D1255" s="7" t="s">
        <v>26</v>
      </c>
      <c r="E1255" s="7" t="s">
        <v>34</v>
      </c>
      <c r="F1255" s="6" t="s">
        <v>54</v>
      </c>
      <c r="G1255" s="8">
        <v>551315</v>
      </c>
      <c r="H1255" s="8">
        <v>144143</v>
      </c>
      <c r="I1255" s="8">
        <v>120057</v>
      </c>
      <c r="J1255" s="8">
        <v>8467</v>
      </c>
      <c r="K1255" s="8">
        <v>1135</v>
      </c>
      <c r="L1255" s="8">
        <v>532</v>
      </c>
      <c r="M1255" s="8">
        <v>663</v>
      </c>
      <c r="N1255" s="8">
        <v>3199</v>
      </c>
      <c r="O1255" s="9">
        <f t="shared" si="19"/>
        <v>8.993228216597117E-2</v>
      </c>
      <c r="P1255" s="6" t="s">
        <v>29</v>
      </c>
    </row>
    <row r="1256" spans="1:16" x14ac:dyDescent="0.25">
      <c r="A1256" s="2" t="s">
        <v>2581</v>
      </c>
      <c r="B1256" s="2" t="s">
        <v>2582</v>
      </c>
      <c r="C1256" s="2" t="s">
        <v>18</v>
      </c>
      <c r="D1256" s="3" t="s">
        <v>226</v>
      </c>
      <c r="E1256" s="3" t="s">
        <v>34</v>
      </c>
      <c r="F1256" s="2" t="s">
        <v>58</v>
      </c>
      <c r="G1256" s="4">
        <v>215836</v>
      </c>
      <c r="H1256" s="4">
        <v>46691</v>
      </c>
      <c r="I1256" s="4">
        <v>36906</v>
      </c>
      <c r="J1256" s="4">
        <v>2184</v>
      </c>
      <c r="K1256" s="4">
        <v>188</v>
      </c>
      <c r="L1256" s="4">
        <v>206</v>
      </c>
      <c r="M1256" s="4">
        <v>370</v>
      </c>
      <c r="N1256" s="4">
        <v>630</v>
      </c>
      <c r="O1256" s="5">
        <f t="shared" si="19"/>
        <v>7.9878610524034027E-2</v>
      </c>
      <c r="P1256" s="2" t="s">
        <v>66</v>
      </c>
    </row>
    <row r="1257" spans="1:16" x14ac:dyDescent="0.25">
      <c r="A1257" s="6" t="s">
        <v>2583</v>
      </c>
      <c r="B1257" s="6" t="s">
        <v>2584</v>
      </c>
      <c r="C1257" s="6" t="s">
        <v>25</v>
      </c>
      <c r="D1257" s="7" t="s">
        <v>145</v>
      </c>
      <c r="E1257" s="7" t="s">
        <v>34</v>
      </c>
      <c r="F1257" s="6" t="s">
        <v>54</v>
      </c>
      <c r="G1257" s="8">
        <v>579779</v>
      </c>
      <c r="H1257" s="8">
        <v>337607</v>
      </c>
      <c r="I1257" s="8">
        <v>237515</v>
      </c>
      <c r="J1257" s="8">
        <v>9573</v>
      </c>
      <c r="K1257" s="8">
        <v>1392</v>
      </c>
      <c r="L1257" s="8">
        <v>1324</v>
      </c>
      <c r="M1257" s="8">
        <v>1797</v>
      </c>
      <c r="N1257" s="8">
        <v>3229</v>
      </c>
      <c r="O1257" s="9">
        <f t="shared" si="19"/>
        <v>5.9305728059280464E-2</v>
      </c>
      <c r="P1257" s="6" t="s">
        <v>22</v>
      </c>
    </row>
    <row r="1258" spans="1:16" x14ac:dyDescent="0.25">
      <c r="A1258" s="2" t="s">
        <v>2585</v>
      </c>
      <c r="B1258" s="2" t="s">
        <v>2586</v>
      </c>
      <c r="C1258" s="2" t="s">
        <v>18</v>
      </c>
      <c r="D1258" s="3" t="s">
        <v>226</v>
      </c>
      <c r="E1258" s="3" t="s">
        <v>20</v>
      </c>
      <c r="F1258" s="2" t="s">
        <v>58</v>
      </c>
      <c r="G1258" s="4">
        <v>150074</v>
      </c>
      <c r="H1258" s="4">
        <v>459215</v>
      </c>
      <c r="I1258" s="4">
        <v>371649</v>
      </c>
      <c r="J1258" s="4">
        <v>28163</v>
      </c>
      <c r="K1258" s="4">
        <v>4667</v>
      </c>
      <c r="L1258" s="4">
        <v>2275</v>
      </c>
      <c r="M1258" s="4">
        <v>5856</v>
      </c>
      <c r="N1258" s="4">
        <v>7235</v>
      </c>
      <c r="O1258" s="5">
        <f t="shared" si="19"/>
        <v>0.11021420749147717</v>
      </c>
      <c r="P1258" s="2" t="s">
        <v>66</v>
      </c>
    </row>
    <row r="1259" spans="1:16" x14ac:dyDescent="0.25">
      <c r="A1259" s="6" t="s">
        <v>2587</v>
      </c>
      <c r="B1259" s="6" t="s">
        <v>2588</v>
      </c>
      <c r="C1259" s="6" t="s">
        <v>25</v>
      </c>
      <c r="D1259" s="7" t="s">
        <v>244</v>
      </c>
      <c r="E1259" s="7" t="s">
        <v>39</v>
      </c>
      <c r="F1259" s="6" t="s">
        <v>54</v>
      </c>
      <c r="G1259" s="8">
        <v>11330</v>
      </c>
      <c r="H1259" s="8">
        <v>1936</v>
      </c>
      <c r="I1259" s="8">
        <v>1777</v>
      </c>
      <c r="J1259" s="8">
        <v>103</v>
      </c>
      <c r="K1259" s="8">
        <v>5</v>
      </c>
      <c r="L1259" s="8">
        <v>11</v>
      </c>
      <c r="M1259" s="8">
        <v>7</v>
      </c>
      <c r="N1259" s="8">
        <v>16</v>
      </c>
      <c r="O1259" s="9">
        <f t="shared" si="19"/>
        <v>7.0906021384355658E-2</v>
      </c>
      <c r="P1259" s="6" t="s">
        <v>22</v>
      </c>
    </row>
    <row r="1260" spans="1:16" x14ac:dyDescent="0.25">
      <c r="A1260" s="2" t="s">
        <v>2589</v>
      </c>
      <c r="B1260" s="2" t="s">
        <v>2590</v>
      </c>
      <c r="C1260" s="2" t="s">
        <v>18</v>
      </c>
      <c r="D1260" s="3" t="s">
        <v>231</v>
      </c>
      <c r="E1260" s="3" t="s">
        <v>27</v>
      </c>
      <c r="F1260" s="2" t="s">
        <v>21</v>
      </c>
      <c r="G1260" s="4">
        <v>303299</v>
      </c>
      <c r="H1260" s="4">
        <v>178517</v>
      </c>
      <c r="I1260" s="4">
        <v>159655</v>
      </c>
      <c r="J1260" s="4">
        <v>4221</v>
      </c>
      <c r="K1260" s="4">
        <v>507</v>
      </c>
      <c r="L1260" s="4">
        <v>204</v>
      </c>
      <c r="M1260" s="4">
        <v>434</v>
      </c>
      <c r="N1260" s="4">
        <v>3079</v>
      </c>
      <c r="O1260" s="5">
        <f t="shared" si="19"/>
        <v>3.3609971501049135E-2</v>
      </c>
      <c r="P1260" s="2" t="s">
        <v>22</v>
      </c>
    </row>
    <row r="1261" spans="1:16" x14ac:dyDescent="0.25">
      <c r="A1261" s="6" t="s">
        <v>2591</v>
      </c>
      <c r="B1261" s="6" t="s">
        <v>2592</v>
      </c>
      <c r="C1261" s="6" t="s">
        <v>25</v>
      </c>
      <c r="D1261" s="7" t="s">
        <v>26</v>
      </c>
      <c r="E1261" s="7" t="s">
        <v>34</v>
      </c>
      <c r="F1261" s="6" t="s">
        <v>54</v>
      </c>
      <c r="G1261" s="8">
        <v>96589</v>
      </c>
      <c r="H1261" s="8">
        <v>48778</v>
      </c>
      <c r="I1261" s="8">
        <v>36296</v>
      </c>
      <c r="J1261" s="8">
        <v>3621</v>
      </c>
      <c r="K1261" s="8">
        <v>417</v>
      </c>
      <c r="L1261" s="8">
        <v>538</v>
      </c>
      <c r="M1261" s="8">
        <v>635</v>
      </c>
      <c r="N1261" s="8">
        <v>344</v>
      </c>
      <c r="O1261" s="9">
        <f t="shared" si="19"/>
        <v>0.14356953934317832</v>
      </c>
      <c r="P1261" s="6" t="s">
        <v>22</v>
      </c>
    </row>
    <row r="1262" spans="1:16" x14ac:dyDescent="0.25">
      <c r="A1262" s="2" t="s">
        <v>2593</v>
      </c>
      <c r="B1262" s="2" t="s">
        <v>2594</v>
      </c>
      <c r="C1262" s="2" t="s">
        <v>43</v>
      </c>
      <c r="D1262" s="3" t="s">
        <v>110</v>
      </c>
      <c r="E1262" s="3" t="s">
        <v>34</v>
      </c>
      <c r="F1262" s="2" t="s">
        <v>46</v>
      </c>
      <c r="G1262" s="4">
        <v>773652</v>
      </c>
      <c r="H1262" s="4">
        <v>393259</v>
      </c>
      <c r="I1262" s="4">
        <v>357967</v>
      </c>
      <c r="J1262" s="4">
        <v>26078</v>
      </c>
      <c r="K1262" s="4">
        <v>3639</v>
      </c>
      <c r="L1262" s="4">
        <v>3822</v>
      </c>
      <c r="M1262" s="4">
        <v>16</v>
      </c>
      <c r="N1262" s="4">
        <v>5647</v>
      </c>
      <c r="O1262" s="5">
        <f t="shared" si="19"/>
        <v>9.3737690904468846E-2</v>
      </c>
      <c r="P1262" s="2" t="s">
        <v>29</v>
      </c>
    </row>
    <row r="1263" spans="1:16" x14ac:dyDescent="0.25">
      <c r="A1263" s="6" t="s">
        <v>2595</v>
      </c>
      <c r="B1263" s="6" t="s">
        <v>2596</v>
      </c>
      <c r="C1263" s="6" t="s">
        <v>25</v>
      </c>
      <c r="D1263" s="7" t="s">
        <v>26</v>
      </c>
      <c r="E1263" s="7" t="s">
        <v>39</v>
      </c>
      <c r="F1263" s="6" t="s">
        <v>146</v>
      </c>
      <c r="G1263" s="8">
        <v>667310</v>
      </c>
      <c r="H1263" s="8">
        <v>367270</v>
      </c>
      <c r="I1263" s="8">
        <v>265740</v>
      </c>
      <c r="J1263" s="8">
        <v>9287</v>
      </c>
      <c r="K1263" s="8">
        <v>608</v>
      </c>
      <c r="L1263" s="8">
        <v>627</v>
      </c>
      <c r="M1263" s="8">
        <v>1800</v>
      </c>
      <c r="N1263" s="8">
        <v>10634</v>
      </c>
      <c r="O1263" s="9">
        <f t="shared" si="19"/>
        <v>4.6368630992699632E-2</v>
      </c>
      <c r="P1263" s="6" t="s">
        <v>66</v>
      </c>
    </row>
    <row r="1264" spans="1:16" x14ac:dyDescent="0.25">
      <c r="A1264" s="2" t="s">
        <v>2597</v>
      </c>
      <c r="B1264" s="2" t="s">
        <v>2598</v>
      </c>
      <c r="C1264" s="2" t="s">
        <v>25</v>
      </c>
      <c r="D1264" s="3" t="s">
        <v>244</v>
      </c>
      <c r="E1264" s="3" t="s">
        <v>20</v>
      </c>
      <c r="F1264" s="2" t="s">
        <v>28</v>
      </c>
      <c r="G1264" s="4">
        <v>587955</v>
      </c>
      <c r="H1264" s="4">
        <v>74877</v>
      </c>
      <c r="I1264" s="4">
        <v>61222</v>
      </c>
      <c r="J1264" s="4">
        <v>2230</v>
      </c>
      <c r="K1264" s="4">
        <v>173</v>
      </c>
      <c r="L1264" s="4">
        <v>74</v>
      </c>
      <c r="M1264" s="4">
        <v>414</v>
      </c>
      <c r="N1264" s="4">
        <v>2229</v>
      </c>
      <c r="O1264" s="5">
        <f t="shared" si="19"/>
        <v>4.7221587011205123E-2</v>
      </c>
      <c r="P1264" s="2" t="s">
        <v>29</v>
      </c>
    </row>
    <row r="1265" spans="1:16" x14ac:dyDescent="0.25">
      <c r="A1265" s="6" t="s">
        <v>2599</v>
      </c>
      <c r="B1265" s="6" t="s">
        <v>2600</v>
      </c>
      <c r="C1265" s="6" t="s">
        <v>43</v>
      </c>
      <c r="D1265" s="7" t="s">
        <v>69</v>
      </c>
      <c r="E1265" s="7" t="s">
        <v>39</v>
      </c>
      <c r="F1265" s="6" t="s">
        <v>107</v>
      </c>
      <c r="G1265" s="8">
        <v>408746</v>
      </c>
      <c r="H1265" s="8">
        <v>249814</v>
      </c>
      <c r="I1265" s="8">
        <v>196863</v>
      </c>
      <c r="J1265" s="8">
        <v>7284</v>
      </c>
      <c r="K1265" s="8">
        <v>360</v>
      </c>
      <c r="L1265" s="8">
        <v>1077</v>
      </c>
      <c r="M1265" s="8">
        <v>39</v>
      </c>
      <c r="N1265" s="8">
        <v>7839</v>
      </c>
      <c r="O1265" s="9">
        <f t="shared" si="19"/>
        <v>4.4497950351259502E-2</v>
      </c>
      <c r="P1265" s="6" t="s">
        <v>66</v>
      </c>
    </row>
    <row r="1266" spans="1:16" x14ac:dyDescent="0.25">
      <c r="A1266" s="2" t="s">
        <v>2601</v>
      </c>
      <c r="B1266" s="2" t="s">
        <v>2602</v>
      </c>
      <c r="C1266" s="2" t="s">
        <v>18</v>
      </c>
      <c r="D1266" s="3" t="s">
        <v>92</v>
      </c>
      <c r="E1266" s="3" t="s">
        <v>50</v>
      </c>
      <c r="F1266" s="2" t="s">
        <v>58</v>
      </c>
      <c r="G1266" s="4">
        <v>492270</v>
      </c>
      <c r="H1266" s="4">
        <v>225244</v>
      </c>
      <c r="I1266" s="4">
        <v>160648</v>
      </c>
      <c r="J1266" s="4">
        <v>7311</v>
      </c>
      <c r="K1266" s="4">
        <v>235</v>
      </c>
      <c r="L1266" s="4">
        <v>538</v>
      </c>
      <c r="M1266" s="4">
        <v>1729</v>
      </c>
      <c r="N1266" s="4">
        <v>6574</v>
      </c>
      <c r="O1266" s="5">
        <f t="shared" si="19"/>
        <v>6.1083860365519646E-2</v>
      </c>
      <c r="P1266" s="2" t="s">
        <v>22</v>
      </c>
    </row>
    <row r="1267" spans="1:16" x14ac:dyDescent="0.25">
      <c r="A1267" s="6" t="s">
        <v>2603</v>
      </c>
      <c r="B1267" s="6" t="s">
        <v>2604</v>
      </c>
      <c r="C1267" s="6" t="s">
        <v>25</v>
      </c>
      <c r="D1267" s="7" t="s">
        <v>64</v>
      </c>
      <c r="E1267" s="7" t="s">
        <v>50</v>
      </c>
      <c r="F1267" s="6" t="s">
        <v>28</v>
      </c>
      <c r="G1267" s="8">
        <v>222150</v>
      </c>
      <c r="H1267" s="8">
        <v>56676</v>
      </c>
      <c r="I1267" s="8">
        <v>50629</v>
      </c>
      <c r="J1267" s="8">
        <v>3697</v>
      </c>
      <c r="K1267" s="8">
        <v>414</v>
      </c>
      <c r="L1267" s="8">
        <v>529</v>
      </c>
      <c r="M1267" s="8">
        <v>296</v>
      </c>
      <c r="N1267" s="8">
        <v>855</v>
      </c>
      <c r="O1267" s="9">
        <f t="shared" si="19"/>
        <v>9.7493531375298745E-2</v>
      </c>
      <c r="P1267" s="6" t="s">
        <v>29</v>
      </c>
    </row>
    <row r="1268" spans="1:16" x14ac:dyDescent="0.25">
      <c r="A1268" s="2" t="s">
        <v>2605</v>
      </c>
      <c r="B1268" s="2" t="s">
        <v>2606</v>
      </c>
      <c r="C1268" s="2" t="s">
        <v>18</v>
      </c>
      <c r="D1268" s="3" t="s">
        <v>19</v>
      </c>
      <c r="E1268" s="3" t="s">
        <v>50</v>
      </c>
      <c r="F1268" s="2" t="s">
        <v>58</v>
      </c>
      <c r="G1268" s="4">
        <v>605255</v>
      </c>
      <c r="H1268" s="4">
        <v>54351</v>
      </c>
      <c r="I1268" s="4">
        <v>45936</v>
      </c>
      <c r="J1268" s="4">
        <v>1988</v>
      </c>
      <c r="K1268" s="4">
        <v>144</v>
      </c>
      <c r="L1268" s="4">
        <v>251</v>
      </c>
      <c r="M1268" s="4">
        <v>404</v>
      </c>
      <c r="N1268" s="4">
        <v>436</v>
      </c>
      <c r="O1268" s="5">
        <f t="shared" si="19"/>
        <v>6.0671368861024033E-2</v>
      </c>
      <c r="P1268" s="2" t="s">
        <v>29</v>
      </c>
    </row>
    <row r="1269" spans="1:16" x14ac:dyDescent="0.25">
      <c r="A1269" s="6" t="s">
        <v>2607</v>
      </c>
      <c r="B1269" s="6" t="s">
        <v>2608</v>
      </c>
      <c r="C1269" s="6" t="s">
        <v>76</v>
      </c>
      <c r="D1269" s="7" t="s">
        <v>189</v>
      </c>
      <c r="E1269" s="7" t="s">
        <v>20</v>
      </c>
      <c r="F1269" s="6" t="s">
        <v>104</v>
      </c>
      <c r="G1269" s="8">
        <v>263676</v>
      </c>
      <c r="H1269" s="8">
        <v>1188942</v>
      </c>
      <c r="I1269" s="8">
        <v>912488</v>
      </c>
      <c r="J1269" s="8">
        <v>47845</v>
      </c>
      <c r="K1269" s="8">
        <v>5646</v>
      </c>
      <c r="L1269" s="8">
        <v>2745</v>
      </c>
      <c r="M1269" s="8">
        <v>10759</v>
      </c>
      <c r="N1269" s="8">
        <v>23874</v>
      </c>
      <c r="O1269" s="9">
        <f t="shared" si="19"/>
        <v>7.3420143607367983E-2</v>
      </c>
      <c r="P1269" s="6" t="s">
        <v>22</v>
      </c>
    </row>
    <row r="1270" spans="1:16" x14ac:dyDescent="0.25">
      <c r="A1270" s="2" t="s">
        <v>2609</v>
      </c>
      <c r="B1270" s="2" t="s">
        <v>2610</v>
      </c>
      <c r="C1270" s="2" t="s">
        <v>43</v>
      </c>
      <c r="D1270" s="3" t="s">
        <v>69</v>
      </c>
      <c r="E1270" s="3" t="s">
        <v>27</v>
      </c>
      <c r="F1270" s="2" t="s">
        <v>70</v>
      </c>
      <c r="G1270" s="4">
        <v>427332</v>
      </c>
      <c r="H1270" s="4">
        <v>245167</v>
      </c>
      <c r="I1270" s="4">
        <v>190350</v>
      </c>
      <c r="J1270" s="4">
        <v>6349</v>
      </c>
      <c r="K1270" s="4">
        <v>286</v>
      </c>
      <c r="L1270" s="4">
        <v>163</v>
      </c>
      <c r="M1270" s="4">
        <v>5</v>
      </c>
      <c r="N1270" s="4">
        <v>2409</v>
      </c>
      <c r="O1270" s="5">
        <f t="shared" si="19"/>
        <v>3.5739427370633042E-2</v>
      </c>
      <c r="P1270" s="2" t="s">
        <v>29</v>
      </c>
    </row>
    <row r="1271" spans="1:16" x14ac:dyDescent="0.25">
      <c r="A1271" s="6" t="s">
        <v>2611</v>
      </c>
      <c r="B1271" s="6" t="s">
        <v>2612</v>
      </c>
      <c r="C1271" s="6" t="s">
        <v>18</v>
      </c>
      <c r="D1271" s="7" t="s">
        <v>226</v>
      </c>
      <c r="E1271" s="7" t="s">
        <v>45</v>
      </c>
      <c r="F1271" s="6" t="s">
        <v>21</v>
      </c>
      <c r="G1271" s="8">
        <v>261639</v>
      </c>
      <c r="H1271" s="8">
        <v>38598</v>
      </c>
      <c r="I1271" s="8">
        <v>27451</v>
      </c>
      <c r="J1271" s="8">
        <v>2187</v>
      </c>
      <c r="K1271" s="8">
        <v>377</v>
      </c>
      <c r="L1271" s="8">
        <v>164</v>
      </c>
      <c r="M1271" s="8">
        <v>469</v>
      </c>
      <c r="N1271" s="8">
        <v>470</v>
      </c>
      <c r="O1271" s="9">
        <f t="shared" si="19"/>
        <v>0.11646205966995737</v>
      </c>
      <c r="P1271" s="6" t="s">
        <v>22</v>
      </c>
    </row>
    <row r="1272" spans="1:16" x14ac:dyDescent="0.25">
      <c r="A1272" s="2" t="s">
        <v>2613</v>
      </c>
      <c r="B1272" s="2" t="s">
        <v>2614</v>
      </c>
      <c r="C1272" s="2" t="s">
        <v>43</v>
      </c>
      <c r="D1272" s="3" t="s">
        <v>69</v>
      </c>
      <c r="E1272" s="3" t="s">
        <v>34</v>
      </c>
      <c r="F1272" s="2" t="s">
        <v>70</v>
      </c>
      <c r="G1272" s="4">
        <v>214978</v>
      </c>
      <c r="H1272" s="4">
        <v>139674</v>
      </c>
      <c r="I1272" s="4">
        <v>100999</v>
      </c>
      <c r="J1272" s="4">
        <v>6537</v>
      </c>
      <c r="K1272" s="4">
        <v>1008</v>
      </c>
      <c r="L1272" s="4">
        <v>660</v>
      </c>
      <c r="M1272" s="4">
        <v>3</v>
      </c>
      <c r="N1272" s="4">
        <v>1034</v>
      </c>
      <c r="O1272" s="5">
        <f t="shared" si="19"/>
        <v>8.1268131367637303E-2</v>
      </c>
      <c r="P1272" s="2" t="s">
        <v>29</v>
      </c>
    </row>
    <row r="1273" spans="1:16" x14ac:dyDescent="0.25">
      <c r="A1273" s="6" t="s">
        <v>2615</v>
      </c>
      <c r="B1273" s="6" t="s">
        <v>2616</v>
      </c>
      <c r="C1273" s="6" t="s">
        <v>32</v>
      </c>
      <c r="D1273" s="7" t="s">
        <v>175</v>
      </c>
      <c r="E1273" s="7" t="s">
        <v>20</v>
      </c>
      <c r="F1273" s="6" t="s">
        <v>128</v>
      </c>
      <c r="G1273" s="8">
        <v>789154</v>
      </c>
      <c r="H1273" s="8">
        <v>399388</v>
      </c>
      <c r="I1273" s="8">
        <v>351852</v>
      </c>
      <c r="J1273" s="8">
        <v>26246</v>
      </c>
      <c r="K1273" s="8">
        <v>2971</v>
      </c>
      <c r="L1273" s="8">
        <v>680</v>
      </c>
      <c r="M1273" s="8">
        <v>47</v>
      </c>
      <c r="N1273" s="8">
        <v>3254</v>
      </c>
      <c r="O1273" s="9">
        <f t="shared" si="19"/>
        <v>8.5103964166751936E-2</v>
      </c>
      <c r="P1273" s="6" t="s">
        <v>29</v>
      </c>
    </row>
    <row r="1274" spans="1:16" x14ac:dyDescent="0.25">
      <c r="A1274" s="2" t="s">
        <v>2617</v>
      </c>
      <c r="B1274" s="2" t="s">
        <v>2618</v>
      </c>
      <c r="C1274" s="2" t="s">
        <v>43</v>
      </c>
      <c r="D1274" s="3" t="s">
        <v>81</v>
      </c>
      <c r="E1274" s="3" t="s">
        <v>45</v>
      </c>
      <c r="F1274" s="2" t="s">
        <v>107</v>
      </c>
      <c r="G1274" s="4">
        <v>273421</v>
      </c>
      <c r="H1274" s="4">
        <v>122866</v>
      </c>
      <c r="I1274" s="4">
        <v>98620</v>
      </c>
      <c r="J1274" s="4">
        <v>6319</v>
      </c>
      <c r="K1274" s="4">
        <v>1011</v>
      </c>
      <c r="L1274" s="4">
        <v>883</v>
      </c>
      <c r="M1274" s="4">
        <v>40</v>
      </c>
      <c r="N1274" s="4">
        <v>1058</v>
      </c>
      <c r="O1274" s="5">
        <f t="shared" si="19"/>
        <v>8.3684850943013589E-2</v>
      </c>
      <c r="P1274" s="2" t="s">
        <v>22</v>
      </c>
    </row>
    <row r="1275" spans="1:16" x14ac:dyDescent="0.25">
      <c r="A1275" s="6" t="s">
        <v>2619</v>
      </c>
      <c r="B1275" s="6" t="s">
        <v>2620</v>
      </c>
      <c r="C1275" s="6" t="s">
        <v>43</v>
      </c>
      <c r="D1275" s="7" t="s">
        <v>44</v>
      </c>
      <c r="E1275" s="7" t="s">
        <v>45</v>
      </c>
      <c r="F1275" s="6" t="s">
        <v>70</v>
      </c>
      <c r="G1275" s="8">
        <v>26233</v>
      </c>
      <c r="H1275" s="8">
        <v>4587</v>
      </c>
      <c r="I1275" s="8">
        <v>3893</v>
      </c>
      <c r="J1275" s="8">
        <v>322</v>
      </c>
      <c r="K1275" s="8">
        <v>34</v>
      </c>
      <c r="L1275" s="8">
        <v>6</v>
      </c>
      <c r="M1275" s="8">
        <v>8</v>
      </c>
      <c r="N1275" s="8">
        <v>130</v>
      </c>
      <c r="O1275" s="9">
        <f t="shared" si="19"/>
        <v>9.5042383765733374E-2</v>
      </c>
      <c r="P1275" s="6" t="s">
        <v>22</v>
      </c>
    </row>
    <row r="1276" spans="1:16" x14ac:dyDescent="0.25">
      <c r="A1276" s="2" t="s">
        <v>2621</v>
      </c>
      <c r="B1276" s="2" t="s">
        <v>2622</v>
      </c>
      <c r="C1276" s="2" t="s">
        <v>76</v>
      </c>
      <c r="D1276" s="3" t="s">
        <v>182</v>
      </c>
      <c r="E1276" s="3" t="s">
        <v>34</v>
      </c>
      <c r="F1276" s="2" t="s">
        <v>104</v>
      </c>
      <c r="G1276" s="4">
        <v>31325</v>
      </c>
      <c r="H1276" s="4">
        <v>11647</v>
      </c>
      <c r="I1276" s="4">
        <v>9730</v>
      </c>
      <c r="J1276" s="4">
        <v>914</v>
      </c>
      <c r="K1276" s="4">
        <v>48</v>
      </c>
      <c r="L1276" s="4">
        <v>124</v>
      </c>
      <c r="M1276" s="4">
        <v>169</v>
      </c>
      <c r="N1276" s="4">
        <v>365</v>
      </c>
      <c r="O1276" s="5">
        <f t="shared" si="19"/>
        <v>0.1289825282631038</v>
      </c>
      <c r="P1276" s="2" t="s">
        <v>22</v>
      </c>
    </row>
    <row r="1277" spans="1:16" x14ac:dyDescent="0.25">
      <c r="A1277" s="6" t="s">
        <v>2623</v>
      </c>
      <c r="B1277" s="6" t="s">
        <v>2624</v>
      </c>
      <c r="C1277" s="6" t="s">
        <v>76</v>
      </c>
      <c r="D1277" s="7" t="s">
        <v>189</v>
      </c>
      <c r="E1277" s="7" t="s">
        <v>20</v>
      </c>
      <c r="F1277" s="6" t="s">
        <v>104</v>
      </c>
      <c r="G1277" s="8">
        <v>357807</v>
      </c>
      <c r="H1277" s="8">
        <v>36847</v>
      </c>
      <c r="I1277" s="8">
        <v>30329</v>
      </c>
      <c r="J1277" s="8">
        <v>971</v>
      </c>
      <c r="K1277" s="8">
        <v>160</v>
      </c>
      <c r="L1277" s="8">
        <v>42</v>
      </c>
      <c r="M1277" s="8">
        <v>104</v>
      </c>
      <c r="N1277" s="8">
        <v>200</v>
      </c>
      <c r="O1277" s="9">
        <f t="shared" si="19"/>
        <v>4.2104916086913517E-2</v>
      </c>
      <c r="P1277" s="6" t="s">
        <v>29</v>
      </c>
    </row>
    <row r="1278" spans="1:16" x14ac:dyDescent="0.25">
      <c r="A1278" s="2" t="s">
        <v>2625</v>
      </c>
      <c r="B1278" s="2" t="s">
        <v>2626</v>
      </c>
      <c r="C1278" s="2" t="s">
        <v>32</v>
      </c>
      <c r="D1278" s="3" t="s">
        <v>33</v>
      </c>
      <c r="E1278" s="3" t="s">
        <v>34</v>
      </c>
      <c r="F1278" s="2" t="s">
        <v>128</v>
      </c>
      <c r="G1278" s="4">
        <v>180460</v>
      </c>
      <c r="H1278" s="4">
        <v>83264</v>
      </c>
      <c r="I1278" s="4">
        <v>61841</v>
      </c>
      <c r="J1278" s="4">
        <v>5502</v>
      </c>
      <c r="K1278" s="4">
        <v>341</v>
      </c>
      <c r="L1278" s="4">
        <v>392</v>
      </c>
      <c r="M1278" s="4">
        <v>11</v>
      </c>
      <c r="N1278" s="4">
        <v>821</v>
      </c>
      <c r="O1278" s="5">
        <f t="shared" si="19"/>
        <v>0.10100095405960446</v>
      </c>
      <c r="P1278" s="2" t="s">
        <v>29</v>
      </c>
    </row>
    <row r="1279" spans="1:16" x14ac:dyDescent="0.25">
      <c r="A1279" s="6" t="s">
        <v>2627</v>
      </c>
      <c r="B1279" s="6" t="s">
        <v>2628</v>
      </c>
      <c r="C1279" s="6" t="s">
        <v>32</v>
      </c>
      <c r="D1279" s="7" t="s">
        <v>33</v>
      </c>
      <c r="E1279" s="7" t="s">
        <v>45</v>
      </c>
      <c r="F1279" s="6" t="s">
        <v>35</v>
      </c>
      <c r="G1279" s="8">
        <v>580775</v>
      </c>
      <c r="H1279" s="8">
        <v>197381</v>
      </c>
      <c r="I1279" s="8">
        <v>167103</v>
      </c>
      <c r="J1279" s="8">
        <v>4183</v>
      </c>
      <c r="K1279" s="8">
        <v>627</v>
      </c>
      <c r="L1279" s="8">
        <v>454</v>
      </c>
      <c r="M1279" s="8">
        <v>22</v>
      </c>
      <c r="N1279" s="8">
        <v>1379</v>
      </c>
      <c r="O1279" s="9">
        <f t="shared" si="19"/>
        <v>3.1633184323441234E-2</v>
      </c>
      <c r="P1279" s="6" t="s">
        <v>29</v>
      </c>
    </row>
    <row r="1280" spans="1:16" x14ac:dyDescent="0.25">
      <c r="A1280" s="2" t="s">
        <v>2629</v>
      </c>
      <c r="B1280" s="2" t="s">
        <v>2630</v>
      </c>
      <c r="C1280" s="2" t="s">
        <v>18</v>
      </c>
      <c r="D1280" s="3" t="s">
        <v>19</v>
      </c>
      <c r="E1280" s="3" t="s">
        <v>34</v>
      </c>
      <c r="F1280" s="2" t="s">
        <v>58</v>
      </c>
      <c r="G1280" s="4">
        <v>60086</v>
      </c>
      <c r="H1280" s="4">
        <v>33532</v>
      </c>
      <c r="I1280" s="4">
        <v>29547</v>
      </c>
      <c r="J1280" s="4">
        <v>1452</v>
      </c>
      <c r="K1280" s="4">
        <v>44</v>
      </c>
      <c r="L1280" s="4">
        <v>204</v>
      </c>
      <c r="M1280" s="4">
        <v>135</v>
      </c>
      <c r="N1280" s="4">
        <v>533</v>
      </c>
      <c r="O1280" s="5">
        <f t="shared" si="19"/>
        <v>6.2104443767556777E-2</v>
      </c>
      <c r="P1280" s="2" t="s">
        <v>66</v>
      </c>
    </row>
    <row r="1281" spans="1:16" x14ac:dyDescent="0.25">
      <c r="A1281" s="6" t="s">
        <v>2631</v>
      </c>
      <c r="B1281" s="6" t="s">
        <v>2632</v>
      </c>
      <c r="C1281" s="6" t="s">
        <v>18</v>
      </c>
      <c r="D1281" s="7" t="s">
        <v>19</v>
      </c>
      <c r="E1281" s="7" t="s">
        <v>50</v>
      </c>
      <c r="F1281" s="6" t="s">
        <v>21</v>
      </c>
      <c r="G1281" s="8">
        <v>739456</v>
      </c>
      <c r="H1281" s="8">
        <v>106576</v>
      </c>
      <c r="I1281" s="8">
        <v>94901</v>
      </c>
      <c r="J1281" s="8">
        <v>5826</v>
      </c>
      <c r="K1281" s="8">
        <v>426</v>
      </c>
      <c r="L1281" s="8">
        <v>764</v>
      </c>
      <c r="M1281" s="8">
        <v>877</v>
      </c>
      <c r="N1281" s="8">
        <v>1237</v>
      </c>
      <c r="O1281" s="9">
        <f t="shared" si="19"/>
        <v>8.3170883341587551E-2</v>
      </c>
      <c r="P1281" s="6" t="s">
        <v>22</v>
      </c>
    </row>
    <row r="1282" spans="1:16" x14ac:dyDescent="0.25">
      <c r="A1282" s="2" t="s">
        <v>2633</v>
      </c>
      <c r="B1282" s="2" t="s">
        <v>2634</v>
      </c>
      <c r="C1282" s="2" t="s">
        <v>76</v>
      </c>
      <c r="D1282" s="3" t="s">
        <v>77</v>
      </c>
      <c r="E1282" s="3" t="s">
        <v>50</v>
      </c>
      <c r="F1282" s="2" t="s">
        <v>155</v>
      </c>
      <c r="G1282" s="4">
        <v>51626</v>
      </c>
      <c r="H1282" s="4">
        <v>14968</v>
      </c>
      <c r="I1282" s="4">
        <v>11719</v>
      </c>
      <c r="J1282" s="4">
        <v>945</v>
      </c>
      <c r="K1282" s="4">
        <v>136</v>
      </c>
      <c r="L1282" s="4">
        <v>106</v>
      </c>
      <c r="M1282" s="4">
        <v>234</v>
      </c>
      <c r="N1282" s="4">
        <v>388</v>
      </c>
      <c r="O1282" s="5">
        <f t="shared" ref="O1282:O1345" si="20">IF(I1282&gt;0, (J1282+K1282+L1282+M1282)/I1282, 0)</f>
        <v>0.1212560798702961</v>
      </c>
      <c r="P1282" s="2" t="s">
        <v>22</v>
      </c>
    </row>
    <row r="1283" spans="1:16" x14ac:dyDescent="0.25">
      <c r="A1283" s="6" t="s">
        <v>2635</v>
      </c>
      <c r="B1283" s="6" t="s">
        <v>2636</v>
      </c>
      <c r="C1283" s="6" t="s">
        <v>43</v>
      </c>
      <c r="D1283" s="7" t="s">
        <v>110</v>
      </c>
      <c r="E1283" s="7" t="s">
        <v>20</v>
      </c>
      <c r="F1283" s="6" t="s">
        <v>46</v>
      </c>
      <c r="G1283" s="8">
        <v>579165</v>
      </c>
      <c r="H1283" s="8">
        <v>47369</v>
      </c>
      <c r="I1283" s="8">
        <v>41705</v>
      </c>
      <c r="J1283" s="8">
        <v>3449</v>
      </c>
      <c r="K1283" s="8">
        <v>246</v>
      </c>
      <c r="L1283" s="8">
        <v>292</v>
      </c>
      <c r="M1283" s="8">
        <v>16</v>
      </c>
      <c r="N1283" s="8">
        <v>1329</v>
      </c>
      <c r="O1283" s="9">
        <f t="shared" si="20"/>
        <v>9.5983695000599445E-2</v>
      </c>
      <c r="P1283" s="6" t="s">
        <v>22</v>
      </c>
    </row>
    <row r="1284" spans="1:16" x14ac:dyDescent="0.25">
      <c r="A1284" s="2" t="s">
        <v>2637</v>
      </c>
      <c r="B1284" s="2" t="s">
        <v>2638</v>
      </c>
      <c r="C1284" s="2" t="s">
        <v>76</v>
      </c>
      <c r="D1284" s="3" t="s">
        <v>103</v>
      </c>
      <c r="E1284" s="3" t="s">
        <v>39</v>
      </c>
      <c r="F1284" s="2" t="s">
        <v>155</v>
      </c>
      <c r="G1284" s="4">
        <v>581114</v>
      </c>
      <c r="H1284" s="4">
        <v>293080</v>
      </c>
      <c r="I1284" s="4">
        <v>213977</v>
      </c>
      <c r="J1284" s="4">
        <v>19409</v>
      </c>
      <c r="K1284" s="4">
        <v>3219</v>
      </c>
      <c r="L1284" s="4">
        <v>2678</v>
      </c>
      <c r="M1284" s="4">
        <v>2249</v>
      </c>
      <c r="N1284" s="4">
        <v>2331</v>
      </c>
      <c r="O1284" s="5">
        <f t="shared" si="20"/>
        <v>0.12877552260289657</v>
      </c>
      <c r="P1284" s="2" t="s">
        <v>22</v>
      </c>
    </row>
    <row r="1285" spans="1:16" x14ac:dyDescent="0.25">
      <c r="A1285" s="6" t="s">
        <v>2639</v>
      </c>
      <c r="B1285" s="6" t="s">
        <v>2640</v>
      </c>
      <c r="C1285" s="6" t="s">
        <v>76</v>
      </c>
      <c r="D1285" s="7" t="s">
        <v>103</v>
      </c>
      <c r="E1285" s="7" t="s">
        <v>50</v>
      </c>
      <c r="F1285" s="6" t="s">
        <v>78</v>
      </c>
      <c r="G1285" s="8">
        <v>164782</v>
      </c>
      <c r="H1285" s="8">
        <v>101368</v>
      </c>
      <c r="I1285" s="8">
        <v>87960</v>
      </c>
      <c r="J1285" s="8">
        <v>6966</v>
      </c>
      <c r="K1285" s="8">
        <v>691</v>
      </c>
      <c r="L1285" s="8">
        <v>344</v>
      </c>
      <c r="M1285" s="8">
        <v>882</v>
      </c>
      <c r="N1285" s="8">
        <v>973</v>
      </c>
      <c r="O1285" s="9">
        <f t="shared" si="20"/>
        <v>0.10098908594815825</v>
      </c>
      <c r="P1285" s="6" t="s">
        <v>29</v>
      </c>
    </row>
    <row r="1286" spans="1:16" x14ac:dyDescent="0.25">
      <c r="A1286" s="2" t="s">
        <v>2641</v>
      </c>
      <c r="B1286" s="2" t="s">
        <v>2642</v>
      </c>
      <c r="C1286" s="2" t="s">
        <v>18</v>
      </c>
      <c r="D1286" s="3" t="s">
        <v>57</v>
      </c>
      <c r="E1286" s="3" t="s">
        <v>39</v>
      </c>
      <c r="F1286" s="2" t="s">
        <v>58</v>
      </c>
      <c r="G1286" s="4">
        <v>150712</v>
      </c>
      <c r="H1286" s="4">
        <v>269919</v>
      </c>
      <c r="I1286" s="4">
        <v>190565</v>
      </c>
      <c r="J1286" s="4">
        <v>8695</v>
      </c>
      <c r="K1286" s="4">
        <v>1339</v>
      </c>
      <c r="L1286" s="4">
        <v>698</v>
      </c>
      <c r="M1286" s="4">
        <v>1063</v>
      </c>
      <c r="N1286" s="4">
        <v>7872</v>
      </c>
      <c r="O1286" s="5">
        <f t="shared" si="20"/>
        <v>6.1894891506834936E-2</v>
      </c>
      <c r="P1286" s="2" t="s">
        <v>29</v>
      </c>
    </row>
    <row r="1287" spans="1:16" x14ac:dyDescent="0.25">
      <c r="A1287" s="6" t="s">
        <v>2643</v>
      </c>
      <c r="B1287" s="6" t="s">
        <v>2644</v>
      </c>
      <c r="C1287" s="6" t="s">
        <v>25</v>
      </c>
      <c r="D1287" s="7" t="s">
        <v>26</v>
      </c>
      <c r="E1287" s="7" t="s">
        <v>45</v>
      </c>
      <c r="F1287" s="6" t="s">
        <v>54</v>
      </c>
      <c r="G1287" s="8">
        <v>229530</v>
      </c>
      <c r="H1287" s="8">
        <v>59973</v>
      </c>
      <c r="I1287" s="8">
        <v>48974</v>
      </c>
      <c r="J1287" s="8">
        <v>3992</v>
      </c>
      <c r="K1287" s="8">
        <v>651</v>
      </c>
      <c r="L1287" s="8">
        <v>233</v>
      </c>
      <c r="M1287" s="8">
        <v>257</v>
      </c>
      <c r="N1287" s="8">
        <v>842</v>
      </c>
      <c r="O1287" s="9">
        <f t="shared" si="20"/>
        <v>0.10481071589006412</v>
      </c>
      <c r="P1287" s="6" t="s">
        <v>29</v>
      </c>
    </row>
    <row r="1288" spans="1:16" x14ac:dyDescent="0.25">
      <c r="A1288" s="2" t="s">
        <v>2645</v>
      </c>
      <c r="B1288" s="2" t="s">
        <v>2646</v>
      </c>
      <c r="C1288" s="2" t="s">
        <v>32</v>
      </c>
      <c r="D1288" s="3" t="s">
        <v>175</v>
      </c>
      <c r="E1288" s="3" t="s">
        <v>20</v>
      </c>
      <c r="F1288" s="2" t="s">
        <v>51</v>
      </c>
      <c r="G1288" s="4">
        <v>350974</v>
      </c>
      <c r="H1288" s="4">
        <v>178467</v>
      </c>
      <c r="I1288" s="4">
        <v>145660</v>
      </c>
      <c r="J1288" s="4">
        <v>14076</v>
      </c>
      <c r="K1288" s="4">
        <v>2308</v>
      </c>
      <c r="L1288" s="4">
        <v>621</v>
      </c>
      <c r="M1288" s="4">
        <v>33</v>
      </c>
      <c r="N1288" s="4">
        <v>5357</v>
      </c>
      <c r="O1288" s="5">
        <f t="shared" si="20"/>
        <v>0.11697102842235342</v>
      </c>
      <c r="P1288" s="2" t="s">
        <v>66</v>
      </c>
    </row>
    <row r="1289" spans="1:16" x14ac:dyDescent="0.25">
      <c r="A1289" s="6" t="s">
        <v>2647</v>
      </c>
      <c r="B1289" s="6" t="s">
        <v>2648</v>
      </c>
      <c r="C1289" s="6" t="s">
        <v>25</v>
      </c>
      <c r="D1289" s="7" t="s">
        <v>145</v>
      </c>
      <c r="E1289" s="7" t="s">
        <v>39</v>
      </c>
      <c r="F1289" s="6" t="s">
        <v>65</v>
      </c>
      <c r="G1289" s="8">
        <v>718879</v>
      </c>
      <c r="H1289" s="8">
        <v>253472</v>
      </c>
      <c r="I1289" s="8">
        <v>225368</v>
      </c>
      <c r="J1289" s="8">
        <v>15812</v>
      </c>
      <c r="K1289" s="8">
        <v>2711</v>
      </c>
      <c r="L1289" s="8">
        <v>744</v>
      </c>
      <c r="M1289" s="8">
        <v>2525</v>
      </c>
      <c r="N1289" s="8">
        <v>8269</v>
      </c>
      <c r="O1289" s="9">
        <f t="shared" si="20"/>
        <v>9.6695182989599227E-2</v>
      </c>
      <c r="P1289" s="6" t="s">
        <v>22</v>
      </c>
    </row>
    <row r="1290" spans="1:16" x14ac:dyDescent="0.25">
      <c r="A1290" s="2" t="s">
        <v>2649</v>
      </c>
      <c r="B1290" s="2" t="s">
        <v>2650</v>
      </c>
      <c r="C1290" s="2" t="s">
        <v>25</v>
      </c>
      <c r="D1290" s="3" t="s">
        <v>64</v>
      </c>
      <c r="E1290" s="3" t="s">
        <v>27</v>
      </c>
      <c r="F1290" s="2" t="s">
        <v>65</v>
      </c>
      <c r="G1290" s="4">
        <v>759609</v>
      </c>
      <c r="H1290" s="4">
        <v>266512</v>
      </c>
      <c r="I1290" s="4">
        <v>210388</v>
      </c>
      <c r="J1290" s="4">
        <v>16073</v>
      </c>
      <c r="K1290" s="4">
        <v>555</v>
      </c>
      <c r="L1290" s="4">
        <v>871</v>
      </c>
      <c r="M1290" s="4">
        <v>3756</v>
      </c>
      <c r="N1290" s="4">
        <v>5516</v>
      </c>
      <c r="O1290" s="5">
        <f t="shared" si="20"/>
        <v>0.10102762514972337</v>
      </c>
      <c r="P1290" s="2" t="s">
        <v>22</v>
      </c>
    </row>
    <row r="1291" spans="1:16" x14ac:dyDescent="0.25">
      <c r="A1291" s="6" t="s">
        <v>2651</v>
      </c>
      <c r="B1291" s="6" t="s">
        <v>2652</v>
      </c>
      <c r="C1291" s="6" t="s">
        <v>18</v>
      </c>
      <c r="D1291" s="7" t="s">
        <v>231</v>
      </c>
      <c r="E1291" s="7" t="s">
        <v>20</v>
      </c>
      <c r="F1291" s="6" t="s">
        <v>58</v>
      </c>
      <c r="G1291" s="8">
        <v>8819</v>
      </c>
      <c r="H1291" s="8">
        <v>833</v>
      </c>
      <c r="I1291" s="8">
        <v>756</v>
      </c>
      <c r="J1291" s="8">
        <v>46</v>
      </c>
      <c r="K1291" s="8">
        <v>2</v>
      </c>
      <c r="L1291" s="8">
        <v>2</v>
      </c>
      <c r="M1291" s="8">
        <v>6</v>
      </c>
      <c r="N1291" s="8">
        <v>6</v>
      </c>
      <c r="O1291" s="9">
        <f t="shared" si="20"/>
        <v>7.407407407407407E-2</v>
      </c>
      <c r="P1291" s="6" t="s">
        <v>66</v>
      </c>
    </row>
    <row r="1292" spans="1:16" x14ac:dyDescent="0.25">
      <c r="A1292" s="2" t="s">
        <v>2653</v>
      </c>
      <c r="B1292" s="2" t="s">
        <v>2654</v>
      </c>
      <c r="C1292" s="2" t="s">
        <v>76</v>
      </c>
      <c r="D1292" s="3" t="s">
        <v>103</v>
      </c>
      <c r="E1292" s="3" t="s">
        <v>20</v>
      </c>
      <c r="F1292" s="2" t="s">
        <v>78</v>
      </c>
      <c r="G1292" s="4">
        <v>433982</v>
      </c>
      <c r="H1292" s="4">
        <v>216967</v>
      </c>
      <c r="I1292" s="4">
        <v>180295</v>
      </c>
      <c r="J1292" s="4">
        <v>10371</v>
      </c>
      <c r="K1292" s="4">
        <v>1416</v>
      </c>
      <c r="L1292" s="4">
        <v>671</v>
      </c>
      <c r="M1292" s="4">
        <v>847</v>
      </c>
      <c r="N1292" s="4">
        <v>6620</v>
      </c>
      <c r="O1292" s="5">
        <f t="shared" si="20"/>
        <v>7.3795723675088049E-2</v>
      </c>
      <c r="P1292" s="2" t="s">
        <v>22</v>
      </c>
    </row>
    <row r="1293" spans="1:16" x14ac:dyDescent="0.25">
      <c r="A1293" s="6" t="s">
        <v>2655</v>
      </c>
      <c r="B1293" s="6" t="s">
        <v>2656</v>
      </c>
      <c r="C1293" s="6" t="s">
        <v>43</v>
      </c>
      <c r="D1293" s="7" t="s">
        <v>110</v>
      </c>
      <c r="E1293" s="7" t="s">
        <v>20</v>
      </c>
      <c r="F1293" s="6" t="s">
        <v>70</v>
      </c>
      <c r="G1293" s="8">
        <v>502520</v>
      </c>
      <c r="H1293" s="8">
        <v>155475</v>
      </c>
      <c r="I1293" s="8">
        <v>124410</v>
      </c>
      <c r="J1293" s="8">
        <v>5033</v>
      </c>
      <c r="K1293" s="8">
        <v>196</v>
      </c>
      <c r="L1293" s="8">
        <v>215</v>
      </c>
      <c r="M1293" s="8">
        <v>41</v>
      </c>
      <c r="N1293" s="8">
        <v>1464</v>
      </c>
      <c r="O1293" s="9">
        <f t="shared" si="20"/>
        <v>4.4088095812233746E-2</v>
      </c>
      <c r="P1293" s="6" t="s">
        <v>22</v>
      </c>
    </row>
    <row r="1294" spans="1:16" x14ac:dyDescent="0.25">
      <c r="A1294" s="2" t="s">
        <v>2657</v>
      </c>
      <c r="B1294" s="2" t="s">
        <v>2658</v>
      </c>
      <c r="C1294" s="2" t="s">
        <v>18</v>
      </c>
      <c r="D1294" s="3" t="s">
        <v>57</v>
      </c>
      <c r="E1294" s="3" t="s">
        <v>39</v>
      </c>
      <c r="F1294" s="2" t="s">
        <v>73</v>
      </c>
      <c r="G1294" s="4">
        <v>129054</v>
      </c>
      <c r="H1294" s="4">
        <v>18166</v>
      </c>
      <c r="I1294" s="4">
        <v>12944</v>
      </c>
      <c r="J1294" s="4">
        <v>684</v>
      </c>
      <c r="K1294" s="4">
        <v>83</v>
      </c>
      <c r="L1294" s="4">
        <v>61</v>
      </c>
      <c r="M1294" s="4">
        <v>49</v>
      </c>
      <c r="N1294" s="4">
        <v>236</v>
      </c>
      <c r="O1294" s="5">
        <f t="shared" si="20"/>
        <v>6.775339925834363E-2</v>
      </c>
      <c r="P1294" s="2" t="s">
        <v>22</v>
      </c>
    </row>
    <row r="1295" spans="1:16" x14ac:dyDescent="0.25">
      <c r="A1295" s="6" t="s">
        <v>2659</v>
      </c>
      <c r="B1295" s="6" t="s">
        <v>2660</v>
      </c>
      <c r="C1295" s="6" t="s">
        <v>18</v>
      </c>
      <c r="D1295" s="7" t="s">
        <v>19</v>
      </c>
      <c r="E1295" s="7" t="s">
        <v>34</v>
      </c>
      <c r="F1295" s="6" t="s">
        <v>58</v>
      </c>
      <c r="G1295" s="8">
        <v>609190</v>
      </c>
      <c r="H1295" s="8">
        <v>2516145</v>
      </c>
      <c r="I1295" s="8">
        <v>1860482</v>
      </c>
      <c r="J1295" s="8">
        <v>54789</v>
      </c>
      <c r="K1295" s="8">
        <v>3124</v>
      </c>
      <c r="L1295" s="8">
        <v>4038</v>
      </c>
      <c r="M1295" s="8">
        <v>13270</v>
      </c>
      <c r="N1295" s="8">
        <v>55504</v>
      </c>
      <c r="O1295" s="9">
        <f t="shared" si="20"/>
        <v>4.0430920589395652E-2</v>
      </c>
      <c r="P1295" s="6" t="s">
        <v>22</v>
      </c>
    </row>
    <row r="1296" spans="1:16" x14ac:dyDescent="0.25">
      <c r="A1296" s="2" t="s">
        <v>2661</v>
      </c>
      <c r="B1296" s="2" t="s">
        <v>2662</v>
      </c>
      <c r="C1296" s="2" t="s">
        <v>32</v>
      </c>
      <c r="D1296" s="3" t="s">
        <v>38</v>
      </c>
      <c r="E1296" s="3" t="s">
        <v>39</v>
      </c>
      <c r="F1296" s="2" t="s">
        <v>128</v>
      </c>
      <c r="G1296" s="4">
        <v>65991</v>
      </c>
      <c r="H1296" s="4">
        <v>6229</v>
      </c>
      <c r="I1296" s="4">
        <v>4977</v>
      </c>
      <c r="J1296" s="4">
        <v>454</v>
      </c>
      <c r="K1296" s="4">
        <v>65</v>
      </c>
      <c r="L1296" s="4">
        <v>63</v>
      </c>
      <c r="M1296" s="4">
        <v>5</v>
      </c>
      <c r="N1296" s="4">
        <v>105</v>
      </c>
      <c r="O1296" s="5">
        <f t="shared" si="20"/>
        <v>0.11794253566405465</v>
      </c>
      <c r="P1296" s="2" t="s">
        <v>22</v>
      </c>
    </row>
    <row r="1297" spans="1:16" x14ac:dyDescent="0.25">
      <c r="A1297" s="6" t="s">
        <v>2663</v>
      </c>
      <c r="B1297" s="6" t="s">
        <v>2664</v>
      </c>
      <c r="C1297" s="6" t="s">
        <v>76</v>
      </c>
      <c r="D1297" s="7" t="s">
        <v>77</v>
      </c>
      <c r="E1297" s="7" t="s">
        <v>50</v>
      </c>
      <c r="F1297" s="6" t="s">
        <v>155</v>
      </c>
      <c r="G1297" s="8">
        <v>221315</v>
      </c>
      <c r="H1297" s="8">
        <v>123056</v>
      </c>
      <c r="I1297" s="8">
        <v>93010</v>
      </c>
      <c r="J1297" s="8">
        <v>4525</v>
      </c>
      <c r="K1297" s="8">
        <v>527</v>
      </c>
      <c r="L1297" s="8">
        <v>592</v>
      </c>
      <c r="M1297" s="8">
        <v>1007</v>
      </c>
      <c r="N1297" s="8">
        <v>2241</v>
      </c>
      <c r="O1297" s="9">
        <f t="shared" si="20"/>
        <v>7.1508439952693265E-2</v>
      </c>
      <c r="P1297" s="6" t="s">
        <v>22</v>
      </c>
    </row>
    <row r="1298" spans="1:16" x14ac:dyDescent="0.25">
      <c r="A1298" s="2" t="s">
        <v>2665</v>
      </c>
      <c r="B1298" s="2" t="s">
        <v>2666</v>
      </c>
      <c r="C1298" s="2" t="s">
        <v>43</v>
      </c>
      <c r="D1298" s="3" t="s">
        <v>81</v>
      </c>
      <c r="E1298" s="3" t="s">
        <v>27</v>
      </c>
      <c r="F1298" s="2" t="s">
        <v>70</v>
      </c>
      <c r="G1298" s="4">
        <v>592661</v>
      </c>
      <c r="H1298" s="4">
        <v>1949643</v>
      </c>
      <c r="I1298" s="4">
        <v>1476316</v>
      </c>
      <c r="J1298" s="4">
        <v>57273</v>
      </c>
      <c r="K1298" s="4">
        <v>4723</v>
      </c>
      <c r="L1298" s="4">
        <v>6569</v>
      </c>
      <c r="M1298" s="4">
        <v>35</v>
      </c>
      <c r="N1298" s="4">
        <v>28760</v>
      </c>
      <c r="O1298" s="5">
        <f t="shared" si="20"/>
        <v>4.6467016546593007E-2</v>
      </c>
      <c r="P1298" s="2" t="s">
        <v>29</v>
      </c>
    </row>
    <row r="1299" spans="1:16" x14ac:dyDescent="0.25">
      <c r="A1299" s="6" t="s">
        <v>2667</v>
      </c>
      <c r="B1299" s="6" t="s">
        <v>2668</v>
      </c>
      <c r="C1299" s="6" t="s">
        <v>25</v>
      </c>
      <c r="D1299" s="7" t="s">
        <v>26</v>
      </c>
      <c r="E1299" s="7" t="s">
        <v>45</v>
      </c>
      <c r="F1299" s="6" t="s">
        <v>146</v>
      </c>
      <c r="G1299" s="8">
        <v>797436</v>
      </c>
      <c r="H1299" s="8">
        <v>309663</v>
      </c>
      <c r="I1299" s="8">
        <v>227668</v>
      </c>
      <c r="J1299" s="8">
        <v>16831</v>
      </c>
      <c r="K1299" s="8">
        <v>2580</v>
      </c>
      <c r="L1299" s="8">
        <v>822</v>
      </c>
      <c r="M1299" s="8">
        <v>3037</v>
      </c>
      <c r="N1299" s="8">
        <v>4321</v>
      </c>
      <c r="O1299" s="9">
        <f t="shared" si="20"/>
        <v>0.10221023595762251</v>
      </c>
      <c r="P1299" s="6" t="s">
        <v>29</v>
      </c>
    </row>
    <row r="1300" spans="1:16" x14ac:dyDescent="0.25">
      <c r="A1300" s="2" t="s">
        <v>2669</v>
      </c>
      <c r="B1300" s="2" t="s">
        <v>2670</v>
      </c>
      <c r="C1300" s="2" t="s">
        <v>32</v>
      </c>
      <c r="D1300" s="3" t="s">
        <v>121</v>
      </c>
      <c r="E1300" s="3" t="s">
        <v>39</v>
      </c>
      <c r="F1300" s="2" t="s">
        <v>35</v>
      </c>
      <c r="G1300" s="4">
        <v>679756</v>
      </c>
      <c r="H1300" s="4">
        <v>120886</v>
      </c>
      <c r="I1300" s="4">
        <v>99326</v>
      </c>
      <c r="J1300" s="4">
        <v>4620</v>
      </c>
      <c r="K1300" s="4">
        <v>815</v>
      </c>
      <c r="L1300" s="4">
        <v>445</v>
      </c>
      <c r="M1300" s="4">
        <v>16</v>
      </c>
      <c r="N1300" s="4">
        <v>2865</v>
      </c>
      <c r="O1300" s="5">
        <f t="shared" si="20"/>
        <v>5.9360086986287579E-2</v>
      </c>
      <c r="P1300" s="2" t="s">
        <v>29</v>
      </c>
    </row>
    <row r="1301" spans="1:16" x14ac:dyDescent="0.25">
      <c r="A1301" s="6" t="s">
        <v>2671</v>
      </c>
      <c r="B1301" s="6" t="s">
        <v>2672</v>
      </c>
      <c r="C1301" s="6" t="s">
        <v>76</v>
      </c>
      <c r="D1301" s="7" t="s">
        <v>189</v>
      </c>
      <c r="E1301" s="7" t="s">
        <v>27</v>
      </c>
      <c r="F1301" s="6" t="s">
        <v>104</v>
      </c>
      <c r="G1301" s="8">
        <v>318491</v>
      </c>
      <c r="H1301" s="8">
        <v>101489</v>
      </c>
      <c r="I1301" s="8">
        <v>93229</v>
      </c>
      <c r="J1301" s="8">
        <v>6618</v>
      </c>
      <c r="K1301" s="8">
        <v>1038</v>
      </c>
      <c r="L1301" s="8">
        <v>151</v>
      </c>
      <c r="M1301" s="8">
        <v>389</v>
      </c>
      <c r="N1301" s="8">
        <v>538</v>
      </c>
      <c r="O1301" s="9">
        <f t="shared" si="20"/>
        <v>8.7912559396754228E-2</v>
      </c>
      <c r="P1301" s="6" t="s">
        <v>29</v>
      </c>
    </row>
    <row r="1302" spans="1:16" x14ac:dyDescent="0.25">
      <c r="A1302" s="2" t="s">
        <v>2673</v>
      </c>
      <c r="B1302" s="2" t="s">
        <v>2674</v>
      </c>
      <c r="C1302" s="2" t="s">
        <v>25</v>
      </c>
      <c r="D1302" s="3" t="s">
        <v>61</v>
      </c>
      <c r="E1302" s="3" t="s">
        <v>34</v>
      </c>
      <c r="F1302" s="2" t="s">
        <v>146</v>
      </c>
      <c r="G1302" s="4">
        <v>197714</v>
      </c>
      <c r="H1302" s="4">
        <v>117708</v>
      </c>
      <c r="I1302" s="4">
        <v>103766</v>
      </c>
      <c r="J1302" s="4">
        <v>4467</v>
      </c>
      <c r="K1302" s="4">
        <v>679</v>
      </c>
      <c r="L1302" s="4">
        <v>449</v>
      </c>
      <c r="M1302" s="4">
        <v>473</v>
      </c>
      <c r="N1302" s="4">
        <v>2503</v>
      </c>
      <c r="O1302" s="5">
        <f t="shared" si="20"/>
        <v>5.847772873580942E-2</v>
      </c>
      <c r="P1302" s="2" t="s">
        <v>66</v>
      </c>
    </row>
    <row r="1303" spans="1:16" x14ac:dyDescent="0.25">
      <c r="A1303" s="6" t="s">
        <v>2675</v>
      </c>
      <c r="B1303" s="6" t="s">
        <v>2676</v>
      </c>
      <c r="C1303" s="6" t="s">
        <v>25</v>
      </c>
      <c r="D1303" s="7" t="s">
        <v>244</v>
      </c>
      <c r="E1303" s="7" t="s">
        <v>20</v>
      </c>
      <c r="F1303" s="6" t="s">
        <v>146</v>
      </c>
      <c r="G1303" s="8">
        <v>218810</v>
      </c>
      <c r="H1303" s="8">
        <v>136913</v>
      </c>
      <c r="I1303" s="8">
        <v>106607</v>
      </c>
      <c r="J1303" s="8">
        <v>3072</v>
      </c>
      <c r="K1303" s="8">
        <v>465</v>
      </c>
      <c r="L1303" s="8">
        <v>423</v>
      </c>
      <c r="M1303" s="8">
        <v>648</v>
      </c>
      <c r="N1303" s="8">
        <v>2097</v>
      </c>
      <c r="O1303" s="9">
        <f t="shared" si="20"/>
        <v>4.3224178524862343E-2</v>
      </c>
      <c r="P1303" s="6" t="s">
        <v>66</v>
      </c>
    </row>
    <row r="1304" spans="1:16" x14ac:dyDescent="0.25">
      <c r="A1304" s="2" t="s">
        <v>2677</v>
      </c>
      <c r="B1304" s="2" t="s">
        <v>2678</v>
      </c>
      <c r="C1304" s="2" t="s">
        <v>25</v>
      </c>
      <c r="D1304" s="3" t="s">
        <v>244</v>
      </c>
      <c r="E1304" s="3" t="s">
        <v>50</v>
      </c>
      <c r="F1304" s="2" t="s">
        <v>28</v>
      </c>
      <c r="G1304" s="4">
        <v>837391</v>
      </c>
      <c r="H1304" s="4">
        <v>495361</v>
      </c>
      <c r="I1304" s="4">
        <v>439964</v>
      </c>
      <c r="J1304" s="4">
        <v>27172</v>
      </c>
      <c r="K1304" s="4">
        <v>4129</v>
      </c>
      <c r="L1304" s="4">
        <v>3399</v>
      </c>
      <c r="M1304" s="4">
        <v>2906</v>
      </c>
      <c r="N1304" s="4">
        <v>14118</v>
      </c>
      <c r="O1304" s="5">
        <f t="shared" si="20"/>
        <v>8.5475175241610676E-2</v>
      </c>
      <c r="P1304" s="2" t="s">
        <v>29</v>
      </c>
    </row>
    <row r="1305" spans="1:16" x14ac:dyDescent="0.25">
      <c r="A1305" s="6" t="s">
        <v>2679</v>
      </c>
      <c r="B1305" s="6" t="s">
        <v>2680</v>
      </c>
      <c r="C1305" s="6" t="s">
        <v>25</v>
      </c>
      <c r="D1305" s="7" t="s">
        <v>244</v>
      </c>
      <c r="E1305" s="7" t="s">
        <v>20</v>
      </c>
      <c r="F1305" s="6" t="s">
        <v>65</v>
      </c>
      <c r="G1305" s="8">
        <v>173639</v>
      </c>
      <c r="H1305" s="8">
        <v>26981</v>
      </c>
      <c r="I1305" s="8">
        <v>22076</v>
      </c>
      <c r="J1305" s="8">
        <v>1101</v>
      </c>
      <c r="K1305" s="8">
        <v>156</v>
      </c>
      <c r="L1305" s="8">
        <v>99</v>
      </c>
      <c r="M1305" s="8">
        <v>197</v>
      </c>
      <c r="N1305" s="8">
        <v>234</v>
      </c>
      <c r="O1305" s="9">
        <f t="shared" si="20"/>
        <v>7.0347889110346076E-2</v>
      </c>
      <c r="P1305" s="6" t="s">
        <v>29</v>
      </c>
    </row>
    <row r="1306" spans="1:16" x14ac:dyDescent="0.25">
      <c r="A1306" s="2" t="s">
        <v>2681</v>
      </c>
      <c r="B1306" s="2" t="s">
        <v>2682</v>
      </c>
      <c r="C1306" s="2" t="s">
        <v>76</v>
      </c>
      <c r="D1306" s="3" t="s">
        <v>86</v>
      </c>
      <c r="E1306" s="3" t="s">
        <v>27</v>
      </c>
      <c r="F1306" s="2" t="s">
        <v>87</v>
      </c>
      <c r="G1306" s="4">
        <v>468414</v>
      </c>
      <c r="H1306" s="4">
        <v>238082</v>
      </c>
      <c r="I1306" s="4">
        <v>183054</v>
      </c>
      <c r="J1306" s="4">
        <v>17254</v>
      </c>
      <c r="K1306" s="4">
        <v>2073</v>
      </c>
      <c r="L1306" s="4">
        <v>645</v>
      </c>
      <c r="M1306" s="4">
        <v>1057</v>
      </c>
      <c r="N1306" s="4">
        <v>2209</v>
      </c>
      <c r="O1306" s="5">
        <f t="shared" si="20"/>
        <v>0.1148786696821703</v>
      </c>
      <c r="P1306" s="2" t="s">
        <v>66</v>
      </c>
    </row>
    <row r="1307" spans="1:16" x14ac:dyDescent="0.25">
      <c r="A1307" s="6" t="s">
        <v>2683</v>
      </c>
      <c r="B1307" s="6" t="s">
        <v>2684</v>
      </c>
      <c r="C1307" s="6" t="s">
        <v>32</v>
      </c>
      <c r="D1307" s="7" t="s">
        <v>38</v>
      </c>
      <c r="E1307" s="7" t="s">
        <v>27</v>
      </c>
      <c r="F1307" s="6" t="s">
        <v>40</v>
      </c>
      <c r="G1307" s="8">
        <v>293852</v>
      </c>
      <c r="H1307" s="8">
        <v>175328</v>
      </c>
      <c r="I1307" s="8">
        <v>129759</v>
      </c>
      <c r="J1307" s="8">
        <v>11657</v>
      </c>
      <c r="K1307" s="8">
        <v>818</v>
      </c>
      <c r="L1307" s="8">
        <v>373</v>
      </c>
      <c r="M1307" s="8">
        <v>13</v>
      </c>
      <c r="N1307" s="8">
        <v>5619</v>
      </c>
      <c r="O1307" s="9">
        <f t="shared" si="20"/>
        <v>9.911451228816498E-2</v>
      </c>
      <c r="P1307" s="6" t="s">
        <v>22</v>
      </c>
    </row>
    <row r="1308" spans="1:16" x14ac:dyDescent="0.25">
      <c r="A1308" s="2" t="s">
        <v>2685</v>
      </c>
      <c r="B1308" s="2" t="s">
        <v>2686</v>
      </c>
      <c r="C1308" s="2" t="s">
        <v>25</v>
      </c>
      <c r="D1308" s="3" t="s">
        <v>26</v>
      </c>
      <c r="E1308" s="3" t="s">
        <v>39</v>
      </c>
      <c r="F1308" s="2" t="s">
        <v>54</v>
      </c>
      <c r="G1308" s="4">
        <v>739639</v>
      </c>
      <c r="H1308" s="4">
        <v>262218</v>
      </c>
      <c r="I1308" s="4">
        <v>225234</v>
      </c>
      <c r="J1308" s="4">
        <v>7259</v>
      </c>
      <c r="K1308" s="4">
        <v>678</v>
      </c>
      <c r="L1308" s="4">
        <v>1042</v>
      </c>
      <c r="M1308" s="4">
        <v>1050</v>
      </c>
      <c r="N1308" s="4">
        <v>2500</v>
      </c>
      <c r="O1308" s="5">
        <f t="shared" si="20"/>
        <v>4.4527025227097151E-2</v>
      </c>
      <c r="P1308" s="2" t="s">
        <v>29</v>
      </c>
    </row>
    <row r="1309" spans="1:16" x14ac:dyDescent="0.25">
      <c r="A1309" s="6" t="s">
        <v>2687</v>
      </c>
      <c r="B1309" s="6" t="s">
        <v>2688</v>
      </c>
      <c r="C1309" s="6" t="s">
        <v>76</v>
      </c>
      <c r="D1309" s="7" t="s">
        <v>86</v>
      </c>
      <c r="E1309" s="7" t="s">
        <v>45</v>
      </c>
      <c r="F1309" s="6" t="s">
        <v>87</v>
      </c>
      <c r="G1309" s="8">
        <v>653467</v>
      </c>
      <c r="H1309" s="8">
        <v>219358</v>
      </c>
      <c r="I1309" s="8">
        <v>164581</v>
      </c>
      <c r="J1309" s="8">
        <v>4446</v>
      </c>
      <c r="K1309" s="8">
        <v>528</v>
      </c>
      <c r="L1309" s="8">
        <v>470</v>
      </c>
      <c r="M1309" s="8">
        <v>1004</v>
      </c>
      <c r="N1309" s="8">
        <v>7035</v>
      </c>
      <c r="O1309" s="9">
        <f t="shared" si="20"/>
        <v>3.917827695785054E-2</v>
      </c>
      <c r="P1309" s="6" t="s">
        <v>22</v>
      </c>
    </row>
    <row r="1310" spans="1:16" x14ac:dyDescent="0.25">
      <c r="A1310" s="2" t="s">
        <v>2689</v>
      </c>
      <c r="B1310" s="2" t="s">
        <v>2690</v>
      </c>
      <c r="C1310" s="2" t="s">
        <v>25</v>
      </c>
      <c r="D1310" s="3" t="s">
        <v>145</v>
      </c>
      <c r="E1310" s="3" t="s">
        <v>34</v>
      </c>
      <c r="F1310" s="2" t="s">
        <v>28</v>
      </c>
      <c r="G1310" s="4">
        <v>727153</v>
      </c>
      <c r="H1310" s="4">
        <v>195722</v>
      </c>
      <c r="I1310" s="4">
        <v>150689</v>
      </c>
      <c r="J1310" s="4">
        <v>7095</v>
      </c>
      <c r="K1310" s="4">
        <v>978</v>
      </c>
      <c r="L1310" s="4">
        <v>270</v>
      </c>
      <c r="M1310" s="4">
        <v>1180</v>
      </c>
      <c r="N1310" s="4">
        <v>1595</v>
      </c>
      <c r="O1310" s="5">
        <f t="shared" si="20"/>
        <v>6.3196384606706527E-2</v>
      </c>
      <c r="P1310" s="2" t="s">
        <v>22</v>
      </c>
    </row>
    <row r="1311" spans="1:16" x14ac:dyDescent="0.25">
      <c r="A1311" s="6" t="s">
        <v>2691</v>
      </c>
      <c r="B1311" s="6" t="s">
        <v>2692</v>
      </c>
      <c r="C1311" s="6" t="s">
        <v>32</v>
      </c>
      <c r="D1311" s="7" t="s">
        <v>121</v>
      </c>
      <c r="E1311" s="7" t="s">
        <v>27</v>
      </c>
      <c r="F1311" s="6" t="s">
        <v>35</v>
      </c>
      <c r="G1311" s="8">
        <v>671188</v>
      </c>
      <c r="H1311" s="8">
        <v>232028</v>
      </c>
      <c r="I1311" s="8">
        <v>181529</v>
      </c>
      <c r="J1311" s="8">
        <v>14959</v>
      </c>
      <c r="K1311" s="8">
        <v>2378</v>
      </c>
      <c r="L1311" s="8">
        <v>597</v>
      </c>
      <c r="M1311" s="8">
        <v>5</v>
      </c>
      <c r="N1311" s="8">
        <v>4652</v>
      </c>
      <c r="O1311" s="9">
        <f t="shared" si="20"/>
        <v>9.882167587547995E-2</v>
      </c>
      <c r="P1311" s="6" t="s">
        <v>22</v>
      </c>
    </row>
    <row r="1312" spans="1:16" x14ac:dyDescent="0.25">
      <c r="A1312" s="2" t="s">
        <v>2693</v>
      </c>
      <c r="B1312" s="2" t="s">
        <v>2694</v>
      </c>
      <c r="C1312" s="2" t="s">
        <v>18</v>
      </c>
      <c r="D1312" s="3" t="s">
        <v>92</v>
      </c>
      <c r="E1312" s="3" t="s">
        <v>34</v>
      </c>
      <c r="F1312" s="2" t="s">
        <v>73</v>
      </c>
      <c r="G1312" s="4">
        <v>191592</v>
      </c>
      <c r="H1312" s="4">
        <v>121163</v>
      </c>
      <c r="I1312" s="4">
        <v>105383</v>
      </c>
      <c r="J1312" s="4">
        <v>5935</v>
      </c>
      <c r="K1312" s="4">
        <v>214</v>
      </c>
      <c r="L1312" s="4">
        <v>498</v>
      </c>
      <c r="M1312" s="4">
        <v>750</v>
      </c>
      <c r="N1312" s="4">
        <v>2694</v>
      </c>
      <c r="O1312" s="5">
        <f t="shared" si="20"/>
        <v>7.0191586878339013E-2</v>
      </c>
      <c r="P1312" s="2" t="s">
        <v>66</v>
      </c>
    </row>
    <row r="1313" spans="1:16" x14ac:dyDescent="0.25">
      <c r="A1313" s="6" t="s">
        <v>2695</v>
      </c>
      <c r="B1313" s="6" t="s">
        <v>2696</v>
      </c>
      <c r="C1313" s="6" t="s">
        <v>43</v>
      </c>
      <c r="D1313" s="7" t="s">
        <v>172</v>
      </c>
      <c r="E1313" s="7" t="s">
        <v>27</v>
      </c>
      <c r="F1313" s="6" t="s">
        <v>46</v>
      </c>
      <c r="G1313" s="8">
        <v>374000</v>
      </c>
      <c r="H1313" s="8">
        <v>215942</v>
      </c>
      <c r="I1313" s="8">
        <v>159042</v>
      </c>
      <c r="J1313" s="8">
        <v>10373</v>
      </c>
      <c r="K1313" s="8">
        <v>1155</v>
      </c>
      <c r="L1313" s="8">
        <v>598</v>
      </c>
      <c r="M1313" s="8">
        <v>27</v>
      </c>
      <c r="N1313" s="8">
        <v>2860</v>
      </c>
      <c r="O1313" s="9">
        <f t="shared" si="20"/>
        <v>7.6413777492737769E-2</v>
      </c>
      <c r="P1313" s="6" t="s">
        <v>66</v>
      </c>
    </row>
    <row r="1314" spans="1:16" x14ac:dyDescent="0.25">
      <c r="A1314" s="2" t="s">
        <v>2697</v>
      </c>
      <c r="B1314" s="2" t="s">
        <v>2698</v>
      </c>
      <c r="C1314" s="2" t="s">
        <v>18</v>
      </c>
      <c r="D1314" s="3" t="s">
        <v>92</v>
      </c>
      <c r="E1314" s="3" t="s">
        <v>27</v>
      </c>
      <c r="F1314" s="2" t="s">
        <v>21</v>
      </c>
      <c r="G1314" s="4">
        <v>777206</v>
      </c>
      <c r="H1314" s="4">
        <v>493072</v>
      </c>
      <c r="I1314" s="4">
        <v>421026</v>
      </c>
      <c r="J1314" s="4">
        <v>30884</v>
      </c>
      <c r="K1314" s="4">
        <v>3140</v>
      </c>
      <c r="L1314" s="4">
        <v>2241</v>
      </c>
      <c r="M1314" s="4">
        <v>2605</v>
      </c>
      <c r="N1314" s="4">
        <v>13406</v>
      </c>
      <c r="O1314" s="5">
        <f t="shared" si="20"/>
        <v>9.2322089372152791E-2</v>
      </c>
      <c r="P1314" s="2" t="s">
        <v>22</v>
      </c>
    </row>
    <row r="1315" spans="1:16" x14ac:dyDescent="0.25">
      <c r="A1315" s="6" t="s">
        <v>2699</v>
      </c>
      <c r="B1315" s="6" t="s">
        <v>2700</v>
      </c>
      <c r="C1315" s="6" t="s">
        <v>25</v>
      </c>
      <c r="D1315" s="7" t="s">
        <v>244</v>
      </c>
      <c r="E1315" s="7" t="s">
        <v>50</v>
      </c>
      <c r="F1315" s="6" t="s">
        <v>146</v>
      </c>
      <c r="G1315" s="8">
        <v>820535</v>
      </c>
      <c r="H1315" s="8">
        <v>214785</v>
      </c>
      <c r="I1315" s="8">
        <v>154136</v>
      </c>
      <c r="J1315" s="8">
        <v>11842</v>
      </c>
      <c r="K1315" s="8">
        <v>655</v>
      </c>
      <c r="L1315" s="8">
        <v>481</v>
      </c>
      <c r="M1315" s="8">
        <v>1026</v>
      </c>
      <c r="N1315" s="8">
        <v>3331</v>
      </c>
      <c r="O1315" s="9">
        <f t="shared" si="20"/>
        <v>9.0854829501219703E-2</v>
      </c>
      <c r="P1315" s="6" t="s">
        <v>29</v>
      </c>
    </row>
    <row r="1316" spans="1:16" x14ac:dyDescent="0.25">
      <c r="A1316" s="2" t="s">
        <v>2701</v>
      </c>
      <c r="B1316" s="2" t="s">
        <v>2702</v>
      </c>
      <c r="C1316" s="2" t="s">
        <v>32</v>
      </c>
      <c r="D1316" s="3" t="s">
        <v>49</v>
      </c>
      <c r="E1316" s="3" t="s">
        <v>50</v>
      </c>
      <c r="F1316" s="2" t="s">
        <v>35</v>
      </c>
      <c r="G1316" s="4">
        <v>182963</v>
      </c>
      <c r="H1316" s="4">
        <v>34316</v>
      </c>
      <c r="I1316" s="4">
        <v>25923</v>
      </c>
      <c r="J1316" s="4">
        <v>1057</v>
      </c>
      <c r="K1316" s="4">
        <v>33</v>
      </c>
      <c r="L1316" s="4">
        <v>138</v>
      </c>
      <c r="M1316" s="4">
        <v>10</v>
      </c>
      <c r="N1316" s="4">
        <v>987</v>
      </c>
      <c r="O1316" s="5">
        <f t="shared" si="20"/>
        <v>4.7756818269490416E-2</v>
      </c>
      <c r="P1316" s="2" t="s">
        <v>22</v>
      </c>
    </row>
    <row r="1317" spans="1:16" x14ac:dyDescent="0.25">
      <c r="A1317" s="6" t="s">
        <v>2703</v>
      </c>
      <c r="B1317" s="6" t="s">
        <v>2704</v>
      </c>
      <c r="C1317" s="6" t="s">
        <v>43</v>
      </c>
      <c r="D1317" s="7" t="s">
        <v>44</v>
      </c>
      <c r="E1317" s="7" t="s">
        <v>27</v>
      </c>
      <c r="F1317" s="6" t="s">
        <v>70</v>
      </c>
      <c r="G1317" s="8">
        <v>828841</v>
      </c>
      <c r="H1317" s="8">
        <v>3862188</v>
      </c>
      <c r="I1317" s="8">
        <v>3038662</v>
      </c>
      <c r="J1317" s="8">
        <v>269922</v>
      </c>
      <c r="K1317" s="8">
        <v>26049</v>
      </c>
      <c r="L1317" s="8">
        <v>10113</v>
      </c>
      <c r="M1317" s="8">
        <v>25</v>
      </c>
      <c r="N1317" s="8">
        <v>19339</v>
      </c>
      <c r="O1317" s="9">
        <f t="shared" si="20"/>
        <v>0.10073808801373763</v>
      </c>
      <c r="P1317" s="6" t="s">
        <v>66</v>
      </c>
    </row>
    <row r="1318" spans="1:16" x14ac:dyDescent="0.25">
      <c r="A1318" s="2" t="s">
        <v>2705</v>
      </c>
      <c r="B1318" s="2" t="s">
        <v>2706</v>
      </c>
      <c r="C1318" s="2" t="s">
        <v>76</v>
      </c>
      <c r="D1318" s="3" t="s">
        <v>189</v>
      </c>
      <c r="E1318" s="3" t="s">
        <v>50</v>
      </c>
      <c r="F1318" s="2" t="s">
        <v>104</v>
      </c>
      <c r="G1318" s="4">
        <v>206139</v>
      </c>
      <c r="H1318" s="4">
        <v>72563</v>
      </c>
      <c r="I1318" s="4">
        <v>61122</v>
      </c>
      <c r="J1318" s="4">
        <v>1532</v>
      </c>
      <c r="K1318" s="4">
        <v>99</v>
      </c>
      <c r="L1318" s="4">
        <v>45</v>
      </c>
      <c r="M1318" s="4">
        <v>302</v>
      </c>
      <c r="N1318" s="4">
        <v>546</v>
      </c>
      <c r="O1318" s="5">
        <f t="shared" si="20"/>
        <v>3.2361506495206312E-2</v>
      </c>
      <c r="P1318" s="2" t="s">
        <v>22</v>
      </c>
    </row>
    <row r="1319" spans="1:16" x14ac:dyDescent="0.25">
      <c r="A1319" s="6" t="s">
        <v>2707</v>
      </c>
      <c r="B1319" s="6" t="s">
        <v>2708</v>
      </c>
      <c r="C1319" s="6" t="s">
        <v>25</v>
      </c>
      <c r="D1319" s="7" t="s">
        <v>64</v>
      </c>
      <c r="E1319" s="7" t="s">
        <v>20</v>
      </c>
      <c r="F1319" s="6" t="s">
        <v>28</v>
      </c>
      <c r="G1319" s="8">
        <v>488704</v>
      </c>
      <c r="H1319" s="8">
        <v>303628</v>
      </c>
      <c r="I1319" s="8">
        <v>238077</v>
      </c>
      <c r="J1319" s="8">
        <v>6178</v>
      </c>
      <c r="K1319" s="8">
        <v>228</v>
      </c>
      <c r="L1319" s="8">
        <v>898</v>
      </c>
      <c r="M1319" s="8">
        <v>1460</v>
      </c>
      <c r="N1319" s="8">
        <v>2825</v>
      </c>
      <c r="O1319" s="9">
        <f t="shared" si="20"/>
        <v>3.681161977007439E-2</v>
      </c>
      <c r="P1319" s="6" t="s">
        <v>22</v>
      </c>
    </row>
    <row r="1320" spans="1:16" x14ac:dyDescent="0.25">
      <c r="A1320" s="2" t="s">
        <v>2709</v>
      </c>
      <c r="B1320" s="2" t="s">
        <v>2710</v>
      </c>
      <c r="C1320" s="2" t="s">
        <v>32</v>
      </c>
      <c r="D1320" s="3" t="s">
        <v>175</v>
      </c>
      <c r="E1320" s="3" t="s">
        <v>45</v>
      </c>
      <c r="F1320" s="2" t="s">
        <v>35</v>
      </c>
      <c r="G1320" s="4">
        <v>60059</v>
      </c>
      <c r="H1320" s="4">
        <v>19728</v>
      </c>
      <c r="I1320" s="4">
        <v>15506</v>
      </c>
      <c r="J1320" s="4">
        <v>653</v>
      </c>
      <c r="K1320" s="4">
        <v>71</v>
      </c>
      <c r="L1320" s="4">
        <v>92</v>
      </c>
      <c r="M1320" s="4">
        <v>0</v>
      </c>
      <c r="N1320" s="4">
        <v>107</v>
      </c>
      <c r="O1320" s="5">
        <f t="shared" si="20"/>
        <v>5.2624790403714691E-2</v>
      </c>
      <c r="P1320" s="2" t="s">
        <v>22</v>
      </c>
    </row>
    <row r="1321" spans="1:16" x14ac:dyDescent="0.25">
      <c r="A1321" s="6" t="s">
        <v>2711</v>
      </c>
      <c r="B1321" s="6" t="s">
        <v>2712</v>
      </c>
      <c r="C1321" s="6" t="s">
        <v>32</v>
      </c>
      <c r="D1321" s="7" t="s">
        <v>175</v>
      </c>
      <c r="E1321" s="7" t="s">
        <v>39</v>
      </c>
      <c r="F1321" s="6" t="s">
        <v>35</v>
      </c>
      <c r="G1321" s="8">
        <v>693548</v>
      </c>
      <c r="H1321" s="8">
        <v>143613</v>
      </c>
      <c r="I1321" s="8">
        <v>107024</v>
      </c>
      <c r="J1321" s="8">
        <v>10345</v>
      </c>
      <c r="K1321" s="8">
        <v>617</v>
      </c>
      <c r="L1321" s="8">
        <v>758</v>
      </c>
      <c r="M1321" s="8">
        <v>0</v>
      </c>
      <c r="N1321" s="8">
        <v>3487</v>
      </c>
      <c r="O1321" s="9">
        <f t="shared" si="20"/>
        <v>0.10950814770518762</v>
      </c>
      <c r="P1321" s="6" t="s">
        <v>29</v>
      </c>
    </row>
    <row r="1322" spans="1:16" x14ac:dyDescent="0.25">
      <c r="A1322" s="2" t="s">
        <v>2713</v>
      </c>
      <c r="B1322" s="2" t="s">
        <v>2714</v>
      </c>
      <c r="C1322" s="2" t="s">
        <v>32</v>
      </c>
      <c r="D1322" s="3" t="s">
        <v>38</v>
      </c>
      <c r="E1322" s="3" t="s">
        <v>20</v>
      </c>
      <c r="F1322" s="2" t="s">
        <v>51</v>
      </c>
      <c r="G1322" s="4">
        <v>752668</v>
      </c>
      <c r="H1322" s="4">
        <v>209927</v>
      </c>
      <c r="I1322" s="4">
        <v>160236</v>
      </c>
      <c r="J1322" s="4">
        <v>15728</v>
      </c>
      <c r="K1322" s="4">
        <v>935</v>
      </c>
      <c r="L1322" s="4">
        <v>679</v>
      </c>
      <c r="M1322" s="4">
        <v>30</v>
      </c>
      <c r="N1322" s="4">
        <v>5196</v>
      </c>
      <c r="O1322" s="5">
        <f t="shared" si="20"/>
        <v>0.10841508774557528</v>
      </c>
      <c r="P1322" s="2" t="s">
        <v>22</v>
      </c>
    </row>
    <row r="1323" spans="1:16" x14ac:dyDescent="0.25">
      <c r="A1323" s="6" t="s">
        <v>2715</v>
      </c>
      <c r="B1323" s="6" t="s">
        <v>2716</v>
      </c>
      <c r="C1323" s="6" t="s">
        <v>76</v>
      </c>
      <c r="D1323" s="7" t="s">
        <v>182</v>
      </c>
      <c r="E1323" s="7" t="s">
        <v>45</v>
      </c>
      <c r="F1323" s="6" t="s">
        <v>155</v>
      </c>
      <c r="G1323" s="8">
        <v>830916</v>
      </c>
      <c r="H1323" s="8">
        <v>204921</v>
      </c>
      <c r="I1323" s="8">
        <v>187385</v>
      </c>
      <c r="J1323" s="8">
        <v>14165</v>
      </c>
      <c r="K1323" s="8">
        <v>2294</v>
      </c>
      <c r="L1323" s="8">
        <v>1772</v>
      </c>
      <c r="M1323" s="8">
        <v>2049</v>
      </c>
      <c r="N1323" s="8">
        <v>6301</v>
      </c>
      <c r="O1323" s="9">
        <f t="shared" si="20"/>
        <v>0.10822637884569203</v>
      </c>
      <c r="P1323" s="6" t="s">
        <v>22</v>
      </c>
    </row>
    <row r="1324" spans="1:16" x14ac:dyDescent="0.25">
      <c r="A1324" s="2" t="s">
        <v>2717</v>
      </c>
      <c r="B1324" s="2" t="s">
        <v>2718</v>
      </c>
      <c r="C1324" s="2" t="s">
        <v>32</v>
      </c>
      <c r="D1324" s="3" t="s">
        <v>33</v>
      </c>
      <c r="E1324" s="3" t="s">
        <v>27</v>
      </c>
      <c r="F1324" s="2" t="s">
        <v>51</v>
      </c>
      <c r="G1324" s="4">
        <v>183311</v>
      </c>
      <c r="H1324" s="4">
        <v>33760</v>
      </c>
      <c r="I1324" s="4">
        <v>25763</v>
      </c>
      <c r="J1324" s="4">
        <v>1119</v>
      </c>
      <c r="K1324" s="4">
        <v>85</v>
      </c>
      <c r="L1324" s="4">
        <v>134</v>
      </c>
      <c r="M1324" s="4">
        <v>4</v>
      </c>
      <c r="N1324" s="4">
        <v>947</v>
      </c>
      <c r="O1324" s="5">
        <f t="shared" si="20"/>
        <v>5.2090206885844037E-2</v>
      </c>
      <c r="P1324" s="2" t="s">
        <v>22</v>
      </c>
    </row>
    <row r="1325" spans="1:16" x14ac:dyDescent="0.25">
      <c r="A1325" s="6" t="s">
        <v>2719</v>
      </c>
      <c r="B1325" s="6" t="s">
        <v>2720</v>
      </c>
      <c r="C1325" s="6" t="s">
        <v>18</v>
      </c>
      <c r="D1325" s="7" t="s">
        <v>19</v>
      </c>
      <c r="E1325" s="7" t="s">
        <v>27</v>
      </c>
      <c r="F1325" s="6" t="s">
        <v>58</v>
      </c>
      <c r="G1325" s="8">
        <v>602914</v>
      </c>
      <c r="H1325" s="8">
        <v>244213</v>
      </c>
      <c r="I1325" s="8">
        <v>179841</v>
      </c>
      <c r="J1325" s="8">
        <v>17692</v>
      </c>
      <c r="K1325" s="8">
        <v>2581</v>
      </c>
      <c r="L1325" s="8">
        <v>1204</v>
      </c>
      <c r="M1325" s="8">
        <v>1682</v>
      </c>
      <c r="N1325" s="8">
        <v>7390</v>
      </c>
      <c r="O1325" s="9">
        <f t="shared" si="20"/>
        <v>0.12877486223942261</v>
      </c>
      <c r="P1325" s="6" t="s">
        <v>22</v>
      </c>
    </row>
    <row r="1326" spans="1:16" x14ac:dyDescent="0.25">
      <c r="A1326" s="2" t="s">
        <v>2721</v>
      </c>
      <c r="B1326" s="2" t="s">
        <v>2722</v>
      </c>
      <c r="C1326" s="2" t="s">
        <v>32</v>
      </c>
      <c r="D1326" s="3" t="s">
        <v>49</v>
      </c>
      <c r="E1326" s="3" t="s">
        <v>20</v>
      </c>
      <c r="F1326" s="2" t="s">
        <v>35</v>
      </c>
      <c r="G1326" s="4">
        <v>772094</v>
      </c>
      <c r="H1326" s="4">
        <v>89589</v>
      </c>
      <c r="I1326" s="4">
        <v>82012</v>
      </c>
      <c r="J1326" s="4">
        <v>1809</v>
      </c>
      <c r="K1326" s="4">
        <v>146</v>
      </c>
      <c r="L1326" s="4">
        <v>153</v>
      </c>
      <c r="M1326" s="4">
        <v>21</v>
      </c>
      <c r="N1326" s="4">
        <v>2129</v>
      </c>
      <c r="O1326" s="5">
        <f t="shared" si="20"/>
        <v>2.5959615666000097E-2</v>
      </c>
      <c r="P1326" s="2" t="s">
        <v>22</v>
      </c>
    </row>
    <row r="1327" spans="1:16" x14ac:dyDescent="0.25">
      <c r="A1327" s="6" t="s">
        <v>2723</v>
      </c>
      <c r="B1327" s="6" t="s">
        <v>2724</v>
      </c>
      <c r="C1327" s="6" t="s">
        <v>32</v>
      </c>
      <c r="D1327" s="7" t="s">
        <v>38</v>
      </c>
      <c r="E1327" s="7" t="s">
        <v>20</v>
      </c>
      <c r="F1327" s="6" t="s">
        <v>40</v>
      </c>
      <c r="G1327" s="8">
        <v>820630</v>
      </c>
      <c r="H1327" s="8">
        <v>73136</v>
      </c>
      <c r="I1327" s="8">
        <v>51718</v>
      </c>
      <c r="J1327" s="8">
        <v>4889</v>
      </c>
      <c r="K1327" s="8">
        <v>496</v>
      </c>
      <c r="L1327" s="8">
        <v>147</v>
      </c>
      <c r="M1327" s="8">
        <v>43</v>
      </c>
      <c r="N1327" s="8">
        <v>1303</v>
      </c>
      <c r="O1327" s="9">
        <f t="shared" si="20"/>
        <v>0.1077961251401833</v>
      </c>
      <c r="P1327" s="6" t="s">
        <v>22</v>
      </c>
    </row>
    <row r="1328" spans="1:16" x14ac:dyDescent="0.25">
      <c r="A1328" s="2" t="s">
        <v>2725</v>
      </c>
      <c r="B1328" s="2" t="s">
        <v>2726</v>
      </c>
      <c r="C1328" s="2" t="s">
        <v>76</v>
      </c>
      <c r="D1328" s="3" t="s">
        <v>103</v>
      </c>
      <c r="E1328" s="3" t="s">
        <v>20</v>
      </c>
      <c r="F1328" s="2" t="s">
        <v>104</v>
      </c>
      <c r="G1328" s="4">
        <v>532228</v>
      </c>
      <c r="H1328" s="4">
        <v>201104</v>
      </c>
      <c r="I1328" s="4">
        <v>150164</v>
      </c>
      <c r="J1328" s="4">
        <v>4640</v>
      </c>
      <c r="K1328" s="4">
        <v>645</v>
      </c>
      <c r="L1328" s="4">
        <v>142</v>
      </c>
      <c r="M1328" s="4">
        <v>930</v>
      </c>
      <c r="N1328" s="4">
        <v>6092</v>
      </c>
      <c r="O1328" s="5">
        <f t="shared" si="20"/>
        <v>4.2333715138115659E-2</v>
      </c>
      <c r="P1328" s="2" t="s">
        <v>66</v>
      </c>
    </row>
    <row r="1329" spans="1:16" x14ac:dyDescent="0.25">
      <c r="A1329" s="6" t="s">
        <v>2727</v>
      </c>
      <c r="B1329" s="6" t="s">
        <v>2728</v>
      </c>
      <c r="C1329" s="6" t="s">
        <v>32</v>
      </c>
      <c r="D1329" s="7" t="s">
        <v>121</v>
      </c>
      <c r="E1329" s="7" t="s">
        <v>20</v>
      </c>
      <c r="F1329" s="6" t="s">
        <v>35</v>
      </c>
      <c r="G1329" s="8">
        <v>794194</v>
      </c>
      <c r="H1329" s="8">
        <v>314078</v>
      </c>
      <c r="I1329" s="8">
        <v>282133</v>
      </c>
      <c r="J1329" s="8">
        <v>21020</v>
      </c>
      <c r="K1329" s="8">
        <v>1790</v>
      </c>
      <c r="L1329" s="8">
        <v>1231</v>
      </c>
      <c r="M1329" s="8">
        <v>44</v>
      </c>
      <c r="N1329" s="8">
        <v>2391</v>
      </c>
      <c r="O1329" s="9">
        <f t="shared" si="20"/>
        <v>8.5367539422896294E-2</v>
      </c>
      <c r="P1329" s="6" t="s">
        <v>22</v>
      </c>
    </row>
    <row r="1330" spans="1:16" x14ac:dyDescent="0.25">
      <c r="A1330" s="2" t="s">
        <v>2729</v>
      </c>
      <c r="B1330" s="2" t="s">
        <v>2730</v>
      </c>
      <c r="C1330" s="2" t="s">
        <v>76</v>
      </c>
      <c r="D1330" s="3" t="s">
        <v>77</v>
      </c>
      <c r="E1330" s="3" t="s">
        <v>20</v>
      </c>
      <c r="F1330" s="2" t="s">
        <v>104</v>
      </c>
      <c r="G1330" s="4">
        <v>500969</v>
      </c>
      <c r="H1330" s="4">
        <v>87746</v>
      </c>
      <c r="I1330" s="4">
        <v>61636</v>
      </c>
      <c r="J1330" s="4">
        <v>4476</v>
      </c>
      <c r="K1330" s="4">
        <v>358</v>
      </c>
      <c r="L1330" s="4">
        <v>495</v>
      </c>
      <c r="M1330" s="4">
        <v>805</v>
      </c>
      <c r="N1330" s="4">
        <v>2643</v>
      </c>
      <c r="O1330" s="5">
        <f t="shared" si="20"/>
        <v>9.9519761178532021E-2</v>
      </c>
      <c r="P1330" s="2" t="s">
        <v>22</v>
      </c>
    </row>
    <row r="1331" spans="1:16" x14ac:dyDescent="0.25">
      <c r="A1331" s="6" t="s">
        <v>2731</v>
      </c>
      <c r="B1331" s="6" t="s">
        <v>2732</v>
      </c>
      <c r="C1331" s="6" t="s">
        <v>32</v>
      </c>
      <c r="D1331" s="7" t="s">
        <v>175</v>
      </c>
      <c r="E1331" s="7" t="s">
        <v>50</v>
      </c>
      <c r="F1331" s="6" t="s">
        <v>128</v>
      </c>
      <c r="G1331" s="8">
        <v>241463</v>
      </c>
      <c r="H1331" s="8">
        <v>80454</v>
      </c>
      <c r="I1331" s="8">
        <v>66798</v>
      </c>
      <c r="J1331" s="8">
        <v>2794</v>
      </c>
      <c r="K1331" s="8">
        <v>95</v>
      </c>
      <c r="L1331" s="8">
        <v>231</v>
      </c>
      <c r="M1331" s="8">
        <v>28</v>
      </c>
      <c r="N1331" s="8">
        <v>2009</v>
      </c>
      <c r="O1331" s="9">
        <f t="shared" si="20"/>
        <v>4.712715949579329E-2</v>
      </c>
      <c r="P1331" s="6" t="s">
        <v>22</v>
      </c>
    </row>
    <row r="1332" spans="1:16" x14ac:dyDescent="0.25">
      <c r="A1332" s="2" t="s">
        <v>2733</v>
      </c>
      <c r="B1332" s="2" t="s">
        <v>2734</v>
      </c>
      <c r="C1332" s="2" t="s">
        <v>76</v>
      </c>
      <c r="D1332" s="3" t="s">
        <v>189</v>
      </c>
      <c r="E1332" s="3" t="s">
        <v>20</v>
      </c>
      <c r="F1332" s="2" t="s">
        <v>155</v>
      </c>
      <c r="G1332" s="4">
        <v>773093</v>
      </c>
      <c r="H1332" s="4">
        <v>242657</v>
      </c>
      <c r="I1332" s="4">
        <v>218505</v>
      </c>
      <c r="J1332" s="4">
        <v>14205</v>
      </c>
      <c r="K1332" s="4">
        <v>2079</v>
      </c>
      <c r="L1332" s="4">
        <v>1418</v>
      </c>
      <c r="M1332" s="4">
        <v>2900</v>
      </c>
      <c r="N1332" s="4">
        <v>4504</v>
      </c>
      <c r="O1332" s="5">
        <f t="shared" si="20"/>
        <v>9.4286171941145511E-2</v>
      </c>
      <c r="P1332" s="2" t="s">
        <v>29</v>
      </c>
    </row>
    <row r="1333" spans="1:16" x14ac:dyDescent="0.25">
      <c r="A1333" s="6" t="s">
        <v>2735</v>
      </c>
      <c r="B1333" s="6" t="s">
        <v>2736</v>
      </c>
      <c r="C1333" s="6" t="s">
        <v>18</v>
      </c>
      <c r="D1333" s="7" t="s">
        <v>92</v>
      </c>
      <c r="E1333" s="7" t="s">
        <v>34</v>
      </c>
      <c r="F1333" s="6" t="s">
        <v>58</v>
      </c>
      <c r="G1333" s="8">
        <v>496094</v>
      </c>
      <c r="H1333" s="8">
        <v>201615</v>
      </c>
      <c r="I1333" s="8">
        <v>154644</v>
      </c>
      <c r="J1333" s="8">
        <v>13869</v>
      </c>
      <c r="K1333" s="8">
        <v>1864</v>
      </c>
      <c r="L1333" s="8">
        <v>1527</v>
      </c>
      <c r="M1333" s="8">
        <v>3102</v>
      </c>
      <c r="N1333" s="8">
        <v>4054</v>
      </c>
      <c r="O1333" s="9">
        <f t="shared" si="20"/>
        <v>0.13167015855771966</v>
      </c>
      <c r="P1333" s="6" t="s">
        <v>22</v>
      </c>
    </row>
    <row r="1334" spans="1:16" x14ac:dyDescent="0.25">
      <c r="A1334" s="2" t="s">
        <v>2737</v>
      </c>
      <c r="B1334" s="2" t="s">
        <v>2738</v>
      </c>
      <c r="C1334" s="2" t="s">
        <v>18</v>
      </c>
      <c r="D1334" s="3" t="s">
        <v>231</v>
      </c>
      <c r="E1334" s="3" t="s">
        <v>34</v>
      </c>
      <c r="F1334" s="2" t="s">
        <v>73</v>
      </c>
      <c r="G1334" s="4">
        <v>670233</v>
      </c>
      <c r="H1334" s="4">
        <v>106358</v>
      </c>
      <c r="I1334" s="4">
        <v>77210</v>
      </c>
      <c r="J1334" s="4">
        <v>5033</v>
      </c>
      <c r="K1334" s="4">
        <v>349</v>
      </c>
      <c r="L1334" s="4">
        <v>661</v>
      </c>
      <c r="M1334" s="4">
        <v>677</v>
      </c>
      <c r="N1334" s="4">
        <v>2765</v>
      </c>
      <c r="O1334" s="5">
        <f t="shared" si="20"/>
        <v>8.7035358114233907E-2</v>
      </c>
      <c r="P1334" s="2" t="s">
        <v>22</v>
      </c>
    </row>
    <row r="1335" spans="1:16" x14ac:dyDescent="0.25">
      <c r="A1335" s="6" t="s">
        <v>2739</v>
      </c>
      <c r="B1335" s="6" t="s">
        <v>2740</v>
      </c>
      <c r="C1335" s="6" t="s">
        <v>32</v>
      </c>
      <c r="D1335" s="7" t="s">
        <v>175</v>
      </c>
      <c r="E1335" s="7" t="s">
        <v>39</v>
      </c>
      <c r="F1335" s="6" t="s">
        <v>35</v>
      </c>
      <c r="G1335" s="8">
        <v>218436</v>
      </c>
      <c r="H1335" s="8">
        <v>25093</v>
      </c>
      <c r="I1335" s="8">
        <v>19785</v>
      </c>
      <c r="J1335" s="8">
        <v>747</v>
      </c>
      <c r="K1335" s="8">
        <v>126</v>
      </c>
      <c r="L1335" s="8">
        <v>80</v>
      </c>
      <c r="M1335" s="8">
        <v>0</v>
      </c>
      <c r="N1335" s="8">
        <v>482</v>
      </c>
      <c r="O1335" s="9">
        <f t="shared" si="20"/>
        <v>4.8167803891837252E-2</v>
      </c>
      <c r="P1335" s="6" t="s">
        <v>66</v>
      </c>
    </row>
    <row r="1336" spans="1:16" x14ac:dyDescent="0.25">
      <c r="A1336" s="2" t="s">
        <v>2741</v>
      </c>
      <c r="B1336" s="2" t="s">
        <v>2742</v>
      </c>
      <c r="C1336" s="2" t="s">
        <v>43</v>
      </c>
      <c r="D1336" s="3" t="s">
        <v>172</v>
      </c>
      <c r="E1336" s="3" t="s">
        <v>34</v>
      </c>
      <c r="F1336" s="2" t="s">
        <v>107</v>
      </c>
      <c r="G1336" s="4">
        <v>596675</v>
      </c>
      <c r="H1336" s="4">
        <v>364197</v>
      </c>
      <c r="I1336" s="4">
        <v>264552</v>
      </c>
      <c r="J1336" s="4">
        <v>10647</v>
      </c>
      <c r="K1336" s="4">
        <v>1441</v>
      </c>
      <c r="L1336" s="4">
        <v>1549</v>
      </c>
      <c r="M1336" s="4">
        <v>49</v>
      </c>
      <c r="N1336" s="4">
        <v>4050</v>
      </c>
      <c r="O1336" s="5">
        <f t="shared" si="20"/>
        <v>5.1732740633221447E-2</v>
      </c>
      <c r="P1336" s="2" t="s">
        <v>29</v>
      </c>
    </row>
    <row r="1337" spans="1:16" x14ac:dyDescent="0.25">
      <c r="A1337" s="6" t="s">
        <v>2743</v>
      </c>
      <c r="B1337" s="6" t="s">
        <v>2744</v>
      </c>
      <c r="C1337" s="6" t="s">
        <v>76</v>
      </c>
      <c r="D1337" s="7" t="s">
        <v>189</v>
      </c>
      <c r="E1337" s="7" t="s">
        <v>39</v>
      </c>
      <c r="F1337" s="6" t="s">
        <v>78</v>
      </c>
      <c r="G1337" s="8">
        <v>642913</v>
      </c>
      <c r="H1337" s="8">
        <v>199932</v>
      </c>
      <c r="I1337" s="8">
        <v>146890</v>
      </c>
      <c r="J1337" s="8">
        <v>6472</v>
      </c>
      <c r="K1337" s="8">
        <v>869</v>
      </c>
      <c r="L1337" s="8">
        <v>580</v>
      </c>
      <c r="M1337" s="8">
        <v>1558</v>
      </c>
      <c r="N1337" s="8">
        <v>2405</v>
      </c>
      <c r="O1337" s="9">
        <f t="shared" si="20"/>
        <v>6.4531281911634555E-2</v>
      </c>
      <c r="P1337" s="6" t="s">
        <v>66</v>
      </c>
    </row>
    <row r="1338" spans="1:16" x14ac:dyDescent="0.25">
      <c r="A1338" s="2" t="s">
        <v>2745</v>
      </c>
      <c r="B1338" s="2" t="s">
        <v>2746</v>
      </c>
      <c r="C1338" s="2" t="s">
        <v>43</v>
      </c>
      <c r="D1338" s="3" t="s">
        <v>81</v>
      </c>
      <c r="E1338" s="3" t="s">
        <v>34</v>
      </c>
      <c r="F1338" s="2" t="s">
        <v>46</v>
      </c>
      <c r="G1338" s="4">
        <v>378721</v>
      </c>
      <c r="H1338" s="4">
        <v>162085</v>
      </c>
      <c r="I1338" s="4">
        <v>129493</v>
      </c>
      <c r="J1338" s="4">
        <v>12907</v>
      </c>
      <c r="K1338" s="4">
        <v>1546</v>
      </c>
      <c r="L1338" s="4">
        <v>364</v>
      </c>
      <c r="M1338" s="4">
        <v>21</v>
      </c>
      <c r="N1338" s="4">
        <v>4795</v>
      </c>
      <c r="O1338" s="5">
        <f t="shared" si="20"/>
        <v>0.11458534438154958</v>
      </c>
      <c r="P1338" s="2" t="s">
        <v>22</v>
      </c>
    </row>
    <row r="1339" spans="1:16" x14ac:dyDescent="0.25">
      <c r="A1339" s="6" t="s">
        <v>2747</v>
      </c>
      <c r="B1339" s="6" t="s">
        <v>2748</v>
      </c>
      <c r="C1339" s="6" t="s">
        <v>43</v>
      </c>
      <c r="D1339" s="7" t="s">
        <v>44</v>
      </c>
      <c r="E1339" s="7" t="s">
        <v>50</v>
      </c>
      <c r="F1339" s="6" t="s">
        <v>70</v>
      </c>
      <c r="G1339" s="8">
        <v>591182</v>
      </c>
      <c r="H1339" s="8">
        <v>297497</v>
      </c>
      <c r="I1339" s="8">
        <v>251358</v>
      </c>
      <c r="J1339" s="8">
        <v>10329</v>
      </c>
      <c r="K1339" s="8">
        <v>394</v>
      </c>
      <c r="L1339" s="8">
        <v>403</v>
      </c>
      <c r="M1339" s="8">
        <v>44</v>
      </c>
      <c r="N1339" s="8">
        <v>7541</v>
      </c>
      <c r="O1339" s="9">
        <f t="shared" si="20"/>
        <v>4.4438609473340815E-2</v>
      </c>
      <c r="P1339" s="6" t="s">
        <v>29</v>
      </c>
    </row>
    <row r="1340" spans="1:16" x14ac:dyDescent="0.25">
      <c r="A1340" s="2" t="s">
        <v>2749</v>
      </c>
      <c r="B1340" s="2" t="s">
        <v>2750</v>
      </c>
      <c r="C1340" s="2" t="s">
        <v>32</v>
      </c>
      <c r="D1340" s="3" t="s">
        <v>121</v>
      </c>
      <c r="E1340" s="3" t="s">
        <v>27</v>
      </c>
      <c r="F1340" s="2" t="s">
        <v>128</v>
      </c>
      <c r="G1340" s="4">
        <v>407632</v>
      </c>
      <c r="H1340" s="4">
        <v>254237</v>
      </c>
      <c r="I1340" s="4">
        <v>215067</v>
      </c>
      <c r="J1340" s="4">
        <v>15424</v>
      </c>
      <c r="K1340" s="4">
        <v>1257</v>
      </c>
      <c r="L1340" s="4">
        <v>1602</v>
      </c>
      <c r="M1340" s="4">
        <v>37</v>
      </c>
      <c r="N1340" s="4">
        <v>7858</v>
      </c>
      <c r="O1340" s="5">
        <f t="shared" si="20"/>
        <v>8.5182757001306564E-2</v>
      </c>
      <c r="P1340" s="2" t="s">
        <v>29</v>
      </c>
    </row>
    <row r="1341" spans="1:16" x14ac:dyDescent="0.25">
      <c r="A1341" s="6" t="s">
        <v>2751</v>
      </c>
      <c r="B1341" s="6" t="s">
        <v>2752</v>
      </c>
      <c r="C1341" s="6" t="s">
        <v>18</v>
      </c>
      <c r="D1341" s="7" t="s">
        <v>92</v>
      </c>
      <c r="E1341" s="7" t="s">
        <v>45</v>
      </c>
      <c r="F1341" s="6" t="s">
        <v>73</v>
      </c>
      <c r="G1341" s="8">
        <v>151310</v>
      </c>
      <c r="H1341" s="8">
        <v>68514</v>
      </c>
      <c r="I1341" s="8">
        <v>52912</v>
      </c>
      <c r="J1341" s="8">
        <v>2191</v>
      </c>
      <c r="K1341" s="8">
        <v>213</v>
      </c>
      <c r="L1341" s="8">
        <v>57</v>
      </c>
      <c r="M1341" s="8">
        <v>318</v>
      </c>
      <c r="N1341" s="8">
        <v>2268</v>
      </c>
      <c r="O1341" s="9">
        <f t="shared" si="20"/>
        <v>5.2521167221046265E-2</v>
      </c>
      <c r="P1341" s="6" t="s">
        <v>66</v>
      </c>
    </row>
    <row r="1342" spans="1:16" x14ac:dyDescent="0.25">
      <c r="A1342" s="2" t="s">
        <v>2753</v>
      </c>
      <c r="B1342" s="2" t="s">
        <v>2754</v>
      </c>
      <c r="C1342" s="2" t="s">
        <v>32</v>
      </c>
      <c r="D1342" s="3" t="s">
        <v>175</v>
      </c>
      <c r="E1342" s="3" t="s">
        <v>20</v>
      </c>
      <c r="F1342" s="2" t="s">
        <v>128</v>
      </c>
      <c r="G1342" s="4">
        <v>540605</v>
      </c>
      <c r="H1342" s="4">
        <v>52938</v>
      </c>
      <c r="I1342" s="4">
        <v>47517</v>
      </c>
      <c r="J1342" s="4">
        <v>4110</v>
      </c>
      <c r="K1342" s="4">
        <v>163</v>
      </c>
      <c r="L1342" s="4">
        <v>167</v>
      </c>
      <c r="M1342" s="4">
        <v>9</v>
      </c>
      <c r="N1342" s="4">
        <v>1104</v>
      </c>
      <c r="O1342" s="5">
        <f t="shared" si="20"/>
        <v>9.3629648336384874E-2</v>
      </c>
      <c r="P1342" s="2" t="s">
        <v>29</v>
      </c>
    </row>
    <row r="1343" spans="1:16" x14ac:dyDescent="0.25">
      <c r="A1343" s="6" t="s">
        <v>2755</v>
      </c>
      <c r="B1343" s="6" t="s">
        <v>2756</v>
      </c>
      <c r="C1343" s="6" t="s">
        <v>18</v>
      </c>
      <c r="D1343" s="7" t="s">
        <v>231</v>
      </c>
      <c r="E1343" s="7" t="s">
        <v>27</v>
      </c>
      <c r="F1343" s="6" t="s">
        <v>58</v>
      </c>
      <c r="G1343" s="8">
        <v>791307</v>
      </c>
      <c r="H1343" s="8">
        <v>361225</v>
      </c>
      <c r="I1343" s="8">
        <v>289226</v>
      </c>
      <c r="J1343" s="8">
        <v>18415</v>
      </c>
      <c r="K1343" s="8">
        <v>2374</v>
      </c>
      <c r="L1343" s="8">
        <v>2680</v>
      </c>
      <c r="M1343" s="8">
        <v>4424</v>
      </c>
      <c r="N1343" s="8">
        <v>3798</v>
      </c>
      <c r="O1343" s="9">
        <f t="shared" si="20"/>
        <v>9.6440154066370243E-2</v>
      </c>
      <c r="P1343" s="6" t="s">
        <v>29</v>
      </c>
    </row>
    <row r="1344" spans="1:16" x14ac:dyDescent="0.25">
      <c r="A1344" s="2" t="s">
        <v>2757</v>
      </c>
      <c r="B1344" s="2" t="s">
        <v>2758</v>
      </c>
      <c r="C1344" s="2" t="s">
        <v>32</v>
      </c>
      <c r="D1344" s="3" t="s">
        <v>33</v>
      </c>
      <c r="E1344" s="3" t="s">
        <v>34</v>
      </c>
      <c r="F1344" s="2" t="s">
        <v>35</v>
      </c>
      <c r="G1344" s="4">
        <v>623609</v>
      </c>
      <c r="H1344" s="4">
        <v>305544</v>
      </c>
      <c r="I1344" s="4">
        <v>271594</v>
      </c>
      <c r="J1344" s="4">
        <v>9254</v>
      </c>
      <c r="K1344" s="4">
        <v>933</v>
      </c>
      <c r="L1344" s="4">
        <v>656</v>
      </c>
      <c r="M1344" s="4">
        <v>0</v>
      </c>
      <c r="N1344" s="4">
        <v>6637</v>
      </c>
      <c r="O1344" s="5">
        <f t="shared" si="20"/>
        <v>3.9923562376193877E-2</v>
      </c>
      <c r="P1344" s="2" t="s">
        <v>22</v>
      </c>
    </row>
    <row r="1345" spans="1:16" x14ac:dyDescent="0.25">
      <c r="A1345" s="6" t="s">
        <v>2759</v>
      </c>
      <c r="B1345" s="6" t="s">
        <v>2760</v>
      </c>
      <c r="C1345" s="6" t="s">
        <v>76</v>
      </c>
      <c r="D1345" s="7" t="s">
        <v>182</v>
      </c>
      <c r="E1345" s="7" t="s">
        <v>34</v>
      </c>
      <c r="F1345" s="6" t="s">
        <v>155</v>
      </c>
      <c r="G1345" s="8">
        <v>444243</v>
      </c>
      <c r="H1345" s="8">
        <v>263779</v>
      </c>
      <c r="I1345" s="8">
        <v>200929</v>
      </c>
      <c r="J1345" s="8">
        <v>8731</v>
      </c>
      <c r="K1345" s="8">
        <v>1313</v>
      </c>
      <c r="L1345" s="8">
        <v>607</v>
      </c>
      <c r="M1345" s="8">
        <v>1573</v>
      </c>
      <c r="N1345" s="8">
        <v>6398</v>
      </c>
      <c r="O1345" s="9">
        <f t="shared" si="20"/>
        <v>6.0837410229484044E-2</v>
      </c>
      <c r="P1345" s="6" t="s">
        <v>22</v>
      </c>
    </row>
    <row r="1346" spans="1:16" x14ac:dyDescent="0.25">
      <c r="A1346" s="2" t="s">
        <v>2761</v>
      </c>
      <c r="B1346" s="2" t="s">
        <v>2762</v>
      </c>
      <c r="C1346" s="2" t="s">
        <v>32</v>
      </c>
      <c r="D1346" s="3" t="s">
        <v>175</v>
      </c>
      <c r="E1346" s="3" t="s">
        <v>34</v>
      </c>
      <c r="F1346" s="2" t="s">
        <v>51</v>
      </c>
      <c r="G1346" s="4">
        <v>13984</v>
      </c>
      <c r="H1346" s="4">
        <v>3472</v>
      </c>
      <c r="I1346" s="4">
        <v>3141</v>
      </c>
      <c r="J1346" s="4">
        <v>99</v>
      </c>
      <c r="K1346" s="4">
        <v>5</v>
      </c>
      <c r="L1346" s="4">
        <v>13</v>
      </c>
      <c r="M1346" s="4">
        <v>13</v>
      </c>
      <c r="N1346" s="4">
        <v>59</v>
      </c>
      <c r="O1346" s="5">
        <f t="shared" ref="O1346:O1409" si="21">IF(I1346&gt;0, (J1346+K1346+L1346+M1346)/I1346, 0)</f>
        <v>4.1388092964024195E-2</v>
      </c>
      <c r="P1346" s="2" t="s">
        <v>22</v>
      </c>
    </row>
    <row r="1347" spans="1:16" x14ac:dyDescent="0.25">
      <c r="A1347" s="6" t="s">
        <v>2763</v>
      </c>
      <c r="B1347" s="6" t="s">
        <v>2764</v>
      </c>
      <c r="C1347" s="6" t="s">
        <v>18</v>
      </c>
      <c r="D1347" s="7" t="s">
        <v>19</v>
      </c>
      <c r="E1347" s="7" t="s">
        <v>34</v>
      </c>
      <c r="F1347" s="6" t="s">
        <v>21</v>
      </c>
      <c r="G1347" s="8">
        <v>580600</v>
      </c>
      <c r="H1347" s="8">
        <v>235043</v>
      </c>
      <c r="I1347" s="8">
        <v>207082</v>
      </c>
      <c r="J1347" s="8">
        <v>17771</v>
      </c>
      <c r="K1347" s="8">
        <v>689</v>
      </c>
      <c r="L1347" s="8">
        <v>1764</v>
      </c>
      <c r="M1347" s="8">
        <v>3195</v>
      </c>
      <c r="N1347" s="8">
        <v>4340</v>
      </c>
      <c r="O1347" s="9">
        <f t="shared" si="21"/>
        <v>0.11309046657845684</v>
      </c>
      <c r="P1347" s="6" t="s">
        <v>22</v>
      </c>
    </row>
    <row r="1348" spans="1:16" x14ac:dyDescent="0.25">
      <c r="A1348" s="2" t="s">
        <v>2765</v>
      </c>
      <c r="B1348" s="2" t="s">
        <v>2766</v>
      </c>
      <c r="C1348" s="2" t="s">
        <v>18</v>
      </c>
      <c r="D1348" s="3" t="s">
        <v>19</v>
      </c>
      <c r="E1348" s="3" t="s">
        <v>45</v>
      </c>
      <c r="F1348" s="2" t="s">
        <v>58</v>
      </c>
      <c r="G1348" s="4">
        <v>46570</v>
      </c>
      <c r="H1348" s="4">
        <v>9626</v>
      </c>
      <c r="I1348" s="4">
        <v>7638</v>
      </c>
      <c r="J1348" s="4">
        <v>482</v>
      </c>
      <c r="K1348" s="4">
        <v>20</v>
      </c>
      <c r="L1348" s="4">
        <v>43</v>
      </c>
      <c r="M1348" s="4">
        <v>66</v>
      </c>
      <c r="N1348" s="4">
        <v>154</v>
      </c>
      <c r="O1348" s="5">
        <f t="shared" si="21"/>
        <v>7.9994763026970409E-2</v>
      </c>
      <c r="P1348" s="2" t="s">
        <v>66</v>
      </c>
    </row>
    <row r="1349" spans="1:16" x14ac:dyDescent="0.25">
      <c r="A1349" s="6" t="s">
        <v>2767</v>
      </c>
      <c r="B1349" s="6" t="s">
        <v>2768</v>
      </c>
      <c r="C1349" s="6" t="s">
        <v>32</v>
      </c>
      <c r="D1349" s="7" t="s">
        <v>38</v>
      </c>
      <c r="E1349" s="7" t="s">
        <v>27</v>
      </c>
      <c r="F1349" s="6" t="s">
        <v>51</v>
      </c>
      <c r="G1349" s="8">
        <v>127130</v>
      </c>
      <c r="H1349" s="8">
        <v>62116</v>
      </c>
      <c r="I1349" s="8">
        <v>57120</v>
      </c>
      <c r="J1349" s="8">
        <v>2169</v>
      </c>
      <c r="K1349" s="8">
        <v>185</v>
      </c>
      <c r="L1349" s="8">
        <v>308</v>
      </c>
      <c r="M1349" s="8">
        <v>25</v>
      </c>
      <c r="N1349" s="8">
        <v>1076</v>
      </c>
      <c r="O1349" s="9">
        <f t="shared" si="21"/>
        <v>4.7041316526610644E-2</v>
      </c>
      <c r="P1349" s="6" t="s">
        <v>66</v>
      </c>
    </row>
    <row r="1350" spans="1:16" x14ac:dyDescent="0.25">
      <c r="A1350" s="2" t="s">
        <v>2769</v>
      </c>
      <c r="B1350" s="2" t="s">
        <v>2770</v>
      </c>
      <c r="C1350" s="2" t="s">
        <v>32</v>
      </c>
      <c r="D1350" s="3" t="s">
        <v>121</v>
      </c>
      <c r="E1350" s="3" t="s">
        <v>39</v>
      </c>
      <c r="F1350" s="2" t="s">
        <v>35</v>
      </c>
      <c r="G1350" s="4">
        <v>299985</v>
      </c>
      <c r="H1350" s="4">
        <v>46116</v>
      </c>
      <c r="I1350" s="4">
        <v>35430</v>
      </c>
      <c r="J1350" s="4">
        <v>3181</v>
      </c>
      <c r="K1350" s="4">
        <v>557</v>
      </c>
      <c r="L1350" s="4">
        <v>417</v>
      </c>
      <c r="M1350" s="4">
        <v>42</v>
      </c>
      <c r="N1350" s="4">
        <v>1482</v>
      </c>
      <c r="O1350" s="5">
        <f t="shared" si="21"/>
        <v>0.11845893310753598</v>
      </c>
      <c r="P1350" s="2" t="s">
        <v>22</v>
      </c>
    </row>
    <row r="1351" spans="1:16" x14ac:dyDescent="0.25">
      <c r="A1351" s="6" t="s">
        <v>2771</v>
      </c>
      <c r="B1351" s="6" t="s">
        <v>2772</v>
      </c>
      <c r="C1351" s="6" t="s">
        <v>43</v>
      </c>
      <c r="D1351" s="7" t="s">
        <v>69</v>
      </c>
      <c r="E1351" s="7" t="s">
        <v>20</v>
      </c>
      <c r="F1351" s="6" t="s">
        <v>70</v>
      </c>
      <c r="G1351" s="8">
        <v>433180</v>
      </c>
      <c r="H1351" s="8">
        <v>66459</v>
      </c>
      <c r="I1351" s="8">
        <v>52617</v>
      </c>
      <c r="J1351" s="8">
        <v>1618</v>
      </c>
      <c r="K1351" s="8">
        <v>158</v>
      </c>
      <c r="L1351" s="8">
        <v>228</v>
      </c>
      <c r="M1351" s="8">
        <v>37</v>
      </c>
      <c r="N1351" s="8">
        <v>1146</v>
      </c>
      <c r="O1351" s="9">
        <f t="shared" si="21"/>
        <v>3.8789744759298327E-2</v>
      </c>
      <c r="P1351" s="6" t="s">
        <v>22</v>
      </c>
    </row>
    <row r="1352" spans="1:16" x14ac:dyDescent="0.25">
      <c r="A1352" s="2" t="s">
        <v>2773</v>
      </c>
      <c r="B1352" s="2" t="s">
        <v>2774</v>
      </c>
      <c r="C1352" s="2" t="s">
        <v>43</v>
      </c>
      <c r="D1352" s="3" t="s">
        <v>44</v>
      </c>
      <c r="E1352" s="3" t="s">
        <v>27</v>
      </c>
      <c r="F1352" s="2" t="s">
        <v>107</v>
      </c>
      <c r="G1352" s="4">
        <v>635003</v>
      </c>
      <c r="H1352" s="4">
        <v>316478</v>
      </c>
      <c r="I1352" s="4">
        <v>236527</v>
      </c>
      <c r="J1352" s="4">
        <v>20599</v>
      </c>
      <c r="K1352" s="4">
        <v>2888</v>
      </c>
      <c r="L1352" s="4">
        <v>2728</v>
      </c>
      <c r="M1352" s="4">
        <v>25</v>
      </c>
      <c r="N1352" s="4">
        <v>6861</v>
      </c>
      <c r="O1352" s="5">
        <f t="shared" si="21"/>
        <v>0.11093870890004101</v>
      </c>
      <c r="P1352" s="2" t="s">
        <v>22</v>
      </c>
    </row>
    <row r="1353" spans="1:16" x14ac:dyDescent="0.25">
      <c r="A1353" s="6" t="s">
        <v>2775</v>
      </c>
      <c r="B1353" s="6" t="s">
        <v>2776</v>
      </c>
      <c r="C1353" s="6" t="s">
        <v>18</v>
      </c>
      <c r="D1353" s="7" t="s">
        <v>57</v>
      </c>
      <c r="E1353" s="7" t="s">
        <v>34</v>
      </c>
      <c r="F1353" s="6" t="s">
        <v>58</v>
      </c>
      <c r="G1353" s="8">
        <v>129816</v>
      </c>
      <c r="H1353" s="8">
        <v>49246</v>
      </c>
      <c r="I1353" s="8">
        <v>40141</v>
      </c>
      <c r="J1353" s="8">
        <v>3546</v>
      </c>
      <c r="K1353" s="8">
        <v>240</v>
      </c>
      <c r="L1353" s="8">
        <v>351</v>
      </c>
      <c r="M1353" s="8">
        <v>352</v>
      </c>
      <c r="N1353" s="8">
        <v>729</v>
      </c>
      <c r="O1353" s="9">
        <f t="shared" si="21"/>
        <v>0.11183079644254004</v>
      </c>
      <c r="P1353" s="6" t="s">
        <v>29</v>
      </c>
    </row>
    <row r="1354" spans="1:16" x14ac:dyDescent="0.25">
      <c r="A1354" s="2" t="s">
        <v>2777</v>
      </c>
      <c r="B1354" s="2" t="s">
        <v>2778</v>
      </c>
      <c r="C1354" s="2" t="s">
        <v>76</v>
      </c>
      <c r="D1354" s="3" t="s">
        <v>86</v>
      </c>
      <c r="E1354" s="3" t="s">
        <v>20</v>
      </c>
      <c r="F1354" s="2" t="s">
        <v>104</v>
      </c>
      <c r="G1354" s="4">
        <v>12821</v>
      </c>
      <c r="H1354" s="4">
        <v>70972</v>
      </c>
      <c r="I1354" s="4">
        <v>54325</v>
      </c>
      <c r="J1354" s="4">
        <v>4197</v>
      </c>
      <c r="K1354" s="4">
        <v>540</v>
      </c>
      <c r="L1354" s="4">
        <v>338</v>
      </c>
      <c r="M1354" s="4">
        <v>544</v>
      </c>
      <c r="N1354" s="4">
        <v>2143</v>
      </c>
      <c r="O1354" s="5">
        <f t="shared" si="21"/>
        <v>0.10343304187758859</v>
      </c>
      <c r="P1354" s="2" t="s">
        <v>29</v>
      </c>
    </row>
    <row r="1355" spans="1:16" x14ac:dyDescent="0.25">
      <c r="A1355" s="6" t="s">
        <v>2779</v>
      </c>
      <c r="B1355" s="6" t="s">
        <v>2780</v>
      </c>
      <c r="C1355" s="6" t="s">
        <v>25</v>
      </c>
      <c r="D1355" s="7" t="s">
        <v>145</v>
      </c>
      <c r="E1355" s="7" t="s">
        <v>50</v>
      </c>
      <c r="F1355" s="6" t="s">
        <v>54</v>
      </c>
      <c r="G1355" s="8">
        <v>230803</v>
      </c>
      <c r="H1355" s="8">
        <v>20658</v>
      </c>
      <c r="I1355" s="8">
        <v>18148</v>
      </c>
      <c r="J1355" s="8">
        <v>1027</v>
      </c>
      <c r="K1355" s="8">
        <v>54</v>
      </c>
      <c r="L1355" s="8">
        <v>105</v>
      </c>
      <c r="M1355" s="8">
        <v>162</v>
      </c>
      <c r="N1355" s="8">
        <v>185</v>
      </c>
      <c r="O1355" s="9">
        <f t="shared" si="21"/>
        <v>7.4278157372713247E-2</v>
      </c>
      <c r="P1355" s="6" t="s">
        <v>22</v>
      </c>
    </row>
    <row r="1356" spans="1:16" x14ac:dyDescent="0.25">
      <c r="A1356" s="2" t="s">
        <v>2781</v>
      </c>
      <c r="B1356" s="2" t="s">
        <v>2782</v>
      </c>
      <c r="C1356" s="2" t="s">
        <v>32</v>
      </c>
      <c r="D1356" s="3" t="s">
        <v>38</v>
      </c>
      <c r="E1356" s="3" t="s">
        <v>20</v>
      </c>
      <c r="F1356" s="2" t="s">
        <v>51</v>
      </c>
      <c r="G1356" s="4">
        <v>313771</v>
      </c>
      <c r="H1356" s="4">
        <v>84033</v>
      </c>
      <c r="I1356" s="4">
        <v>70820</v>
      </c>
      <c r="J1356" s="4">
        <v>1961</v>
      </c>
      <c r="K1356" s="4">
        <v>112</v>
      </c>
      <c r="L1356" s="4">
        <v>125</v>
      </c>
      <c r="M1356" s="4">
        <v>14</v>
      </c>
      <c r="N1356" s="4">
        <v>498</v>
      </c>
      <c r="O1356" s="5">
        <f t="shared" si="21"/>
        <v>3.1234114656876588E-2</v>
      </c>
      <c r="P1356" s="2" t="s">
        <v>66</v>
      </c>
    </row>
    <row r="1357" spans="1:16" x14ac:dyDescent="0.25">
      <c r="A1357" s="6" t="s">
        <v>2783</v>
      </c>
      <c r="B1357" s="6" t="s">
        <v>2784</v>
      </c>
      <c r="C1357" s="6" t="s">
        <v>76</v>
      </c>
      <c r="D1357" s="7" t="s">
        <v>189</v>
      </c>
      <c r="E1357" s="7" t="s">
        <v>50</v>
      </c>
      <c r="F1357" s="6" t="s">
        <v>104</v>
      </c>
      <c r="G1357" s="8">
        <v>133679</v>
      </c>
      <c r="H1357" s="8">
        <v>54003</v>
      </c>
      <c r="I1357" s="8">
        <v>47030</v>
      </c>
      <c r="J1357" s="8">
        <v>4064</v>
      </c>
      <c r="K1357" s="8">
        <v>718</v>
      </c>
      <c r="L1357" s="8">
        <v>99</v>
      </c>
      <c r="M1357" s="8">
        <v>1006</v>
      </c>
      <c r="N1357" s="8">
        <v>869</v>
      </c>
      <c r="O1357" s="9">
        <f t="shared" si="21"/>
        <v>0.12517541994471615</v>
      </c>
      <c r="P1357" s="6" t="s">
        <v>22</v>
      </c>
    </row>
    <row r="1358" spans="1:16" x14ac:dyDescent="0.25">
      <c r="A1358" s="2" t="s">
        <v>2785</v>
      </c>
      <c r="B1358" s="2" t="s">
        <v>2786</v>
      </c>
      <c r="C1358" s="2" t="s">
        <v>18</v>
      </c>
      <c r="D1358" s="3" t="s">
        <v>19</v>
      </c>
      <c r="E1358" s="3" t="s">
        <v>45</v>
      </c>
      <c r="F1358" s="2" t="s">
        <v>21</v>
      </c>
      <c r="G1358" s="4">
        <v>472859</v>
      </c>
      <c r="H1358" s="4">
        <v>148077</v>
      </c>
      <c r="I1358" s="4">
        <v>117681</v>
      </c>
      <c r="J1358" s="4">
        <v>5921</v>
      </c>
      <c r="K1358" s="4">
        <v>604</v>
      </c>
      <c r="L1358" s="4">
        <v>701</v>
      </c>
      <c r="M1358" s="4">
        <v>1067</v>
      </c>
      <c r="N1358" s="4">
        <v>3994</v>
      </c>
      <c r="O1358" s="5">
        <f t="shared" si="21"/>
        <v>7.0470169356140755E-2</v>
      </c>
      <c r="P1358" s="2" t="s">
        <v>66</v>
      </c>
    </row>
    <row r="1359" spans="1:16" x14ac:dyDescent="0.25">
      <c r="A1359" s="6" t="s">
        <v>2787</v>
      </c>
      <c r="B1359" s="6" t="s">
        <v>2788</v>
      </c>
      <c r="C1359" s="6" t="s">
        <v>18</v>
      </c>
      <c r="D1359" s="7" t="s">
        <v>57</v>
      </c>
      <c r="E1359" s="7" t="s">
        <v>50</v>
      </c>
      <c r="F1359" s="6" t="s">
        <v>21</v>
      </c>
      <c r="G1359" s="8">
        <v>747850</v>
      </c>
      <c r="H1359" s="8">
        <v>155969</v>
      </c>
      <c r="I1359" s="8">
        <v>131709</v>
      </c>
      <c r="J1359" s="8">
        <v>7631</v>
      </c>
      <c r="K1359" s="8">
        <v>937</v>
      </c>
      <c r="L1359" s="8">
        <v>996</v>
      </c>
      <c r="M1359" s="8">
        <v>529</v>
      </c>
      <c r="N1359" s="8">
        <v>1022</v>
      </c>
      <c r="O1359" s="9">
        <f t="shared" si="21"/>
        <v>7.66310578624088E-2</v>
      </c>
      <c r="P1359" s="6" t="s">
        <v>22</v>
      </c>
    </row>
    <row r="1360" spans="1:16" x14ac:dyDescent="0.25">
      <c r="A1360" s="2" t="s">
        <v>2789</v>
      </c>
      <c r="B1360" s="2" t="s">
        <v>2790</v>
      </c>
      <c r="C1360" s="2" t="s">
        <v>32</v>
      </c>
      <c r="D1360" s="3" t="s">
        <v>38</v>
      </c>
      <c r="E1360" s="3" t="s">
        <v>34</v>
      </c>
      <c r="F1360" s="2" t="s">
        <v>51</v>
      </c>
      <c r="G1360" s="4">
        <v>441899</v>
      </c>
      <c r="H1360" s="4">
        <v>180335</v>
      </c>
      <c r="I1360" s="4">
        <v>133349</v>
      </c>
      <c r="J1360" s="4">
        <v>4093</v>
      </c>
      <c r="K1360" s="4">
        <v>549</v>
      </c>
      <c r="L1360" s="4">
        <v>525</v>
      </c>
      <c r="M1360" s="4">
        <v>47</v>
      </c>
      <c r="N1360" s="4">
        <v>5423</v>
      </c>
      <c r="O1360" s="5">
        <f t="shared" si="21"/>
        <v>3.9100405702329977E-2</v>
      </c>
      <c r="P1360" s="2" t="s">
        <v>22</v>
      </c>
    </row>
    <row r="1361" spans="1:16" x14ac:dyDescent="0.25">
      <c r="A1361" s="6" t="s">
        <v>2791</v>
      </c>
      <c r="B1361" s="6" t="s">
        <v>2792</v>
      </c>
      <c r="C1361" s="6" t="s">
        <v>32</v>
      </c>
      <c r="D1361" s="7" t="s">
        <v>49</v>
      </c>
      <c r="E1361" s="7" t="s">
        <v>20</v>
      </c>
      <c r="F1361" s="6" t="s">
        <v>35</v>
      </c>
      <c r="G1361" s="8">
        <v>44773</v>
      </c>
      <c r="H1361" s="8">
        <v>22256</v>
      </c>
      <c r="I1361" s="8">
        <v>17018</v>
      </c>
      <c r="J1361" s="8">
        <v>1775</v>
      </c>
      <c r="K1361" s="8">
        <v>126</v>
      </c>
      <c r="L1361" s="8">
        <v>139</v>
      </c>
      <c r="M1361" s="8">
        <v>35</v>
      </c>
      <c r="N1361" s="8">
        <v>517</v>
      </c>
      <c r="O1361" s="9">
        <f t="shared" si="21"/>
        <v>0.12192972147138324</v>
      </c>
      <c r="P1361" s="6" t="s">
        <v>29</v>
      </c>
    </row>
    <row r="1362" spans="1:16" x14ac:dyDescent="0.25">
      <c r="A1362" s="2" t="s">
        <v>2793</v>
      </c>
      <c r="B1362" s="2" t="s">
        <v>2794</v>
      </c>
      <c r="C1362" s="2" t="s">
        <v>43</v>
      </c>
      <c r="D1362" s="3" t="s">
        <v>69</v>
      </c>
      <c r="E1362" s="3" t="s">
        <v>20</v>
      </c>
      <c r="F1362" s="2" t="s">
        <v>70</v>
      </c>
      <c r="G1362" s="4">
        <v>333025</v>
      </c>
      <c r="H1362" s="4">
        <v>201850</v>
      </c>
      <c r="I1362" s="4">
        <v>172017</v>
      </c>
      <c r="J1362" s="4">
        <v>9734</v>
      </c>
      <c r="K1362" s="4">
        <v>761</v>
      </c>
      <c r="L1362" s="4">
        <v>1178</v>
      </c>
      <c r="M1362" s="4">
        <v>38</v>
      </c>
      <c r="N1362" s="4">
        <v>1440</v>
      </c>
      <c r="O1362" s="5">
        <f t="shared" si="21"/>
        <v>6.8080480417633135E-2</v>
      </c>
      <c r="P1362" s="2" t="s">
        <v>22</v>
      </c>
    </row>
    <row r="1363" spans="1:16" x14ac:dyDescent="0.25">
      <c r="A1363" s="6" t="s">
        <v>2795</v>
      </c>
      <c r="B1363" s="6" t="s">
        <v>2796</v>
      </c>
      <c r="C1363" s="6" t="s">
        <v>18</v>
      </c>
      <c r="D1363" s="7" t="s">
        <v>226</v>
      </c>
      <c r="E1363" s="7" t="s">
        <v>39</v>
      </c>
      <c r="F1363" s="6" t="s">
        <v>73</v>
      </c>
      <c r="G1363" s="8">
        <v>252996</v>
      </c>
      <c r="H1363" s="8">
        <v>44244</v>
      </c>
      <c r="I1363" s="8">
        <v>36743</v>
      </c>
      <c r="J1363" s="8">
        <v>1093</v>
      </c>
      <c r="K1363" s="8">
        <v>90</v>
      </c>
      <c r="L1363" s="8">
        <v>49</v>
      </c>
      <c r="M1363" s="8">
        <v>110</v>
      </c>
      <c r="N1363" s="8">
        <v>1024</v>
      </c>
      <c r="O1363" s="9">
        <f t="shared" si="21"/>
        <v>3.6523963748196935E-2</v>
      </c>
      <c r="P1363" s="6" t="s">
        <v>22</v>
      </c>
    </row>
    <row r="1364" spans="1:16" x14ac:dyDescent="0.25">
      <c r="A1364" s="2" t="s">
        <v>2797</v>
      </c>
      <c r="B1364" s="2" t="s">
        <v>2798</v>
      </c>
      <c r="C1364" s="2" t="s">
        <v>18</v>
      </c>
      <c r="D1364" s="3" t="s">
        <v>231</v>
      </c>
      <c r="E1364" s="3" t="s">
        <v>27</v>
      </c>
      <c r="F1364" s="2" t="s">
        <v>73</v>
      </c>
      <c r="G1364" s="4">
        <v>85393</v>
      </c>
      <c r="H1364" s="4">
        <v>46148</v>
      </c>
      <c r="I1364" s="4">
        <v>41392</v>
      </c>
      <c r="J1364" s="4">
        <v>2174</v>
      </c>
      <c r="K1364" s="4">
        <v>153</v>
      </c>
      <c r="L1364" s="4">
        <v>269</v>
      </c>
      <c r="M1364" s="4">
        <v>279</v>
      </c>
      <c r="N1364" s="4">
        <v>737</v>
      </c>
      <c r="O1364" s="5">
        <f t="shared" si="21"/>
        <v>6.945786625434866E-2</v>
      </c>
      <c r="P1364" s="2" t="s">
        <v>29</v>
      </c>
    </row>
    <row r="1365" spans="1:16" x14ac:dyDescent="0.25">
      <c r="A1365" s="6" t="s">
        <v>2799</v>
      </c>
      <c r="B1365" s="6" t="s">
        <v>2800</v>
      </c>
      <c r="C1365" s="6" t="s">
        <v>32</v>
      </c>
      <c r="D1365" s="7" t="s">
        <v>121</v>
      </c>
      <c r="E1365" s="7" t="s">
        <v>34</v>
      </c>
      <c r="F1365" s="6" t="s">
        <v>128</v>
      </c>
      <c r="G1365" s="8">
        <v>301403</v>
      </c>
      <c r="H1365" s="8">
        <v>785526</v>
      </c>
      <c r="I1365" s="8">
        <v>688321</v>
      </c>
      <c r="J1365" s="8">
        <v>49495</v>
      </c>
      <c r="K1365" s="8">
        <v>3852</v>
      </c>
      <c r="L1365" s="8">
        <v>2995</v>
      </c>
      <c r="M1365" s="8">
        <v>34</v>
      </c>
      <c r="N1365" s="8">
        <v>10438</v>
      </c>
      <c r="O1365" s="9">
        <f t="shared" si="21"/>
        <v>8.1903646699722943E-2</v>
      </c>
      <c r="P1365" s="6" t="s">
        <v>22</v>
      </c>
    </row>
    <row r="1366" spans="1:16" x14ac:dyDescent="0.25">
      <c r="A1366" s="2" t="s">
        <v>2801</v>
      </c>
      <c r="B1366" s="2" t="s">
        <v>2802</v>
      </c>
      <c r="C1366" s="2" t="s">
        <v>43</v>
      </c>
      <c r="D1366" s="3" t="s">
        <v>44</v>
      </c>
      <c r="E1366" s="3" t="s">
        <v>20</v>
      </c>
      <c r="F1366" s="2" t="s">
        <v>70</v>
      </c>
      <c r="G1366" s="4">
        <v>845840</v>
      </c>
      <c r="H1366" s="4">
        <v>395983</v>
      </c>
      <c r="I1366" s="4">
        <v>310520</v>
      </c>
      <c r="J1366" s="4">
        <v>26189</v>
      </c>
      <c r="K1366" s="4">
        <v>3799</v>
      </c>
      <c r="L1366" s="4">
        <v>3037</v>
      </c>
      <c r="M1366" s="4">
        <v>2</v>
      </c>
      <c r="N1366" s="4">
        <v>4813</v>
      </c>
      <c r="O1366" s="5">
        <f t="shared" si="21"/>
        <v>0.106360298853536</v>
      </c>
      <c r="P1366" s="2" t="s">
        <v>22</v>
      </c>
    </row>
    <row r="1367" spans="1:16" x14ac:dyDescent="0.25">
      <c r="A1367" s="6" t="s">
        <v>2803</v>
      </c>
      <c r="B1367" s="6" t="s">
        <v>2804</v>
      </c>
      <c r="C1367" s="6" t="s">
        <v>18</v>
      </c>
      <c r="D1367" s="7" t="s">
        <v>226</v>
      </c>
      <c r="E1367" s="7" t="s">
        <v>45</v>
      </c>
      <c r="F1367" s="6" t="s">
        <v>58</v>
      </c>
      <c r="G1367" s="8">
        <v>562626</v>
      </c>
      <c r="H1367" s="8">
        <v>93612</v>
      </c>
      <c r="I1367" s="8">
        <v>68770</v>
      </c>
      <c r="J1367" s="8">
        <v>5791</v>
      </c>
      <c r="K1367" s="8">
        <v>252</v>
      </c>
      <c r="L1367" s="8">
        <v>794</v>
      </c>
      <c r="M1367" s="8">
        <v>616</v>
      </c>
      <c r="N1367" s="8">
        <v>1696</v>
      </c>
      <c r="O1367" s="9">
        <f t="shared" si="21"/>
        <v>0.10837574523774902</v>
      </c>
      <c r="P1367" s="6" t="s">
        <v>29</v>
      </c>
    </row>
    <row r="1368" spans="1:16" x14ac:dyDescent="0.25">
      <c r="A1368" s="2" t="s">
        <v>2805</v>
      </c>
      <c r="B1368" s="2" t="s">
        <v>2806</v>
      </c>
      <c r="C1368" s="2" t="s">
        <v>18</v>
      </c>
      <c r="D1368" s="3" t="s">
        <v>57</v>
      </c>
      <c r="E1368" s="3" t="s">
        <v>20</v>
      </c>
      <c r="F1368" s="2" t="s">
        <v>21</v>
      </c>
      <c r="G1368" s="4">
        <v>60689</v>
      </c>
      <c r="H1368" s="4">
        <v>25780</v>
      </c>
      <c r="I1368" s="4">
        <v>19747</v>
      </c>
      <c r="J1368" s="4">
        <v>1830</v>
      </c>
      <c r="K1368" s="4">
        <v>193</v>
      </c>
      <c r="L1368" s="4">
        <v>157</v>
      </c>
      <c r="M1368" s="4">
        <v>111</v>
      </c>
      <c r="N1368" s="4">
        <v>723</v>
      </c>
      <c r="O1368" s="5">
        <f t="shared" si="21"/>
        <v>0.11601762293006533</v>
      </c>
      <c r="P1368" s="2" t="s">
        <v>22</v>
      </c>
    </row>
    <row r="1369" spans="1:16" x14ac:dyDescent="0.25">
      <c r="A1369" s="6" t="s">
        <v>2807</v>
      </c>
      <c r="B1369" s="6" t="s">
        <v>2808</v>
      </c>
      <c r="C1369" s="6" t="s">
        <v>43</v>
      </c>
      <c r="D1369" s="7" t="s">
        <v>69</v>
      </c>
      <c r="E1369" s="7" t="s">
        <v>34</v>
      </c>
      <c r="F1369" s="6" t="s">
        <v>107</v>
      </c>
      <c r="G1369" s="8">
        <v>178857</v>
      </c>
      <c r="H1369" s="8">
        <v>83582</v>
      </c>
      <c r="I1369" s="8">
        <v>69530</v>
      </c>
      <c r="J1369" s="8">
        <v>4756</v>
      </c>
      <c r="K1369" s="8">
        <v>528</v>
      </c>
      <c r="L1369" s="8">
        <v>542</v>
      </c>
      <c r="M1369" s="8">
        <v>44</v>
      </c>
      <c r="N1369" s="8">
        <v>1995</v>
      </c>
      <c r="O1369" s="9">
        <f t="shared" si="21"/>
        <v>8.4423989644757655E-2</v>
      </c>
      <c r="P1369" s="6" t="s">
        <v>66</v>
      </c>
    </row>
    <row r="1370" spans="1:16" x14ac:dyDescent="0.25">
      <c r="A1370" s="2" t="s">
        <v>2809</v>
      </c>
      <c r="B1370" s="2" t="s">
        <v>2810</v>
      </c>
      <c r="C1370" s="2" t="s">
        <v>25</v>
      </c>
      <c r="D1370" s="3" t="s">
        <v>64</v>
      </c>
      <c r="E1370" s="3" t="s">
        <v>39</v>
      </c>
      <c r="F1370" s="2" t="s">
        <v>65</v>
      </c>
      <c r="G1370" s="4">
        <v>107630</v>
      </c>
      <c r="H1370" s="4">
        <v>41561</v>
      </c>
      <c r="I1370" s="4">
        <v>32187</v>
      </c>
      <c r="J1370" s="4">
        <v>948</v>
      </c>
      <c r="K1370" s="4">
        <v>51</v>
      </c>
      <c r="L1370" s="4">
        <v>68</v>
      </c>
      <c r="M1370" s="4">
        <v>82</v>
      </c>
      <c r="N1370" s="4">
        <v>356</v>
      </c>
      <c r="O1370" s="5">
        <f t="shared" si="21"/>
        <v>3.569764190511697E-2</v>
      </c>
      <c r="P1370" s="2" t="s">
        <v>22</v>
      </c>
    </row>
    <row r="1371" spans="1:16" x14ac:dyDescent="0.25">
      <c r="A1371" s="6" t="s">
        <v>2811</v>
      </c>
      <c r="B1371" s="6" t="s">
        <v>2812</v>
      </c>
      <c r="C1371" s="6" t="s">
        <v>25</v>
      </c>
      <c r="D1371" s="7" t="s">
        <v>64</v>
      </c>
      <c r="E1371" s="7" t="s">
        <v>34</v>
      </c>
      <c r="F1371" s="6" t="s">
        <v>28</v>
      </c>
      <c r="G1371" s="8">
        <v>239363</v>
      </c>
      <c r="H1371" s="8">
        <v>83326</v>
      </c>
      <c r="I1371" s="8">
        <v>67054</v>
      </c>
      <c r="J1371" s="8">
        <v>6425</v>
      </c>
      <c r="K1371" s="8">
        <v>542</v>
      </c>
      <c r="L1371" s="8">
        <v>361</v>
      </c>
      <c r="M1371" s="8">
        <v>938</v>
      </c>
      <c r="N1371" s="8">
        <v>2162</v>
      </c>
      <c r="O1371" s="9">
        <f t="shared" si="21"/>
        <v>0.12327377934202284</v>
      </c>
      <c r="P1371" s="6" t="s">
        <v>29</v>
      </c>
    </row>
    <row r="1372" spans="1:16" x14ac:dyDescent="0.25">
      <c r="A1372" s="2" t="s">
        <v>2813</v>
      </c>
      <c r="B1372" s="2" t="s">
        <v>2814</v>
      </c>
      <c r="C1372" s="2" t="s">
        <v>25</v>
      </c>
      <c r="D1372" s="3" t="s">
        <v>64</v>
      </c>
      <c r="E1372" s="3" t="s">
        <v>34</v>
      </c>
      <c r="F1372" s="2" t="s">
        <v>65</v>
      </c>
      <c r="G1372" s="4">
        <v>789681</v>
      </c>
      <c r="H1372" s="4">
        <v>238901</v>
      </c>
      <c r="I1372" s="4">
        <v>210479</v>
      </c>
      <c r="J1372" s="4">
        <v>12981</v>
      </c>
      <c r="K1372" s="4">
        <v>1809</v>
      </c>
      <c r="L1372" s="4">
        <v>1232</v>
      </c>
      <c r="M1372" s="4">
        <v>1742</v>
      </c>
      <c r="N1372" s="4">
        <v>6875</v>
      </c>
      <c r="O1372" s="5">
        <f t="shared" si="21"/>
        <v>8.4397968443407662E-2</v>
      </c>
      <c r="P1372" s="2" t="s">
        <v>29</v>
      </c>
    </row>
    <row r="1373" spans="1:16" x14ac:dyDescent="0.25">
      <c r="A1373" s="6" t="s">
        <v>2815</v>
      </c>
      <c r="B1373" s="6" t="s">
        <v>2816</v>
      </c>
      <c r="C1373" s="6" t="s">
        <v>25</v>
      </c>
      <c r="D1373" s="7" t="s">
        <v>64</v>
      </c>
      <c r="E1373" s="7" t="s">
        <v>50</v>
      </c>
      <c r="F1373" s="6" t="s">
        <v>65</v>
      </c>
      <c r="G1373" s="8">
        <v>5410</v>
      </c>
      <c r="H1373" s="8">
        <v>3443</v>
      </c>
      <c r="I1373" s="8">
        <v>2977</v>
      </c>
      <c r="J1373" s="8">
        <v>84</v>
      </c>
      <c r="K1373" s="8">
        <v>9</v>
      </c>
      <c r="L1373" s="8">
        <v>1</v>
      </c>
      <c r="M1373" s="8">
        <v>10</v>
      </c>
      <c r="N1373" s="8">
        <v>101</v>
      </c>
      <c r="O1373" s="9">
        <f t="shared" si="21"/>
        <v>3.4934497816593885E-2</v>
      </c>
      <c r="P1373" s="6" t="s">
        <v>66</v>
      </c>
    </row>
    <row r="1374" spans="1:16" x14ac:dyDescent="0.25">
      <c r="A1374" s="2" t="s">
        <v>2817</v>
      </c>
      <c r="B1374" s="2" t="s">
        <v>2818</v>
      </c>
      <c r="C1374" s="2" t="s">
        <v>43</v>
      </c>
      <c r="D1374" s="3" t="s">
        <v>69</v>
      </c>
      <c r="E1374" s="3" t="s">
        <v>34</v>
      </c>
      <c r="F1374" s="2" t="s">
        <v>46</v>
      </c>
      <c r="G1374" s="4">
        <v>56851</v>
      </c>
      <c r="H1374" s="4">
        <v>5893</v>
      </c>
      <c r="I1374" s="4">
        <v>4434</v>
      </c>
      <c r="J1374" s="4">
        <v>411</v>
      </c>
      <c r="K1374" s="4">
        <v>35</v>
      </c>
      <c r="L1374" s="4">
        <v>15</v>
      </c>
      <c r="M1374" s="4">
        <v>33</v>
      </c>
      <c r="N1374" s="4">
        <v>186</v>
      </c>
      <c r="O1374" s="5">
        <f t="shared" si="21"/>
        <v>0.11141181777176365</v>
      </c>
      <c r="P1374" s="2" t="s">
        <v>22</v>
      </c>
    </row>
    <row r="1375" spans="1:16" x14ac:dyDescent="0.25">
      <c r="A1375" s="6" t="s">
        <v>2819</v>
      </c>
      <c r="B1375" s="6" t="s">
        <v>2820</v>
      </c>
      <c r="C1375" s="6" t="s">
        <v>76</v>
      </c>
      <c r="D1375" s="7" t="s">
        <v>189</v>
      </c>
      <c r="E1375" s="7" t="s">
        <v>27</v>
      </c>
      <c r="F1375" s="6" t="s">
        <v>87</v>
      </c>
      <c r="G1375" s="8">
        <v>13980</v>
      </c>
      <c r="H1375" s="8">
        <v>5793</v>
      </c>
      <c r="I1375" s="8">
        <v>4205</v>
      </c>
      <c r="J1375" s="8">
        <v>173</v>
      </c>
      <c r="K1375" s="8">
        <v>26</v>
      </c>
      <c r="L1375" s="8">
        <v>8</v>
      </c>
      <c r="M1375" s="8">
        <v>9</v>
      </c>
      <c r="N1375" s="8">
        <v>92</v>
      </c>
      <c r="O1375" s="9">
        <f t="shared" si="21"/>
        <v>5.136741973840666E-2</v>
      </c>
      <c r="P1375" s="6" t="s">
        <v>22</v>
      </c>
    </row>
    <row r="1376" spans="1:16" x14ac:dyDescent="0.25">
      <c r="A1376" s="2" t="s">
        <v>2821</v>
      </c>
      <c r="B1376" s="2" t="s">
        <v>2822</v>
      </c>
      <c r="C1376" s="2" t="s">
        <v>25</v>
      </c>
      <c r="D1376" s="3" t="s">
        <v>26</v>
      </c>
      <c r="E1376" s="3" t="s">
        <v>50</v>
      </c>
      <c r="F1376" s="2" t="s">
        <v>65</v>
      </c>
      <c r="G1376" s="4">
        <v>732428</v>
      </c>
      <c r="H1376" s="4">
        <v>155143</v>
      </c>
      <c r="I1376" s="4">
        <v>128207</v>
      </c>
      <c r="J1376" s="4">
        <v>10776</v>
      </c>
      <c r="K1376" s="4">
        <v>1889</v>
      </c>
      <c r="L1376" s="4">
        <v>273</v>
      </c>
      <c r="M1376" s="4">
        <v>1882</v>
      </c>
      <c r="N1376" s="4">
        <v>3258</v>
      </c>
      <c r="O1376" s="5">
        <f t="shared" si="21"/>
        <v>0.11559431232304009</v>
      </c>
      <c r="P1376" s="2" t="s">
        <v>22</v>
      </c>
    </row>
    <row r="1377" spans="1:16" x14ac:dyDescent="0.25">
      <c r="A1377" s="6" t="s">
        <v>2823</v>
      </c>
      <c r="B1377" s="6" t="s">
        <v>2824</v>
      </c>
      <c r="C1377" s="6" t="s">
        <v>32</v>
      </c>
      <c r="D1377" s="7" t="s">
        <v>38</v>
      </c>
      <c r="E1377" s="7" t="s">
        <v>45</v>
      </c>
      <c r="F1377" s="6" t="s">
        <v>40</v>
      </c>
      <c r="G1377" s="8">
        <v>272811</v>
      </c>
      <c r="H1377" s="8">
        <v>174447</v>
      </c>
      <c r="I1377" s="8">
        <v>158642</v>
      </c>
      <c r="J1377" s="8">
        <v>3947</v>
      </c>
      <c r="K1377" s="8">
        <v>287</v>
      </c>
      <c r="L1377" s="8">
        <v>364</v>
      </c>
      <c r="M1377" s="8">
        <v>38</v>
      </c>
      <c r="N1377" s="8">
        <v>2345</v>
      </c>
      <c r="O1377" s="9">
        <f t="shared" si="21"/>
        <v>2.9223030471123661E-2</v>
      </c>
      <c r="P1377" s="6" t="s">
        <v>22</v>
      </c>
    </row>
    <row r="1378" spans="1:16" x14ac:dyDescent="0.25">
      <c r="A1378" s="2" t="s">
        <v>2825</v>
      </c>
      <c r="B1378" s="2" t="s">
        <v>2826</v>
      </c>
      <c r="C1378" s="2" t="s">
        <v>76</v>
      </c>
      <c r="D1378" s="3" t="s">
        <v>189</v>
      </c>
      <c r="E1378" s="3" t="s">
        <v>34</v>
      </c>
      <c r="F1378" s="2" t="s">
        <v>87</v>
      </c>
      <c r="G1378" s="4">
        <v>755761</v>
      </c>
      <c r="H1378" s="4">
        <v>228160</v>
      </c>
      <c r="I1378" s="4">
        <v>177299</v>
      </c>
      <c r="J1378" s="4">
        <v>7456</v>
      </c>
      <c r="K1378" s="4">
        <v>1214</v>
      </c>
      <c r="L1378" s="4">
        <v>968</v>
      </c>
      <c r="M1378" s="4">
        <v>1509</v>
      </c>
      <c r="N1378" s="4">
        <v>3865</v>
      </c>
      <c r="O1378" s="5">
        <f t="shared" si="21"/>
        <v>6.2871194986999362E-2</v>
      </c>
      <c r="P1378" s="2" t="s">
        <v>22</v>
      </c>
    </row>
    <row r="1379" spans="1:16" x14ac:dyDescent="0.25">
      <c r="A1379" s="6" t="s">
        <v>2827</v>
      </c>
      <c r="B1379" s="6" t="s">
        <v>2828</v>
      </c>
      <c r="C1379" s="6" t="s">
        <v>18</v>
      </c>
      <c r="D1379" s="7" t="s">
        <v>19</v>
      </c>
      <c r="E1379" s="7" t="s">
        <v>34</v>
      </c>
      <c r="F1379" s="6" t="s">
        <v>58</v>
      </c>
      <c r="G1379" s="8">
        <v>648979</v>
      </c>
      <c r="H1379" s="8">
        <v>168404</v>
      </c>
      <c r="I1379" s="8">
        <v>131957</v>
      </c>
      <c r="J1379" s="8">
        <v>5739</v>
      </c>
      <c r="K1379" s="8">
        <v>870</v>
      </c>
      <c r="L1379" s="8">
        <v>191</v>
      </c>
      <c r="M1379" s="8">
        <v>769</v>
      </c>
      <c r="N1379" s="8">
        <v>1546</v>
      </c>
      <c r="O1379" s="9">
        <f t="shared" si="21"/>
        <v>5.7359594413331619E-2</v>
      </c>
      <c r="P1379" s="6" t="s">
        <v>22</v>
      </c>
    </row>
    <row r="1380" spans="1:16" x14ac:dyDescent="0.25">
      <c r="A1380" s="2" t="s">
        <v>2829</v>
      </c>
      <c r="B1380" s="2" t="s">
        <v>2830</v>
      </c>
      <c r="C1380" s="2" t="s">
        <v>32</v>
      </c>
      <c r="D1380" s="3" t="s">
        <v>49</v>
      </c>
      <c r="E1380" s="3" t="s">
        <v>39</v>
      </c>
      <c r="F1380" s="2" t="s">
        <v>35</v>
      </c>
      <c r="G1380" s="4">
        <v>19314</v>
      </c>
      <c r="H1380" s="4">
        <v>5434</v>
      </c>
      <c r="I1380" s="4">
        <v>4241</v>
      </c>
      <c r="J1380" s="4">
        <v>227</v>
      </c>
      <c r="K1380" s="4">
        <v>9</v>
      </c>
      <c r="L1380" s="4">
        <v>32</v>
      </c>
      <c r="M1380" s="4">
        <v>43</v>
      </c>
      <c r="N1380" s="4">
        <v>27</v>
      </c>
      <c r="O1380" s="5">
        <f t="shared" si="21"/>
        <v>7.3331761377033719E-2</v>
      </c>
      <c r="P1380" s="2" t="s">
        <v>22</v>
      </c>
    </row>
    <row r="1381" spans="1:16" x14ac:dyDescent="0.25">
      <c r="A1381" s="6" t="s">
        <v>2831</v>
      </c>
      <c r="B1381" s="6" t="s">
        <v>2832</v>
      </c>
      <c r="C1381" s="6" t="s">
        <v>32</v>
      </c>
      <c r="D1381" s="7" t="s">
        <v>121</v>
      </c>
      <c r="E1381" s="7" t="s">
        <v>34</v>
      </c>
      <c r="F1381" s="6" t="s">
        <v>40</v>
      </c>
      <c r="G1381" s="8">
        <v>446306</v>
      </c>
      <c r="H1381" s="8">
        <v>169658</v>
      </c>
      <c r="I1381" s="8">
        <v>121068</v>
      </c>
      <c r="J1381" s="8">
        <v>4705</v>
      </c>
      <c r="K1381" s="8">
        <v>321</v>
      </c>
      <c r="L1381" s="8">
        <v>140</v>
      </c>
      <c r="M1381" s="8">
        <v>15</v>
      </c>
      <c r="N1381" s="8">
        <v>3854</v>
      </c>
      <c r="O1381" s="9">
        <f t="shared" si="21"/>
        <v>4.2794132223213398E-2</v>
      </c>
      <c r="P1381" s="6" t="s">
        <v>22</v>
      </c>
    </row>
    <row r="1382" spans="1:16" x14ac:dyDescent="0.25">
      <c r="A1382" s="2" t="s">
        <v>2833</v>
      </c>
      <c r="B1382" s="2" t="s">
        <v>2834</v>
      </c>
      <c r="C1382" s="2" t="s">
        <v>32</v>
      </c>
      <c r="D1382" s="3" t="s">
        <v>38</v>
      </c>
      <c r="E1382" s="3" t="s">
        <v>45</v>
      </c>
      <c r="F1382" s="2" t="s">
        <v>40</v>
      </c>
      <c r="G1382" s="4">
        <v>226679</v>
      </c>
      <c r="H1382" s="4">
        <v>123005</v>
      </c>
      <c r="I1382" s="4">
        <v>111513</v>
      </c>
      <c r="J1382" s="4">
        <v>9234</v>
      </c>
      <c r="K1382" s="4">
        <v>1085</v>
      </c>
      <c r="L1382" s="4">
        <v>567</v>
      </c>
      <c r="M1382" s="4">
        <v>29</v>
      </c>
      <c r="N1382" s="4">
        <v>1069</v>
      </c>
      <c r="O1382" s="5">
        <f t="shared" si="21"/>
        <v>9.7880964551218239E-2</v>
      </c>
      <c r="P1382" s="2" t="s">
        <v>66</v>
      </c>
    </row>
    <row r="1383" spans="1:16" x14ac:dyDescent="0.25">
      <c r="A1383" s="6" t="s">
        <v>2835</v>
      </c>
      <c r="B1383" s="6" t="s">
        <v>2836</v>
      </c>
      <c r="C1383" s="6" t="s">
        <v>43</v>
      </c>
      <c r="D1383" s="7" t="s">
        <v>172</v>
      </c>
      <c r="E1383" s="7" t="s">
        <v>39</v>
      </c>
      <c r="F1383" s="6" t="s">
        <v>46</v>
      </c>
      <c r="G1383" s="8">
        <v>782215</v>
      </c>
      <c r="H1383" s="8">
        <v>440495</v>
      </c>
      <c r="I1383" s="8">
        <v>364625</v>
      </c>
      <c r="J1383" s="8">
        <v>20166</v>
      </c>
      <c r="K1383" s="8">
        <v>1779</v>
      </c>
      <c r="L1383" s="8">
        <v>725</v>
      </c>
      <c r="M1383" s="8">
        <v>15</v>
      </c>
      <c r="N1383" s="8">
        <v>4776</v>
      </c>
      <c r="O1383" s="9">
        <f t="shared" si="21"/>
        <v>6.2214604045251969E-2</v>
      </c>
      <c r="P1383" s="6" t="s">
        <v>22</v>
      </c>
    </row>
    <row r="1384" spans="1:16" x14ac:dyDescent="0.25">
      <c r="A1384" s="2" t="s">
        <v>2837</v>
      </c>
      <c r="B1384" s="2" t="s">
        <v>2838</v>
      </c>
      <c r="C1384" s="2" t="s">
        <v>43</v>
      </c>
      <c r="D1384" s="3" t="s">
        <v>69</v>
      </c>
      <c r="E1384" s="3" t="s">
        <v>39</v>
      </c>
      <c r="F1384" s="2" t="s">
        <v>107</v>
      </c>
      <c r="G1384" s="4">
        <v>9751</v>
      </c>
      <c r="H1384" s="4">
        <v>3385</v>
      </c>
      <c r="I1384" s="4">
        <v>2507</v>
      </c>
      <c r="J1384" s="4">
        <v>117</v>
      </c>
      <c r="K1384" s="4">
        <v>16</v>
      </c>
      <c r="L1384" s="4">
        <v>9</v>
      </c>
      <c r="M1384" s="4">
        <v>30</v>
      </c>
      <c r="N1384" s="4">
        <v>98</v>
      </c>
      <c r="O1384" s="5">
        <f t="shared" si="21"/>
        <v>6.8607897885919422E-2</v>
      </c>
      <c r="P1384" s="2" t="s">
        <v>22</v>
      </c>
    </row>
    <row r="1385" spans="1:16" x14ac:dyDescent="0.25">
      <c r="A1385" s="6" t="s">
        <v>2839</v>
      </c>
      <c r="B1385" s="6" t="s">
        <v>2840</v>
      </c>
      <c r="C1385" s="6" t="s">
        <v>76</v>
      </c>
      <c r="D1385" s="7" t="s">
        <v>189</v>
      </c>
      <c r="E1385" s="7" t="s">
        <v>20</v>
      </c>
      <c r="F1385" s="6" t="s">
        <v>155</v>
      </c>
      <c r="G1385" s="8">
        <v>29273</v>
      </c>
      <c r="H1385" s="8">
        <v>9558</v>
      </c>
      <c r="I1385" s="8">
        <v>7146</v>
      </c>
      <c r="J1385" s="8">
        <v>678</v>
      </c>
      <c r="K1385" s="8">
        <v>34</v>
      </c>
      <c r="L1385" s="8">
        <v>75</v>
      </c>
      <c r="M1385" s="8">
        <v>128</v>
      </c>
      <c r="N1385" s="8">
        <v>108</v>
      </c>
      <c r="O1385" s="9">
        <f t="shared" si="21"/>
        <v>0.12804366078925272</v>
      </c>
      <c r="P1385" s="6" t="s">
        <v>29</v>
      </c>
    </row>
    <row r="1386" spans="1:16" x14ac:dyDescent="0.25">
      <c r="A1386" s="2" t="s">
        <v>2841</v>
      </c>
      <c r="B1386" s="2" t="s">
        <v>2842</v>
      </c>
      <c r="C1386" s="2" t="s">
        <v>18</v>
      </c>
      <c r="D1386" s="3" t="s">
        <v>231</v>
      </c>
      <c r="E1386" s="3" t="s">
        <v>34</v>
      </c>
      <c r="F1386" s="2" t="s">
        <v>21</v>
      </c>
      <c r="G1386" s="4">
        <v>590406</v>
      </c>
      <c r="H1386" s="4">
        <v>155649</v>
      </c>
      <c r="I1386" s="4">
        <v>114565</v>
      </c>
      <c r="J1386" s="4">
        <v>6799</v>
      </c>
      <c r="K1386" s="4">
        <v>1023</v>
      </c>
      <c r="L1386" s="4">
        <v>988</v>
      </c>
      <c r="M1386" s="4">
        <v>851</v>
      </c>
      <c r="N1386" s="4">
        <v>4791</v>
      </c>
      <c r="O1386" s="5">
        <f t="shared" si="21"/>
        <v>8.4327674246061191E-2</v>
      </c>
      <c r="P1386" s="2" t="s">
        <v>29</v>
      </c>
    </row>
    <row r="1387" spans="1:16" x14ac:dyDescent="0.25">
      <c r="A1387" s="6" t="s">
        <v>2843</v>
      </c>
      <c r="B1387" s="6" t="s">
        <v>2844</v>
      </c>
      <c r="C1387" s="6" t="s">
        <v>25</v>
      </c>
      <c r="D1387" s="7" t="s">
        <v>61</v>
      </c>
      <c r="E1387" s="7" t="s">
        <v>45</v>
      </c>
      <c r="F1387" s="6" t="s">
        <v>146</v>
      </c>
      <c r="G1387" s="8">
        <v>237207</v>
      </c>
      <c r="H1387" s="8">
        <v>136264</v>
      </c>
      <c r="I1387" s="8">
        <v>99602</v>
      </c>
      <c r="J1387" s="8">
        <v>3842</v>
      </c>
      <c r="K1387" s="8">
        <v>510</v>
      </c>
      <c r="L1387" s="8">
        <v>87</v>
      </c>
      <c r="M1387" s="8">
        <v>264</v>
      </c>
      <c r="N1387" s="8">
        <v>3496</v>
      </c>
      <c r="O1387" s="9">
        <f t="shared" si="21"/>
        <v>4.7217927350856406E-2</v>
      </c>
      <c r="P1387" s="6" t="s">
        <v>22</v>
      </c>
    </row>
    <row r="1388" spans="1:16" x14ac:dyDescent="0.25">
      <c r="A1388" s="2" t="s">
        <v>2845</v>
      </c>
      <c r="B1388" s="2" t="s">
        <v>2846</v>
      </c>
      <c r="C1388" s="2" t="s">
        <v>25</v>
      </c>
      <c r="D1388" s="3" t="s">
        <v>61</v>
      </c>
      <c r="E1388" s="3" t="s">
        <v>50</v>
      </c>
      <c r="F1388" s="2" t="s">
        <v>28</v>
      </c>
      <c r="G1388" s="4">
        <v>147518</v>
      </c>
      <c r="H1388" s="4">
        <v>36768</v>
      </c>
      <c r="I1388" s="4">
        <v>26308</v>
      </c>
      <c r="J1388" s="4">
        <v>2039</v>
      </c>
      <c r="K1388" s="4">
        <v>106</v>
      </c>
      <c r="L1388" s="4">
        <v>201</v>
      </c>
      <c r="M1388" s="4">
        <v>428</v>
      </c>
      <c r="N1388" s="4">
        <v>716</v>
      </c>
      <c r="O1388" s="5">
        <f t="shared" si="21"/>
        <v>0.10544321119051239</v>
      </c>
      <c r="P1388" s="2" t="s">
        <v>29</v>
      </c>
    </row>
    <row r="1389" spans="1:16" x14ac:dyDescent="0.25">
      <c r="A1389" s="6" t="s">
        <v>2847</v>
      </c>
      <c r="B1389" s="6" t="s">
        <v>2848</v>
      </c>
      <c r="C1389" s="6" t="s">
        <v>18</v>
      </c>
      <c r="D1389" s="7" t="s">
        <v>231</v>
      </c>
      <c r="E1389" s="7" t="s">
        <v>20</v>
      </c>
      <c r="F1389" s="6" t="s">
        <v>58</v>
      </c>
      <c r="G1389" s="8">
        <v>62875</v>
      </c>
      <c r="H1389" s="8">
        <v>20890</v>
      </c>
      <c r="I1389" s="8">
        <v>17235</v>
      </c>
      <c r="J1389" s="8">
        <v>1181</v>
      </c>
      <c r="K1389" s="8">
        <v>47</v>
      </c>
      <c r="L1389" s="8">
        <v>108</v>
      </c>
      <c r="M1389" s="8">
        <v>111</v>
      </c>
      <c r="N1389" s="8">
        <v>122</v>
      </c>
      <c r="O1389" s="9">
        <f t="shared" si="21"/>
        <v>8.3957064113722071E-2</v>
      </c>
      <c r="P1389" s="6" t="s">
        <v>29</v>
      </c>
    </row>
    <row r="1390" spans="1:16" x14ac:dyDescent="0.25">
      <c r="A1390" s="2" t="s">
        <v>2849</v>
      </c>
      <c r="B1390" s="2" t="s">
        <v>2850</v>
      </c>
      <c r="C1390" s="2" t="s">
        <v>25</v>
      </c>
      <c r="D1390" s="3" t="s">
        <v>64</v>
      </c>
      <c r="E1390" s="3" t="s">
        <v>39</v>
      </c>
      <c r="F1390" s="2" t="s">
        <v>146</v>
      </c>
      <c r="G1390" s="4">
        <v>137012</v>
      </c>
      <c r="H1390" s="4">
        <v>47466</v>
      </c>
      <c r="I1390" s="4">
        <v>35353</v>
      </c>
      <c r="J1390" s="4">
        <v>1164</v>
      </c>
      <c r="K1390" s="4">
        <v>189</v>
      </c>
      <c r="L1390" s="4">
        <v>99</v>
      </c>
      <c r="M1390" s="4">
        <v>281</v>
      </c>
      <c r="N1390" s="4">
        <v>1597</v>
      </c>
      <c r="O1390" s="5">
        <f t="shared" si="21"/>
        <v>4.9019885158260966E-2</v>
      </c>
      <c r="P1390" s="2" t="s">
        <v>22</v>
      </c>
    </row>
    <row r="1391" spans="1:16" x14ac:dyDescent="0.25">
      <c r="A1391" s="6" t="s">
        <v>2851</v>
      </c>
      <c r="B1391" s="6" t="s">
        <v>2852</v>
      </c>
      <c r="C1391" s="6" t="s">
        <v>32</v>
      </c>
      <c r="D1391" s="7" t="s">
        <v>175</v>
      </c>
      <c r="E1391" s="7" t="s">
        <v>20</v>
      </c>
      <c r="F1391" s="6" t="s">
        <v>40</v>
      </c>
      <c r="G1391" s="8">
        <v>57403</v>
      </c>
      <c r="H1391" s="8">
        <v>30688</v>
      </c>
      <c r="I1391" s="8">
        <v>25629</v>
      </c>
      <c r="J1391" s="8">
        <v>925</v>
      </c>
      <c r="K1391" s="8">
        <v>97</v>
      </c>
      <c r="L1391" s="8">
        <v>55</v>
      </c>
      <c r="M1391" s="8">
        <v>40</v>
      </c>
      <c r="N1391" s="8">
        <v>418</v>
      </c>
      <c r="O1391" s="9">
        <f t="shared" si="21"/>
        <v>4.3583440633657183E-2</v>
      </c>
      <c r="P1391" s="6" t="s">
        <v>29</v>
      </c>
    </row>
    <row r="1392" spans="1:16" x14ac:dyDescent="0.25">
      <c r="A1392" s="2" t="s">
        <v>2853</v>
      </c>
      <c r="B1392" s="2" t="s">
        <v>2854</v>
      </c>
      <c r="C1392" s="2" t="s">
        <v>18</v>
      </c>
      <c r="D1392" s="3" t="s">
        <v>226</v>
      </c>
      <c r="E1392" s="3" t="s">
        <v>20</v>
      </c>
      <c r="F1392" s="2" t="s">
        <v>58</v>
      </c>
      <c r="G1392" s="4">
        <v>285876</v>
      </c>
      <c r="H1392" s="4">
        <v>1262433</v>
      </c>
      <c r="I1392" s="4">
        <v>1015139</v>
      </c>
      <c r="J1392" s="4">
        <v>82710</v>
      </c>
      <c r="K1392" s="4">
        <v>8763</v>
      </c>
      <c r="L1392" s="4">
        <v>6256</v>
      </c>
      <c r="M1392" s="4">
        <v>11087</v>
      </c>
      <c r="N1392" s="4">
        <v>20372</v>
      </c>
      <c r="O1392" s="5">
        <f t="shared" si="21"/>
        <v>0.10719320211320814</v>
      </c>
      <c r="P1392" s="2" t="s">
        <v>66</v>
      </c>
    </row>
    <row r="1393" spans="1:16" x14ac:dyDescent="0.25">
      <c r="A1393" s="6" t="s">
        <v>2855</v>
      </c>
      <c r="B1393" s="6" t="s">
        <v>2856</v>
      </c>
      <c r="C1393" s="6" t="s">
        <v>76</v>
      </c>
      <c r="D1393" s="7" t="s">
        <v>77</v>
      </c>
      <c r="E1393" s="7" t="s">
        <v>20</v>
      </c>
      <c r="F1393" s="6" t="s">
        <v>104</v>
      </c>
      <c r="G1393" s="8">
        <v>202683</v>
      </c>
      <c r="H1393" s="8">
        <v>92736</v>
      </c>
      <c r="I1393" s="8">
        <v>77855</v>
      </c>
      <c r="J1393" s="8">
        <v>6271</v>
      </c>
      <c r="K1393" s="8">
        <v>1075</v>
      </c>
      <c r="L1393" s="8">
        <v>845</v>
      </c>
      <c r="M1393" s="8">
        <v>1311</v>
      </c>
      <c r="N1393" s="8">
        <v>3095</v>
      </c>
      <c r="O1393" s="9">
        <f t="shared" si="21"/>
        <v>0.1220473957998844</v>
      </c>
      <c r="P1393" s="6" t="s">
        <v>29</v>
      </c>
    </row>
    <row r="1394" spans="1:16" x14ac:dyDescent="0.25">
      <c r="A1394" s="2" t="s">
        <v>2857</v>
      </c>
      <c r="B1394" s="2" t="s">
        <v>2858</v>
      </c>
      <c r="C1394" s="2" t="s">
        <v>18</v>
      </c>
      <c r="D1394" s="3" t="s">
        <v>92</v>
      </c>
      <c r="E1394" s="3" t="s">
        <v>39</v>
      </c>
      <c r="F1394" s="2" t="s">
        <v>73</v>
      </c>
      <c r="G1394" s="4">
        <v>617173</v>
      </c>
      <c r="H1394" s="4">
        <v>233260</v>
      </c>
      <c r="I1394" s="4">
        <v>213621</v>
      </c>
      <c r="J1394" s="4">
        <v>14447</v>
      </c>
      <c r="K1394" s="4">
        <v>1670</v>
      </c>
      <c r="L1394" s="4">
        <v>1198</v>
      </c>
      <c r="M1394" s="4">
        <v>2381</v>
      </c>
      <c r="N1394" s="4">
        <v>4956</v>
      </c>
      <c r="O1394" s="5">
        <f t="shared" si="21"/>
        <v>9.2200673154792828E-2</v>
      </c>
      <c r="P1394" s="2" t="s">
        <v>22</v>
      </c>
    </row>
    <row r="1395" spans="1:16" x14ac:dyDescent="0.25">
      <c r="A1395" s="6" t="s">
        <v>2859</v>
      </c>
      <c r="B1395" s="6" t="s">
        <v>2860</v>
      </c>
      <c r="C1395" s="6" t="s">
        <v>43</v>
      </c>
      <c r="D1395" s="7" t="s">
        <v>69</v>
      </c>
      <c r="E1395" s="7" t="s">
        <v>34</v>
      </c>
      <c r="F1395" s="6" t="s">
        <v>107</v>
      </c>
      <c r="G1395" s="8">
        <v>778543</v>
      </c>
      <c r="H1395" s="8">
        <v>202068</v>
      </c>
      <c r="I1395" s="8">
        <v>142079</v>
      </c>
      <c r="J1395" s="8">
        <v>7461</v>
      </c>
      <c r="K1395" s="8">
        <v>1009</v>
      </c>
      <c r="L1395" s="8">
        <v>791</v>
      </c>
      <c r="M1395" s="8">
        <v>9</v>
      </c>
      <c r="N1395" s="8">
        <v>6002</v>
      </c>
      <c r="O1395" s="9">
        <f t="shared" si="21"/>
        <v>6.5245391648308337E-2</v>
      </c>
      <c r="P1395" s="6" t="s">
        <v>29</v>
      </c>
    </row>
    <row r="1396" spans="1:16" x14ac:dyDescent="0.25">
      <c r="A1396" s="2" t="s">
        <v>2861</v>
      </c>
      <c r="B1396" s="2" t="s">
        <v>2862</v>
      </c>
      <c r="C1396" s="2" t="s">
        <v>25</v>
      </c>
      <c r="D1396" s="3" t="s">
        <v>64</v>
      </c>
      <c r="E1396" s="3" t="s">
        <v>27</v>
      </c>
      <c r="F1396" s="2" t="s">
        <v>28</v>
      </c>
      <c r="G1396" s="4">
        <v>402013</v>
      </c>
      <c r="H1396" s="4">
        <v>55269</v>
      </c>
      <c r="I1396" s="4">
        <v>45352</v>
      </c>
      <c r="J1396" s="4">
        <v>3439</v>
      </c>
      <c r="K1396" s="4">
        <v>557</v>
      </c>
      <c r="L1396" s="4">
        <v>428</v>
      </c>
      <c r="M1396" s="4">
        <v>223</v>
      </c>
      <c r="N1396" s="4">
        <v>1713</v>
      </c>
      <c r="O1396" s="5">
        <f t="shared" si="21"/>
        <v>0.10246516140412772</v>
      </c>
      <c r="P1396" s="2" t="s">
        <v>22</v>
      </c>
    </row>
    <row r="1397" spans="1:16" x14ac:dyDescent="0.25">
      <c r="A1397" s="6" t="s">
        <v>2863</v>
      </c>
      <c r="B1397" s="6" t="s">
        <v>2864</v>
      </c>
      <c r="C1397" s="6" t="s">
        <v>18</v>
      </c>
      <c r="D1397" s="7" t="s">
        <v>19</v>
      </c>
      <c r="E1397" s="7" t="s">
        <v>50</v>
      </c>
      <c r="F1397" s="6" t="s">
        <v>21</v>
      </c>
      <c r="G1397" s="8">
        <v>6782</v>
      </c>
      <c r="H1397" s="8">
        <v>1247</v>
      </c>
      <c r="I1397" s="8">
        <v>992</v>
      </c>
      <c r="J1397" s="8">
        <v>77</v>
      </c>
      <c r="K1397" s="8">
        <v>12</v>
      </c>
      <c r="L1397" s="8">
        <v>3</v>
      </c>
      <c r="M1397" s="8">
        <v>17</v>
      </c>
      <c r="N1397" s="8">
        <v>36</v>
      </c>
      <c r="O1397" s="9">
        <f t="shared" si="21"/>
        <v>0.10987903225806452</v>
      </c>
      <c r="P1397" s="6" t="s">
        <v>66</v>
      </c>
    </row>
    <row r="1398" spans="1:16" x14ac:dyDescent="0.25">
      <c r="A1398" s="2" t="s">
        <v>2865</v>
      </c>
      <c r="B1398" s="2" t="s">
        <v>2866</v>
      </c>
      <c r="C1398" s="2" t="s">
        <v>25</v>
      </c>
      <c r="D1398" s="3" t="s">
        <v>64</v>
      </c>
      <c r="E1398" s="3" t="s">
        <v>50</v>
      </c>
      <c r="F1398" s="2" t="s">
        <v>65</v>
      </c>
      <c r="G1398" s="4">
        <v>752370</v>
      </c>
      <c r="H1398" s="4">
        <v>276337</v>
      </c>
      <c r="I1398" s="4">
        <v>197339</v>
      </c>
      <c r="J1398" s="4">
        <v>14038</v>
      </c>
      <c r="K1398" s="4">
        <v>1476</v>
      </c>
      <c r="L1398" s="4">
        <v>538</v>
      </c>
      <c r="M1398" s="4">
        <v>3411</v>
      </c>
      <c r="N1398" s="4">
        <v>3081</v>
      </c>
      <c r="O1398" s="5">
        <f t="shared" si="21"/>
        <v>9.8627235366551977E-2</v>
      </c>
      <c r="P1398" s="2" t="s">
        <v>22</v>
      </c>
    </row>
    <row r="1399" spans="1:16" x14ac:dyDescent="0.25">
      <c r="A1399" s="6" t="s">
        <v>2867</v>
      </c>
      <c r="B1399" s="6" t="s">
        <v>2868</v>
      </c>
      <c r="C1399" s="6" t="s">
        <v>18</v>
      </c>
      <c r="D1399" s="7" t="s">
        <v>92</v>
      </c>
      <c r="E1399" s="7" t="s">
        <v>50</v>
      </c>
      <c r="F1399" s="6" t="s">
        <v>21</v>
      </c>
      <c r="G1399" s="8">
        <v>409277</v>
      </c>
      <c r="H1399" s="8">
        <v>122422</v>
      </c>
      <c r="I1399" s="8">
        <v>112290</v>
      </c>
      <c r="J1399" s="8">
        <v>3916</v>
      </c>
      <c r="K1399" s="8">
        <v>542</v>
      </c>
      <c r="L1399" s="8">
        <v>371</v>
      </c>
      <c r="M1399" s="8">
        <v>485</v>
      </c>
      <c r="N1399" s="8">
        <v>1735</v>
      </c>
      <c r="O1399" s="9">
        <f t="shared" si="21"/>
        <v>4.7323893490070351E-2</v>
      </c>
      <c r="P1399" s="6" t="s">
        <v>29</v>
      </c>
    </row>
    <row r="1400" spans="1:16" x14ac:dyDescent="0.25">
      <c r="A1400" s="2" t="s">
        <v>2869</v>
      </c>
      <c r="B1400" s="2" t="s">
        <v>2870</v>
      </c>
      <c r="C1400" s="2" t="s">
        <v>18</v>
      </c>
      <c r="D1400" s="3" t="s">
        <v>57</v>
      </c>
      <c r="E1400" s="3" t="s">
        <v>34</v>
      </c>
      <c r="F1400" s="2" t="s">
        <v>73</v>
      </c>
      <c r="G1400" s="4">
        <v>342833</v>
      </c>
      <c r="H1400" s="4">
        <v>161617</v>
      </c>
      <c r="I1400" s="4">
        <v>122708</v>
      </c>
      <c r="J1400" s="4">
        <v>10747</v>
      </c>
      <c r="K1400" s="4">
        <v>945</v>
      </c>
      <c r="L1400" s="4">
        <v>1449</v>
      </c>
      <c r="M1400" s="4">
        <v>1701</v>
      </c>
      <c r="N1400" s="4">
        <v>5516</v>
      </c>
      <c r="O1400" s="5">
        <f t="shared" si="21"/>
        <v>0.12095380904260521</v>
      </c>
      <c r="P1400" s="2" t="s">
        <v>29</v>
      </c>
    </row>
    <row r="1401" spans="1:16" x14ac:dyDescent="0.25">
      <c r="A1401" s="6" t="s">
        <v>2871</v>
      </c>
      <c r="B1401" s="6" t="s">
        <v>2872</v>
      </c>
      <c r="C1401" s="6" t="s">
        <v>32</v>
      </c>
      <c r="D1401" s="7" t="s">
        <v>175</v>
      </c>
      <c r="E1401" s="7" t="s">
        <v>34</v>
      </c>
      <c r="F1401" s="6" t="s">
        <v>128</v>
      </c>
      <c r="G1401" s="8">
        <v>604309</v>
      </c>
      <c r="H1401" s="8">
        <v>192045</v>
      </c>
      <c r="I1401" s="8">
        <v>151364</v>
      </c>
      <c r="J1401" s="8">
        <v>3926</v>
      </c>
      <c r="K1401" s="8">
        <v>364</v>
      </c>
      <c r="L1401" s="8">
        <v>260</v>
      </c>
      <c r="M1401" s="8">
        <v>20</v>
      </c>
      <c r="N1401" s="8">
        <v>5180</v>
      </c>
      <c r="O1401" s="9">
        <f t="shared" si="21"/>
        <v>3.0192119658571392E-2</v>
      </c>
      <c r="P1401" s="6" t="s">
        <v>29</v>
      </c>
    </row>
    <row r="1402" spans="1:16" x14ac:dyDescent="0.25">
      <c r="A1402" s="2" t="s">
        <v>2873</v>
      </c>
      <c r="B1402" s="2" t="s">
        <v>2874</v>
      </c>
      <c r="C1402" s="2" t="s">
        <v>43</v>
      </c>
      <c r="D1402" s="3" t="s">
        <v>69</v>
      </c>
      <c r="E1402" s="3" t="s">
        <v>50</v>
      </c>
      <c r="F1402" s="2" t="s">
        <v>46</v>
      </c>
      <c r="G1402" s="4">
        <v>790617</v>
      </c>
      <c r="H1402" s="4">
        <v>463638</v>
      </c>
      <c r="I1402" s="4">
        <v>334733</v>
      </c>
      <c r="J1402" s="4">
        <v>36146</v>
      </c>
      <c r="K1402" s="4">
        <v>2465</v>
      </c>
      <c r="L1402" s="4">
        <v>2747</v>
      </c>
      <c r="M1402" s="4">
        <v>0</v>
      </c>
      <c r="N1402" s="4">
        <v>2413</v>
      </c>
      <c r="O1402" s="5">
        <f t="shared" si="21"/>
        <v>0.12355519174984241</v>
      </c>
      <c r="P1402" s="2" t="s">
        <v>22</v>
      </c>
    </row>
    <row r="1403" spans="1:16" x14ac:dyDescent="0.25">
      <c r="A1403" s="6" t="s">
        <v>2875</v>
      </c>
      <c r="B1403" s="6" t="s">
        <v>2876</v>
      </c>
      <c r="C1403" s="6" t="s">
        <v>32</v>
      </c>
      <c r="D1403" s="7" t="s">
        <v>33</v>
      </c>
      <c r="E1403" s="7" t="s">
        <v>20</v>
      </c>
      <c r="F1403" s="6" t="s">
        <v>40</v>
      </c>
      <c r="G1403" s="8">
        <v>718985</v>
      </c>
      <c r="H1403" s="8">
        <v>86735</v>
      </c>
      <c r="I1403" s="8">
        <v>67448</v>
      </c>
      <c r="J1403" s="8">
        <v>3426</v>
      </c>
      <c r="K1403" s="8">
        <v>181</v>
      </c>
      <c r="L1403" s="8">
        <v>465</v>
      </c>
      <c r="M1403" s="8">
        <v>19</v>
      </c>
      <c r="N1403" s="8">
        <v>1110</v>
      </c>
      <c r="O1403" s="9">
        <f t="shared" si="21"/>
        <v>6.0654133554738462E-2</v>
      </c>
      <c r="P1403" s="6" t="s">
        <v>29</v>
      </c>
    </row>
    <row r="1404" spans="1:16" x14ac:dyDescent="0.25">
      <c r="A1404" s="2" t="s">
        <v>2877</v>
      </c>
      <c r="B1404" s="2" t="s">
        <v>2878</v>
      </c>
      <c r="C1404" s="2" t="s">
        <v>18</v>
      </c>
      <c r="D1404" s="3" t="s">
        <v>226</v>
      </c>
      <c r="E1404" s="3" t="s">
        <v>20</v>
      </c>
      <c r="F1404" s="2" t="s">
        <v>21</v>
      </c>
      <c r="G1404" s="4">
        <v>213883</v>
      </c>
      <c r="H1404" s="4">
        <v>128313</v>
      </c>
      <c r="I1404" s="4">
        <v>90298</v>
      </c>
      <c r="J1404" s="4">
        <v>8536</v>
      </c>
      <c r="K1404" s="4">
        <v>1327</v>
      </c>
      <c r="L1404" s="4">
        <v>1081</v>
      </c>
      <c r="M1404" s="4">
        <v>1907</v>
      </c>
      <c r="N1404" s="4">
        <v>3452</v>
      </c>
      <c r="O1404" s="5">
        <f t="shared" si="21"/>
        <v>0.14231765930585394</v>
      </c>
      <c r="P1404" s="2" t="s">
        <v>22</v>
      </c>
    </row>
    <row r="1405" spans="1:16" x14ac:dyDescent="0.25">
      <c r="A1405" s="6" t="s">
        <v>2879</v>
      </c>
      <c r="B1405" s="6" t="s">
        <v>2880</v>
      </c>
      <c r="C1405" s="6" t="s">
        <v>43</v>
      </c>
      <c r="D1405" s="7" t="s">
        <v>110</v>
      </c>
      <c r="E1405" s="7" t="s">
        <v>50</v>
      </c>
      <c r="F1405" s="6" t="s">
        <v>70</v>
      </c>
      <c r="G1405" s="8">
        <v>224966</v>
      </c>
      <c r="H1405" s="8">
        <v>70727</v>
      </c>
      <c r="I1405" s="8">
        <v>50212</v>
      </c>
      <c r="J1405" s="8">
        <v>4358</v>
      </c>
      <c r="K1405" s="8">
        <v>608</v>
      </c>
      <c r="L1405" s="8">
        <v>393</v>
      </c>
      <c r="M1405" s="8">
        <v>47</v>
      </c>
      <c r="N1405" s="8">
        <v>1488</v>
      </c>
      <c r="O1405" s="9">
        <f t="shared" si="21"/>
        <v>0.10766350673145862</v>
      </c>
      <c r="P1405" s="6" t="s">
        <v>22</v>
      </c>
    </row>
    <row r="1406" spans="1:16" x14ac:dyDescent="0.25">
      <c r="A1406" s="2" t="s">
        <v>2881</v>
      </c>
      <c r="B1406" s="2" t="s">
        <v>2882</v>
      </c>
      <c r="C1406" s="2" t="s">
        <v>25</v>
      </c>
      <c r="D1406" s="3" t="s">
        <v>244</v>
      </c>
      <c r="E1406" s="3" t="s">
        <v>45</v>
      </c>
      <c r="F1406" s="2" t="s">
        <v>54</v>
      </c>
      <c r="G1406" s="4">
        <v>614744</v>
      </c>
      <c r="H1406" s="4">
        <v>272726</v>
      </c>
      <c r="I1406" s="4">
        <v>227352</v>
      </c>
      <c r="J1406" s="4">
        <v>15213</v>
      </c>
      <c r="K1406" s="4">
        <v>2437</v>
      </c>
      <c r="L1406" s="4">
        <v>2122</v>
      </c>
      <c r="M1406" s="4">
        <v>3484</v>
      </c>
      <c r="N1406" s="4">
        <v>8544</v>
      </c>
      <c r="O1406" s="5">
        <f t="shared" si="21"/>
        <v>0.10229072099651641</v>
      </c>
      <c r="P1406" s="2" t="s">
        <v>22</v>
      </c>
    </row>
    <row r="1407" spans="1:16" x14ac:dyDescent="0.25">
      <c r="A1407" s="6" t="s">
        <v>2883</v>
      </c>
      <c r="B1407" s="6" t="s">
        <v>2884</v>
      </c>
      <c r="C1407" s="6" t="s">
        <v>18</v>
      </c>
      <c r="D1407" s="7" t="s">
        <v>226</v>
      </c>
      <c r="E1407" s="7" t="s">
        <v>20</v>
      </c>
      <c r="F1407" s="6" t="s">
        <v>58</v>
      </c>
      <c r="G1407" s="8">
        <v>410648</v>
      </c>
      <c r="H1407" s="8">
        <v>156119</v>
      </c>
      <c r="I1407" s="8">
        <v>120197</v>
      </c>
      <c r="J1407" s="8">
        <v>3518</v>
      </c>
      <c r="K1407" s="8">
        <v>213</v>
      </c>
      <c r="L1407" s="8">
        <v>414</v>
      </c>
      <c r="M1407" s="8">
        <v>441</v>
      </c>
      <c r="N1407" s="8">
        <v>4018</v>
      </c>
      <c r="O1407" s="9">
        <f t="shared" si="21"/>
        <v>3.8154030466650585E-2</v>
      </c>
      <c r="P1407" s="6" t="s">
        <v>22</v>
      </c>
    </row>
    <row r="1408" spans="1:16" x14ac:dyDescent="0.25">
      <c r="A1408" s="2" t="s">
        <v>2885</v>
      </c>
      <c r="B1408" s="2" t="s">
        <v>2886</v>
      </c>
      <c r="C1408" s="2" t="s">
        <v>32</v>
      </c>
      <c r="D1408" s="3" t="s">
        <v>49</v>
      </c>
      <c r="E1408" s="3" t="s">
        <v>27</v>
      </c>
      <c r="F1408" s="2" t="s">
        <v>40</v>
      </c>
      <c r="G1408" s="4">
        <v>712208</v>
      </c>
      <c r="H1408" s="4">
        <v>2147677</v>
      </c>
      <c r="I1408" s="4">
        <v>1800067</v>
      </c>
      <c r="J1408" s="4">
        <v>113634</v>
      </c>
      <c r="K1408" s="4">
        <v>5801</v>
      </c>
      <c r="L1408" s="4">
        <v>16787</v>
      </c>
      <c r="M1408" s="4">
        <v>0</v>
      </c>
      <c r="N1408" s="4">
        <v>21600</v>
      </c>
      <c r="O1408" s="5">
        <f t="shared" si="21"/>
        <v>7.567607205731787E-2</v>
      </c>
      <c r="P1408" s="2" t="s">
        <v>29</v>
      </c>
    </row>
    <row r="1409" spans="1:16" x14ac:dyDescent="0.25">
      <c r="A1409" s="6" t="s">
        <v>2887</v>
      </c>
      <c r="B1409" s="6" t="s">
        <v>2888</v>
      </c>
      <c r="C1409" s="6" t="s">
        <v>76</v>
      </c>
      <c r="D1409" s="7" t="s">
        <v>86</v>
      </c>
      <c r="E1409" s="7" t="s">
        <v>34</v>
      </c>
      <c r="F1409" s="6" t="s">
        <v>78</v>
      </c>
      <c r="G1409" s="8">
        <v>558713</v>
      </c>
      <c r="H1409" s="8">
        <v>287593</v>
      </c>
      <c r="I1409" s="8">
        <v>234252</v>
      </c>
      <c r="J1409" s="8">
        <v>16286</v>
      </c>
      <c r="K1409" s="8">
        <v>2616</v>
      </c>
      <c r="L1409" s="8">
        <v>1317</v>
      </c>
      <c r="M1409" s="8">
        <v>3564</v>
      </c>
      <c r="N1409" s="8">
        <v>2762</v>
      </c>
      <c r="O1409" s="9">
        <f t="shared" si="21"/>
        <v>0.10152741492068371</v>
      </c>
      <c r="P1409" s="6" t="s">
        <v>22</v>
      </c>
    </row>
    <row r="1410" spans="1:16" x14ac:dyDescent="0.25">
      <c r="A1410" s="2" t="s">
        <v>2889</v>
      </c>
      <c r="B1410" s="2" t="s">
        <v>2890</v>
      </c>
      <c r="C1410" s="2" t="s">
        <v>32</v>
      </c>
      <c r="D1410" s="3" t="s">
        <v>121</v>
      </c>
      <c r="E1410" s="3" t="s">
        <v>50</v>
      </c>
      <c r="F1410" s="2" t="s">
        <v>35</v>
      </c>
      <c r="G1410" s="4">
        <v>485134</v>
      </c>
      <c r="H1410" s="4">
        <v>139825</v>
      </c>
      <c r="I1410" s="4">
        <v>118066</v>
      </c>
      <c r="J1410" s="4">
        <v>3356</v>
      </c>
      <c r="K1410" s="4">
        <v>553</v>
      </c>
      <c r="L1410" s="4">
        <v>389</v>
      </c>
      <c r="M1410" s="4">
        <v>43</v>
      </c>
      <c r="N1410" s="4">
        <v>2891</v>
      </c>
      <c r="O1410" s="5">
        <f t="shared" ref="O1410:O1473" si="22">IF(I1410&gt;0, (J1410+K1410+L1410+M1410)/I1410, 0)</f>
        <v>3.6767570680805654E-2</v>
      </c>
      <c r="P1410" s="2" t="s">
        <v>22</v>
      </c>
    </row>
    <row r="1411" spans="1:16" x14ac:dyDescent="0.25">
      <c r="A1411" s="6" t="s">
        <v>2891</v>
      </c>
      <c r="B1411" s="6" t="s">
        <v>2892</v>
      </c>
      <c r="C1411" s="6" t="s">
        <v>25</v>
      </c>
      <c r="D1411" s="7" t="s">
        <v>61</v>
      </c>
      <c r="E1411" s="7" t="s">
        <v>50</v>
      </c>
      <c r="F1411" s="6" t="s">
        <v>65</v>
      </c>
      <c r="G1411" s="8">
        <v>732656</v>
      </c>
      <c r="H1411" s="8">
        <v>450150</v>
      </c>
      <c r="I1411" s="8">
        <v>371608</v>
      </c>
      <c r="J1411" s="8">
        <v>13302</v>
      </c>
      <c r="K1411" s="8">
        <v>1689</v>
      </c>
      <c r="L1411" s="8">
        <v>646</v>
      </c>
      <c r="M1411" s="8">
        <v>3248</v>
      </c>
      <c r="N1411" s="8">
        <v>8049</v>
      </c>
      <c r="O1411" s="9">
        <f t="shared" si="22"/>
        <v>5.0819680954123703E-2</v>
      </c>
      <c r="P1411" s="6" t="s">
        <v>29</v>
      </c>
    </row>
    <row r="1412" spans="1:16" x14ac:dyDescent="0.25">
      <c r="A1412" s="2" t="s">
        <v>2893</v>
      </c>
      <c r="B1412" s="2" t="s">
        <v>2894</v>
      </c>
      <c r="C1412" s="2" t="s">
        <v>43</v>
      </c>
      <c r="D1412" s="3" t="s">
        <v>110</v>
      </c>
      <c r="E1412" s="3" t="s">
        <v>20</v>
      </c>
      <c r="F1412" s="2" t="s">
        <v>46</v>
      </c>
      <c r="G1412" s="4">
        <v>442891</v>
      </c>
      <c r="H1412" s="4">
        <v>109281</v>
      </c>
      <c r="I1412" s="4">
        <v>81540</v>
      </c>
      <c r="J1412" s="4">
        <v>7754</v>
      </c>
      <c r="K1412" s="4">
        <v>748</v>
      </c>
      <c r="L1412" s="4">
        <v>860</v>
      </c>
      <c r="M1412" s="4">
        <v>24</v>
      </c>
      <c r="N1412" s="4">
        <v>1867</v>
      </c>
      <c r="O1412" s="5">
        <f t="shared" si="22"/>
        <v>0.11510914888398333</v>
      </c>
      <c r="P1412" s="2" t="s">
        <v>29</v>
      </c>
    </row>
    <row r="1413" spans="1:16" x14ac:dyDescent="0.25">
      <c r="A1413" s="6" t="s">
        <v>2895</v>
      </c>
      <c r="B1413" s="6" t="s">
        <v>2896</v>
      </c>
      <c r="C1413" s="6" t="s">
        <v>76</v>
      </c>
      <c r="D1413" s="7" t="s">
        <v>103</v>
      </c>
      <c r="E1413" s="7" t="s">
        <v>34</v>
      </c>
      <c r="F1413" s="6" t="s">
        <v>87</v>
      </c>
      <c r="G1413" s="8">
        <v>494008</v>
      </c>
      <c r="H1413" s="8">
        <v>81640</v>
      </c>
      <c r="I1413" s="8">
        <v>59782</v>
      </c>
      <c r="J1413" s="8">
        <v>3501</v>
      </c>
      <c r="K1413" s="8">
        <v>295</v>
      </c>
      <c r="L1413" s="8">
        <v>224</v>
      </c>
      <c r="M1413" s="8">
        <v>393</v>
      </c>
      <c r="N1413" s="8">
        <v>1933</v>
      </c>
      <c r="O1413" s="9">
        <f t="shared" si="22"/>
        <v>7.3818206149008067E-2</v>
      </c>
      <c r="P1413" s="6" t="s">
        <v>22</v>
      </c>
    </row>
    <row r="1414" spans="1:16" x14ac:dyDescent="0.25">
      <c r="A1414" s="2" t="s">
        <v>2897</v>
      </c>
      <c r="B1414" s="2" t="s">
        <v>2898</v>
      </c>
      <c r="C1414" s="2" t="s">
        <v>25</v>
      </c>
      <c r="D1414" s="3" t="s">
        <v>64</v>
      </c>
      <c r="E1414" s="3" t="s">
        <v>39</v>
      </c>
      <c r="F1414" s="2" t="s">
        <v>146</v>
      </c>
      <c r="G1414" s="4">
        <v>233253</v>
      </c>
      <c r="H1414" s="4">
        <v>34488</v>
      </c>
      <c r="I1414" s="4">
        <v>27954</v>
      </c>
      <c r="J1414" s="4">
        <v>1888</v>
      </c>
      <c r="K1414" s="4">
        <v>334</v>
      </c>
      <c r="L1414" s="4">
        <v>254</v>
      </c>
      <c r="M1414" s="4">
        <v>180</v>
      </c>
      <c r="N1414" s="4">
        <v>875</v>
      </c>
      <c r="O1414" s="5">
        <f t="shared" si="22"/>
        <v>9.5013236030621742E-2</v>
      </c>
      <c r="P1414" s="2" t="s">
        <v>22</v>
      </c>
    </row>
    <row r="1415" spans="1:16" x14ac:dyDescent="0.25">
      <c r="A1415" s="6" t="s">
        <v>2899</v>
      </c>
      <c r="B1415" s="6" t="s">
        <v>2900</v>
      </c>
      <c r="C1415" s="6" t="s">
        <v>32</v>
      </c>
      <c r="D1415" s="7" t="s">
        <v>38</v>
      </c>
      <c r="E1415" s="7" t="s">
        <v>50</v>
      </c>
      <c r="F1415" s="6" t="s">
        <v>35</v>
      </c>
      <c r="G1415" s="8">
        <v>60831</v>
      </c>
      <c r="H1415" s="8">
        <v>24012</v>
      </c>
      <c r="I1415" s="8">
        <v>19270</v>
      </c>
      <c r="J1415" s="8">
        <v>1123</v>
      </c>
      <c r="K1415" s="8">
        <v>88</v>
      </c>
      <c r="L1415" s="8">
        <v>60</v>
      </c>
      <c r="M1415" s="8">
        <v>40</v>
      </c>
      <c r="N1415" s="8">
        <v>689</v>
      </c>
      <c r="O1415" s="9">
        <f t="shared" si="22"/>
        <v>6.8033212247016084E-2</v>
      </c>
      <c r="P1415" s="6" t="s">
        <v>22</v>
      </c>
    </row>
    <row r="1416" spans="1:16" x14ac:dyDescent="0.25">
      <c r="A1416" s="2" t="s">
        <v>2901</v>
      </c>
      <c r="B1416" s="2" t="s">
        <v>2902</v>
      </c>
      <c r="C1416" s="2" t="s">
        <v>43</v>
      </c>
      <c r="D1416" s="3" t="s">
        <v>81</v>
      </c>
      <c r="E1416" s="3" t="s">
        <v>27</v>
      </c>
      <c r="F1416" s="2" t="s">
        <v>107</v>
      </c>
      <c r="G1416" s="4">
        <v>657141</v>
      </c>
      <c r="H1416" s="4">
        <v>368331</v>
      </c>
      <c r="I1416" s="4">
        <v>274859</v>
      </c>
      <c r="J1416" s="4">
        <v>18730</v>
      </c>
      <c r="K1416" s="4">
        <v>1552</v>
      </c>
      <c r="L1416" s="4">
        <v>532</v>
      </c>
      <c r="M1416" s="4">
        <v>31</v>
      </c>
      <c r="N1416" s="4">
        <v>8499</v>
      </c>
      <c r="O1416" s="5">
        <f t="shared" si="22"/>
        <v>7.5838884664500714E-2</v>
      </c>
      <c r="P1416" s="2" t="s">
        <v>22</v>
      </c>
    </row>
    <row r="1417" spans="1:16" x14ac:dyDescent="0.25">
      <c r="A1417" s="6" t="s">
        <v>2903</v>
      </c>
      <c r="B1417" s="6" t="s">
        <v>2904</v>
      </c>
      <c r="C1417" s="6" t="s">
        <v>32</v>
      </c>
      <c r="D1417" s="7" t="s">
        <v>49</v>
      </c>
      <c r="E1417" s="7" t="s">
        <v>39</v>
      </c>
      <c r="F1417" s="6" t="s">
        <v>51</v>
      </c>
      <c r="G1417" s="8">
        <v>532584</v>
      </c>
      <c r="H1417" s="8">
        <v>197952</v>
      </c>
      <c r="I1417" s="8">
        <v>147509</v>
      </c>
      <c r="J1417" s="8">
        <v>4230</v>
      </c>
      <c r="K1417" s="8">
        <v>225</v>
      </c>
      <c r="L1417" s="8">
        <v>93</v>
      </c>
      <c r="M1417" s="8">
        <v>30</v>
      </c>
      <c r="N1417" s="8">
        <v>3356</v>
      </c>
      <c r="O1417" s="9">
        <f t="shared" si="22"/>
        <v>3.1035394450508104E-2</v>
      </c>
      <c r="P1417" s="6" t="s">
        <v>22</v>
      </c>
    </row>
    <row r="1418" spans="1:16" x14ac:dyDescent="0.25">
      <c r="A1418" s="2" t="s">
        <v>2905</v>
      </c>
      <c r="B1418" s="2" t="s">
        <v>2906</v>
      </c>
      <c r="C1418" s="2" t="s">
        <v>25</v>
      </c>
      <c r="D1418" s="3" t="s">
        <v>145</v>
      </c>
      <c r="E1418" s="3" t="s">
        <v>45</v>
      </c>
      <c r="F1418" s="2" t="s">
        <v>54</v>
      </c>
      <c r="G1418" s="4">
        <v>665236</v>
      </c>
      <c r="H1418" s="4">
        <v>333143</v>
      </c>
      <c r="I1418" s="4">
        <v>297586</v>
      </c>
      <c r="J1418" s="4">
        <v>17593</v>
      </c>
      <c r="K1418" s="4">
        <v>935</v>
      </c>
      <c r="L1418" s="4">
        <v>1648</v>
      </c>
      <c r="M1418" s="4">
        <v>3656</v>
      </c>
      <c r="N1418" s="4">
        <v>6892</v>
      </c>
      <c r="O1418" s="5">
        <f t="shared" si="22"/>
        <v>8.0084412573172128E-2</v>
      </c>
      <c r="P1418" s="2" t="s">
        <v>22</v>
      </c>
    </row>
    <row r="1419" spans="1:16" x14ac:dyDescent="0.25">
      <c r="A1419" s="6" t="s">
        <v>2907</v>
      </c>
      <c r="B1419" s="6" t="s">
        <v>2908</v>
      </c>
      <c r="C1419" s="6" t="s">
        <v>25</v>
      </c>
      <c r="D1419" s="7" t="s">
        <v>145</v>
      </c>
      <c r="E1419" s="7" t="s">
        <v>45</v>
      </c>
      <c r="F1419" s="6" t="s">
        <v>65</v>
      </c>
      <c r="G1419" s="8">
        <v>9884</v>
      </c>
      <c r="H1419" s="8">
        <v>2976</v>
      </c>
      <c r="I1419" s="8">
        <v>2639</v>
      </c>
      <c r="J1419" s="8">
        <v>165</v>
      </c>
      <c r="K1419" s="8">
        <v>26</v>
      </c>
      <c r="L1419" s="8">
        <v>4</v>
      </c>
      <c r="M1419" s="8">
        <v>27</v>
      </c>
      <c r="N1419" s="8">
        <v>34</v>
      </c>
      <c r="O1419" s="9">
        <f t="shared" si="22"/>
        <v>8.4122773777946191E-2</v>
      </c>
      <c r="P1419" s="6" t="s">
        <v>29</v>
      </c>
    </row>
    <row r="1420" spans="1:16" x14ac:dyDescent="0.25">
      <c r="A1420" s="2" t="s">
        <v>2909</v>
      </c>
      <c r="B1420" s="2" t="s">
        <v>2910</v>
      </c>
      <c r="C1420" s="2" t="s">
        <v>43</v>
      </c>
      <c r="D1420" s="3" t="s">
        <v>172</v>
      </c>
      <c r="E1420" s="3" t="s">
        <v>20</v>
      </c>
      <c r="F1420" s="2" t="s">
        <v>70</v>
      </c>
      <c r="G1420" s="4">
        <v>290754</v>
      </c>
      <c r="H1420" s="4">
        <v>108011</v>
      </c>
      <c r="I1420" s="4">
        <v>91323</v>
      </c>
      <c r="J1420" s="4">
        <v>6097</v>
      </c>
      <c r="K1420" s="4">
        <v>598</v>
      </c>
      <c r="L1420" s="4">
        <v>158</v>
      </c>
      <c r="M1420" s="4">
        <v>45</v>
      </c>
      <c r="N1420" s="4">
        <v>1564</v>
      </c>
      <c r="O1420" s="5">
        <f t="shared" si="22"/>
        <v>7.5534093273326539E-2</v>
      </c>
      <c r="P1420" s="2" t="s">
        <v>22</v>
      </c>
    </row>
    <row r="1421" spans="1:16" x14ac:dyDescent="0.25">
      <c r="A1421" s="6" t="s">
        <v>2911</v>
      </c>
      <c r="B1421" s="6" t="s">
        <v>2912</v>
      </c>
      <c r="C1421" s="6" t="s">
        <v>32</v>
      </c>
      <c r="D1421" s="7" t="s">
        <v>33</v>
      </c>
      <c r="E1421" s="7" t="s">
        <v>45</v>
      </c>
      <c r="F1421" s="6" t="s">
        <v>51</v>
      </c>
      <c r="G1421" s="8">
        <v>202787</v>
      </c>
      <c r="H1421" s="8">
        <v>96038</v>
      </c>
      <c r="I1421" s="8">
        <v>84137</v>
      </c>
      <c r="J1421" s="8">
        <v>4469</v>
      </c>
      <c r="K1421" s="8">
        <v>629</v>
      </c>
      <c r="L1421" s="8">
        <v>534</v>
      </c>
      <c r="M1421" s="8">
        <v>42</v>
      </c>
      <c r="N1421" s="8">
        <v>3069</v>
      </c>
      <c r="O1421" s="9">
        <f t="shared" si="22"/>
        <v>6.7437631481987712E-2</v>
      </c>
      <c r="P1421" s="6" t="s">
        <v>22</v>
      </c>
    </row>
    <row r="1422" spans="1:16" x14ac:dyDescent="0.25">
      <c r="A1422" s="2" t="s">
        <v>2913</v>
      </c>
      <c r="B1422" s="2" t="s">
        <v>2914</v>
      </c>
      <c r="C1422" s="2" t="s">
        <v>76</v>
      </c>
      <c r="D1422" s="3" t="s">
        <v>103</v>
      </c>
      <c r="E1422" s="3" t="s">
        <v>39</v>
      </c>
      <c r="F1422" s="2" t="s">
        <v>87</v>
      </c>
      <c r="G1422" s="4">
        <v>377341</v>
      </c>
      <c r="H1422" s="4">
        <v>50322</v>
      </c>
      <c r="I1422" s="4">
        <v>42065</v>
      </c>
      <c r="J1422" s="4">
        <v>3045</v>
      </c>
      <c r="K1422" s="4">
        <v>428</v>
      </c>
      <c r="L1422" s="4">
        <v>265</v>
      </c>
      <c r="M1422" s="4">
        <v>585</v>
      </c>
      <c r="N1422" s="4">
        <v>674</v>
      </c>
      <c r="O1422" s="5">
        <f t="shared" si="22"/>
        <v>0.10276952335670986</v>
      </c>
      <c r="P1422" s="2" t="s">
        <v>22</v>
      </c>
    </row>
    <row r="1423" spans="1:16" x14ac:dyDescent="0.25">
      <c r="A1423" s="6" t="s">
        <v>2915</v>
      </c>
      <c r="B1423" s="6" t="s">
        <v>2916</v>
      </c>
      <c r="C1423" s="6" t="s">
        <v>76</v>
      </c>
      <c r="D1423" s="7" t="s">
        <v>77</v>
      </c>
      <c r="E1423" s="7" t="s">
        <v>50</v>
      </c>
      <c r="F1423" s="6" t="s">
        <v>87</v>
      </c>
      <c r="G1423" s="8">
        <v>326057</v>
      </c>
      <c r="H1423" s="8">
        <v>202825</v>
      </c>
      <c r="I1423" s="8">
        <v>183017</v>
      </c>
      <c r="J1423" s="8">
        <v>5302</v>
      </c>
      <c r="K1423" s="8">
        <v>280</v>
      </c>
      <c r="L1423" s="8">
        <v>262</v>
      </c>
      <c r="M1423" s="8">
        <v>952</v>
      </c>
      <c r="N1423" s="8">
        <v>2977</v>
      </c>
      <c r="O1423" s="9">
        <f t="shared" si="22"/>
        <v>3.713316249310173E-2</v>
      </c>
      <c r="P1423" s="6" t="s">
        <v>22</v>
      </c>
    </row>
    <row r="1424" spans="1:16" x14ac:dyDescent="0.25">
      <c r="A1424" s="2" t="s">
        <v>2917</v>
      </c>
      <c r="B1424" s="2" t="s">
        <v>2918</v>
      </c>
      <c r="C1424" s="2" t="s">
        <v>18</v>
      </c>
      <c r="D1424" s="3" t="s">
        <v>57</v>
      </c>
      <c r="E1424" s="3" t="s">
        <v>27</v>
      </c>
      <c r="F1424" s="2" t="s">
        <v>73</v>
      </c>
      <c r="G1424" s="4">
        <v>80773</v>
      </c>
      <c r="H1424" s="4">
        <v>33293</v>
      </c>
      <c r="I1424" s="4">
        <v>29738</v>
      </c>
      <c r="J1424" s="4">
        <v>1565</v>
      </c>
      <c r="K1424" s="4">
        <v>151</v>
      </c>
      <c r="L1424" s="4">
        <v>42</v>
      </c>
      <c r="M1424" s="4">
        <v>354</v>
      </c>
      <c r="N1424" s="4">
        <v>398</v>
      </c>
      <c r="O1424" s="5">
        <f t="shared" si="22"/>
        <v>7.1020243459546703E-2</v>
      </c>
      <c r="P1424" s="2" t="s">
        <v>66</v>
      </c>
    </row>
    <row r="1425" spans="1:16" x14ac:dyDescent="0.25">
      <c r="A1425" s="6" t="s">
        <v>2919</v>
      </c>
      <c r="B1425" s="6" t="s">
        <v>2920</v>
      </c>
      <c r="C1425" s="6" t="s">
        <v>32</v>
      </c>
      <c r="D1425" s="7" t="s">
        <v>33</v>
      </c>
      <c r="E1425" s="7" t="s">
        <v>50</v>
      </c>
      <c r="F1425" s="6" t="s">
        <v>40</v>
      </c>
      <c r="G1425" s="8">
        <v>434527</v>
      </c>
      <c r="H1425" s="8">
        <v>177055</v>
      </c>
      <c r="I1425" s="8">
        <v>124902</v>
      </c>
      <c r="J1425" s="8">
        <v>11628</v>
      </c>
      <c r="K1425" s="8">
        <v>753</v>
      </c>
      <c r="L1425" s="8">
        <v>1399</v>
      </c>
      <c r="M1425" s="8">
        <v>46</v>
      </c>
      <c r="N1425" s="8">
        <v>5433</v>
      </c>
      <c r="O1425" s="9">
        <f t="shared" si="22"/>
        <v>0.11069478471121359</v>
      </c>
      <c r="P1425" s="6" t="s">
        <v>66</v>
      </c>
    </row>
    <row r="1426" spans="1:16" x14ac:dyDescent="0.25">
      <c r="A1426" s="2" t="s">
        <v>2921</v>
      </c>
      <c r="B1426" s="2" t="s">
        <v>2922</v>
      </c>
      <c r="C1426" s="2" t="s">
        <v>25</v>
      </c>
      <c r="D1426" s="3" t="s">
        <v>64</v>
      </c>
      <c r="E1426" s="3" t="s">
        <v>27</v>
      </c>
      <c r="F1426" s="2" t="s">
        <v>28</v>
      </c>
      <c r="G1426" s="4">
        <v>505570</v>
      </c>
      <c r="H1426" s="4">
        <v>184132</v>
      </c>
      <c r="I1426" s="4">
        <v>137330</v>
      </c>
      <c r="J1426" s="4">
        <v>4997</v>
      </c>
      <c r="K1426" s="4">
        <v>586</v>
      </c>
      <c r="L1426" s="4">
        <v>423</v>
      </c>
      <c r="M1426" s="4">
        <v>702</v>
      </c>
      <c r="N1426" s="4">
        <v>5986</v>
      </c>
      <c r="O1426" s="5">
        <f t="shared" si="22"/>
        <v>4.8845845772955657E-2</v>
      </c>
      <c r="P1426" s="2" t="s">
        <v>29</v>
      </c>
    </row>
    <row r="1427" spans="1:16" x14ac:dyDescent="0.25">
      <c r="A1427" s="6" t="s">
        <v>2923</v>
      </c>
      <c r="B1427" s="6" t="s">
        <v>2924</v>
      </c>
      <c r="C1427" s="6" t="s">
        <v>32</v>
      </c>
      <c r="D1427" s="7" t="s">
        <v>49</v>
      </c>
      <c r="E1427" s="7" t="s">
        <v>34</v>
      </c>
      <c r="F1427" s="6" t="s">
        <v>35</v>
      </c>
      <c r="G1427" s="8">
        <v>589241</v>
      </c>
      <c r="H1427" s="8">
        <v>117126</v>
      </c>
      <c r="I1427" s="8">
        <v>85510</v>
      </c>
      <c r="J1427" s="8">
        <v>8174</v>
      </c>
      <c r="K1427" s="8">
        <v>651</v>
      </c>
      <c r="L1427" s="8">
        <v>554</v>
      </c>
      <c r="M1427" s="8">
        <v>45</v>
      </c>
      <c r="N1427" s="8">
        <v>2911</v>
      </c>
      <c r="O1427" s="9">
        <f t="shared" si="22"/>
        <v>0.11020933224184305</v>
      </c>
      <c r="P1427" s="6" t="s">
        <v>29</v>
      </c>
    </row>
    <row r="1428" spans="1:16" x14ac:dyDescent="0.25">
      <c r="A1428" s="2" t="s">
        <v>2925</v>
      </c>
      <c r="B1428" s="2" t="s">
        <v>2926</v>
      </c>
      <c r="C1428" s="2" t="s">
        <v>18</v>
      </c>
      <c r="D1428" s="3" t="s">
        <v>226</v>
      </c>
      <c r="E1428" s="3" t="s">
        <v>39</v>
      </c>
      <c r="F1428" s="2" t="s">
        <v>73</v>
      </c>
      <c r="G1428" s="4">
        <v>393459</v>
      </c>
      <c r="H1428" s="4">
        <v>109289</v>
      </c>
      <c r="I1428" s="4">
        <v>82616</v>
      </c>
      <c r="J1428" s="4">
        <v>3808</v>
      </c>
      <c r="K1428" s="4">
        <v>361</v>
      </c>
      <c r="L1428" s="4">
        <v>268</v>
      </c>
      <c r="M1428" s="4">
        <v>911</v>
      </c>
      <c r="N1428" s="4">
        <v>3531</v>
      </c>
      <c r="O1428" s="5">
        <f t="shared" si="22"/>
        <v>6.4733223588651106E-2</v>
      </c>
      <c r="P1428" s="2" t="s">
        <v>22</v>
      </c>
    </row>
    <row r="1429" spans="1:16" x14ac:dyDescent="0.25">
      <c r="A1429" s="6" t="s">
        <v>2927</v>
      </c>
      <c r="B1429" s="6" t="s">
        <v>2928</v>
      </c>
      <c r="C1429" s="6" t="s">
        <v>18</v>
      </c>
      <c r="D1429" s="7" t="s">
        <v>57</v>
      </c>
      <c r="E1429" s="7" t="s">
        <v>20</v>
      </c>
      <c r="F1429" s="6" t="s">
        <v>73</v>
      </c>
      <c r="G1429" s="8">
        <v>130774</v>
      </c>
      <c r="H1429" s="8">
        <v>57586</v>
      </c>
      <c r="I1429" s="8">
        <v>47211</v>
      </c>
      <c r="J1429" s="8">
        <v>3398</v>
      </c>
      <c r="K1429" s="8">
        <v>571</v>
      </c>
      <c r="L1429" s="8">
        <v>283</v>
      </c>
      <c r="M1429" s="8">
        <v>673</v>
      </c>
      <c r="N1429" s="8">
        <v>1883</v>
      </c>
      <c r="O1429" s="9">
        <f t="shared" si="22"/>
        <v>0.10431890872889793</v>
      </c>
      <c r="P1429" s="6" t="s">
        <v>29</v>
      </c>
    </row>
    <row r="1430" spans="1:16" x14ac:dyDescent="0.25">
      <c r="A1430" s="2" t="s">
        <v>2929</v>
      </c>
      <c r="B1430" s="2" t="s">
        <v>2930</v>
      </c>
      <c r="C1430" s="2" t="s">
        <v>18</v>
      </c>
      <c r="D1430" s="3" t="s">
        <v>226</v>
      </c>
      <c r="E1430" s="3" t="s">
        <v>20</v>
      </c>
      <c r="F1430" s="2" t="s">
        <v>21</v>
      </c>
      <c r="G1430" s="4">
        <v>83159</v>
      </c>
      <c r="H1430" s="4">
        <v>11110</v>
      </c>
      <c r="I1430" s="4">
        <v>9125</v>
      </c>
      <c r="J1430" s="4">
        <v>652</v>
      </c>
      <c r="K1430" s="4">
        <v>111</v>
      </c>
      <c r="L1430" s="4">
        <v>88</v>
      </c>
      <c r="M1430" s="4">
        <v>45</v>
      </c>
      <c r="N1430" s="4">
        <v>318</v>
      </c>
      <c r="O1430" s="5">
        <f t="shared" si="22"/>
        <v>9.8191780821917804E-2</v>
      </c>
      <c r="P1430" s="2" t="s">
        <v>22</v>
      </c>
    </row>
    <row r="1431" spans="1:16" x14ac:dyDescent="0.25">
      <c r="A1431" s="6" t="s">
        <v>2931</v>
      </c>
      <c r="B1431" s="6" t="s">
        <v>2932</v>
      </c>
      <c r="C1431" s="6" t="s">
        <v>76</v>
      </c>
      <c r="D1431" s="7" t="s">
        <v>189</v>
      </c>
      <c r="E1431" s="7" t="s">
        <v>50</v>
      </c>
      <c r="F1431" s="6" t="s">
        <v>155</v>
      </c>
      <c r="G1431" s="8">
        <v>730206</v>
      </c>
      <c r="H1431" s="8">
        <v>245609</v>
      </c>
      <c r="I1431" s="8">
        <v>211692</v>
      </c>
      <c r="J1431" s="8">
        <v>6805</v>
      </c>
      <c r="K1431" s="8">
        <v>1031</v>
      </c>
      <c r="L1431" s="8">
        <v>896</v>
      </c>
      <c r="M1431" s="8">
        <v>1069</v>
      </c>
      <c r="N1431" s="8">
        <v>3354</v>
      </c>
      <c r="O1431" s="9">
        <f t="shared" si="22"/>
        <v>4.6298395782552008E-2</v>
      </c>
      <c r="P1431" s="6" t="s">
        <v>29</v>
      </c>
    </row>
    <row r="1432" spans="1:16" x14ac:dyDescent="0.25">
      <c r="A1432" s="2" t="s">
        <v>2933</v>
      </c>
      <c r="B1432" s="2" t="s">
        <v>2934</v>
      </c>
      <c r="C1432" s="2" t="s">
        <v>76</v>
      </c>
      <c r="D1432" s="3" t="s">
        <v>86</v>
      </c>
      <c r="E1432" s="3" t="s">
        <v>39</v>
      </c>
      <c r="F1432" s="2" t="s">
        <v>78</v>
      </c>
      <c r="G1432" s="4">
        <v>787989</v>
      </c>
      <c r="H1432" s="4">
        <v>3756375</v>
      </c>
      <c r="I1432" s="4">
        <v>2947190</v>
      </c>
      <c r="J1432" s="4">
        <v>259754</v>
      </c>
      <c r="K1432" s="4">
        <v>12334</v>
      </c>
      <c r="L1432" s="4">
        <v>35271</v>
      </c>
      <c r="M1432" s="4">
        <v>34579</v>
      </c>
      <c r="N1432" s="4">
        <v>69765</v>
      </c>
      <c r="O1432" s="5">
        <f t="shared" si="22"/>
        <v>0.11602170202803348</v>
      </c>
      <c r="P1432" s="2" t="s">
        <v>22</v>
      </c>
    </row>
    <row r="1433" spans="1:16" x14ac:dyDescent="0.25">
      <c r="A1433" s="6" t="s">
        <v>2935</v>
      </c>
      <c r="B1433" s="6" t="s">
        <v>2936</v>
      </c>
      <c r="C1433" s="6" t="s">
        <v>32</v>
      </c>
      <c r="D1433" s="7" t="s">
        <v>175</v>
      </c>
      <c r="E1433" s="7" t="s">
        <v>34</v>
      </c>
      <c r="F1433" s="6" t="s">
        <v>51</v>
      </c>
      <c r="G1433" s="8">
        <v>331173</v>
      </c>
      <c r="H1433" s="8">
        <v>199268</v>
      </c>
      <c r="I1433" s="8">
        <v>147111</v>
      </c>
      <c r="J1433" s="8">
        <v>15345</v>
      </c>
      <c r="K1433" s="8">
        <v>534</v>
      </c>
      <c r="L1433" s="8">
        <v>1889</v>
      </c>
      <c r="M1433" s="8">
        <v>8</v>
      </c>
      <c r="N1433" s="8">
        <v>1795</v>
      </c>
      <c r="O1433" s="9">
        <f t="shared" si="22"/>
        <v>0.1208339281223022</v>
      </c>
      <c r="P1433" s="6" t="s">
        <v>29</v>
      </c>
    </row>
    <row r="1434" spans="1:16" x14ac:dyDescent="0.25">
      <c r="A1434" s="2" t="s">
        <v>2937</v>
      </c>
      <c r="B1434" s="2" t="s">
        <v>2938</v>
      </c>
      <c r="C1434" s="2" t="s">
        <v>43</v>
      </c>
      <c r="D1434" s="3" t="s">
        <v>81</v>
      </c>
      <c r="E1434" s="3" t="s">
        <v>34</v>
      </c>
      <c r="F1434" s="2" t="s">
        <v>70</v>
      </c>
      <c r="G1434" s="4">
        <v>762925</v>
      </c>
      <c r="H1434" s="4">
        <v>245146</v>
      </c>
      <c r="I1434" s="4">
        <v>219661</v>
      </c>
      <c r="J1434" s="4">
        <v>12084</v>
      </c>
      <c r="K1434" s="4">
        <v>1481</v>
      </c>
      <c r="L1434" s="4">
        <v>267</v>
      </c>
      <c r="M1434" s="4">
        <v>30</v>
      </c>
      <c r="N1434" s="4">
        <v>7581</v>
      </c>
      <c r="O1434" s="5">
        <f t="shared" si="22"/>
        <v>6.3106332029809573E-2</v>
      </c>
      <c r="P1434" s="2" t="s">
        <v>29</v>
      </c>
    </row>
    <row r="1435" spans="1:16" x14ac:dyDescent="0.25">
      <c r="A1435" s="6" t="s">
        <v>2939</v>
      </c>
      <c r="B1435" s="6" t="s">
        <v>2940</v>
      </c>
      <c r="C1435" s="6" t="s">
        <v>18</v>
      </c>
      <c r="D1435" s="7" t="s">
        <v>57</v>
      </c>
      <c r="E1435" s="7" t="s">
        <v>34</v>
      </c>
      <c r="F1435" s="6" t="s">
        <v>58</v>
      </c>
      <c r="G1435" s="8">
        <v>310535</v>
      </c>
      <c r="H1435" s="8">
        <v>695263</v>
      </c>
      <c r="I1435" s="8">
        <v>605511</v>
      </c>
      <c r="J1435" s="8">
        <v>28525</v>
      </c>
      <c r="K1435" s="8">
        <v>2815</v>
      </c>
      <c r="L1435" s="8">
        <v>3727</v>
      </c>
      <c r="M1435" s="8">
        <v>6606</v>
      </c>
      <c r="N1435" s="8">
        <v>12534</v>
      </c>
      <c r="O1435" s="9">
        <f t="shared" si="22"/>
        <v>6.8822862012415956E-2</v>
      </c>
      <c r="P1435" s="6" t="s">
        <v>22</v>
      </c>
    </row>
    <row r="1436" spans="1:16" x14ac:dyDescent="0.25">
      <c r="A1436" s="2" t="s">
        <v>2941</v>
      </c>
      <c r="B1436" s="2" t="s">
        <v>2942</v>
      </c>
      <c r="C1436" s="2" t="s">
        <v>76</v>
      </c>
      <c r="D1436" s="3" t="s">
        <v>189</v>
      </c>
      <c r="E1436" s="3" t="s">
        <v>39</v>
      </c>
      <c r="F1436" s="2" t="s">
        <v>155</v>
      </c>
      <c r="G1436" s="4">
        <v>515899</v>
      </c>
      <c r="H1436" s="4">
        <v>152900</v>
      </c>
      <c r="I1436" s="4">
        <v>126123</v>
      </c>
      <c r="J1436" s="4">
        <v>10234</v>
      </c>
      <c r="K1436" s="4">
        <v>854</v>
      </c>
      <c r="L1436" s="4">
        <v>1408</v>
      </c>
      <c r="M1436" s="4">
        <v>1292</v>
      </c>
      <c r="N1436" s="4">
        <v>3573</v>
      </c>
      <c r="O1436" s="5">
        <f t="shared" si="22"/>
        <v>0.10932185247734355</v>
      </c>
      <c r="P1436" s="2" t="s">
        <v>22</v>
      </c>
    </row>
    <row r="1437" spans="1:16" x14ac:dyDescent="0.25">
      <c r="A1437" s="6" t="s">
        <v>2943</v>
      </c>
      <c r="B1437" s="6" t="s">
        <v>2944</v>
      </c>
      <c r="C1437" s="6" t="s">
        <v>32</v>
      </c>
      <c r="D1437" s="7" t="s">
        <v>121</v>
      </c>
      <c r="E1437" s="7" t="s">
        <v>39</v>
      </c>
      <c r="F1437" s="6" t="s">
        <v>40</v>
      </c>
      <c r="G1437" s="8">
        <v>99683</v>
      </c>
      <c r="H1437" s="8">
        <v>10530</v>
      </c>
      <c r="I1437" s="8">
        <v>9519</v>
      </c>
      <c r="J1437" s="8">
        <v>822</v>
      </c>
      <c r="K1437" s="8">
        <v>138</v>
      </c>
      <c r="L1437" s="8">
        <v>74</v>
      </c>
      <c r="M1437" s="8">
        <v>0</v>
      </c>
      <c r="N1437" s="8">
        <v>359</v>
      </c>
      <c r="O1437" s="9">
        <f t="shared" si="22"/>
        <v>0.10862485555205378</v>
      </c>
      <c r="P1437" s="6" t="s">
        <v>29</v>
      </c>
    </row>
    <row r="1438" spans="1:16" x14ac:dyDescent="0.25">
      <c r="A1438" s="2" t="s">
        <v>2945</v>
      </c>
      <c r="B1438" s="2" t="s">
        <v>2946</v>
      </c>
      <c r="C1438" s="2" t="s">
        <v>25</v>
      </c>
      <c r="D1438" s="3" t="s">
        <v>244</v>
      </c>
      <c r="E1438" s="3" t="s">
        <v>50</v>
      </c>
      <c r="F1438" s="2" t="s">
        <v>28</v>
      </c>
      <c r="G1438" s="4">
        <v>578510</v>
      </c>
      <c r="H1438" s="4">
        <v>92670</v>
      </c>
      <c r="I1438" s="4">
        <v>83433</v>
      </c>
      <c r="J1438" s="4">
        <v>3124</v>
      </c>
      <c r="K1438" s="4">
        <v>94</v>
      </c>
      <c r="L1438" s="4">
        <v>252</v>
      </c>
      <c r="M1438" s="4">
        <v>306</v>
      </c>
      <c r="N1438" s="4">
        <v>1112</v>
      </c>
      <c r="O1438" s="5">
        <f t="shared" si="22"/>
        <v>4.5257871585583642E-2</v>
      </c>
      <c r="P1438" s="2" t="s">
        <v>22</v>
      </c>
    </row>
    <row r="1439" spans="1:16" x14ac:dyDescent="0.25">
      <c r="A1439" s="6" t="s">
        <v>2947</v>
      </c>
      <c r="B1439" s="6" t="s">
        <v>2948</v>
      </c>
      <c r="C1439" s="6" t="s">
        <v>76</v>
      </c>
      <c r="D1439" s="7" t="s">
        <v>103</v>
      </c>
      <c r="E1439" s="7" t="s">
        <v>45</v>
      </c>
      <c r="F1439" s="6" t="s">
        <v>104</v>
      </c>
      <c r="G1439" s="8">
        <v>309114</v>
      </c>
      <c r="H1439" s="8">
        <v>59610</v>
      </c>
      <c r="I1439" s="8">
        <v>42943</v>
      </c>
      <c r="J1439" s="8">
        <v>2124</v>
      </c>
      <c r="K1439" s="8">
        <v>312</v>
      </c>
      <c r="L1439" s="8">
        <v>168</v>
      </c>
      <c r="M1439" s="8">
        <v>325</v>
      </c>
      <c r="N1439" s="8">
        <v>1352</v>
      </c>
      <c r="O1439" s="9">
        <f t="shared" si="22"/>
        <v>6.8206692592506349E-2</v>
      </c>
      <c r="P1439" s="6" t="s">
        <v>22</v>
      </c>
    </row>
    <row r="1440" spans="1:16" x14ac:dyDescent="0.25">
      <c r="A1440" s="2" t="s">
        <v>2949</v>
      </c>
      <c r="B1440" s="2" t="s">
        <v>2950</v>
      </c>
      <c r="C1440" s="2" t="s">
        <v>76</v>
      </c>
      <c r="D1440" s="3" t="s">
        <v>103</v>
      </c>
      <c r="E1440" s="3" t="s">
        <v>34</v>
      </c>
      <c r="F1440" s="2" t="s">
        <v>78</v>
      </c>
      <c r="G1440" s="4">
        <v>301779</v>
      </c>
      <c r="H1440" s="4">
        <v>109383</v>
      </c>
      <c r="I1440" s="4">
        <v>86793</v>
      </c>
      <c r="J1440" s="4">
        <v>5559</v>
      </c>
      <c r="K1440" s="4">
        <v>209</v>
      </c>
      <c r="L1440" s="4">
        <v>492</v>
      </c>
      <c r="M1440" s="4">
        <v>693</v>
      </c>
      <c r="N1440" s="4">
        <v>716</v>
      </c>
      <c r="O1440" s="5">
        <f t="shared" si="22"/>
        <v>8.0110147131681131E-2</v>
      </c>
      <c r="P1440" s="2" t="s">
        <v>22</v>
      </c>
    </row>
    <row r="1441" spans="1:16" x14ac:dyDescent="0.25">
      <c r="A1441" s="6" t="s">
        <v>2951</v>
      </c>
      <c r="B1441" s="6" t="s">
        <v>2952</v>
      </c>
      <c r="C1441" s="6" t="s">
        <v>76</v>
      </c>
      <c r="D1441" s="7" t="s">
        <v>103</v>
      </c>
      <c r="E1441" s="7" t="s">
        <v>20</v>
      </c>
      <c r="F1441" s="6" t="s">
        <v>87</v>
      </c>
      <c r="G1441" s="8">
        <v>342838</v>
      </c>
      <c r="H1441" s="8">
        <v>40114</v>
      </c>
      <c r="I1441" s="8">
        <v>31902</v>
      </c>
      <c r="J1441" s="8">
        <v>2089</v>
      </c>
      <c r="K1441" s="8">
        <v>116</v>
      </c>
      <c r="L1441" s="8">
        <v>69</v>
      </c>
      <c r="M1441" s="8">
        <v>438</v>
      </c>
      <c r="N1441" s="8">
        <v>785</v>
      </c>
      <c r="O1441" s="9">
        <f t="shared" si="22"/>
        <v>8.5010344179048333E-2</v>
      </c>
      <c r="P1441" s="6" t="s">
        <v>22</v>
      </c>
    </row>
    <row r="1442" spans="1:16" x14ac:dyDescent="0.25">
      <c r="A1442" s="2" t="s">
        <v>2953</v>
      </c>
      <c r="B1442" s="2" t="s">
        <v>2954</v>
      </c>
      <c r="C1442" s="2" t="s">
        <v>43</v>
      </c>
      <c r="D1442" s="3" t="s">
        <v>69</v>
      </c>
      <c r="E1442" s="3" t="s">
        <v>45</v>
      </c>
      <c r="F1442" s="2" t="s">
        <v>107</v>
      </c>
      <c r="G1442" s="4">
        <v>338131</v>
      </c>
      <c r="H1442" s="4">
        <v>51888</v>
      </c>
      <c r="I1442" s="4">
        <v>41505</v>
      </c>
      <c r="J1442" s="4">
        <v>1202</v>
      </c>
      <c r="K1442" s="4">
        <v>151</v>
      </c>
      <c r="L1442" s="4">
        <v>125</v>
      </c>
      <c r="M1442" s="4">
        <v>0</v>
      </c>
      <c r="N1442" s="4">
        <v>481</v>
      </c>
      <c r="O1442" s="5">
        <f t="shared" si="22"/>
        <v>3.5610167449704855E-2</v>
      </c>
      <c r="P1442" s="2" t="s">
        <v>22</v>
      </c>
    </row>
    <row r="1443" spans="1:16" x14ac:dyDescent="0.25">
      <c r="A1443" s="6" t="s">
        <v>2955</v>
      </c>
      <c r="B1443" s="6" t="s">
        <v>2956</v>
      </c>
      <c r="C1443" s="6" t="s">
        <v>76</v>
      </c>
      <c r="D1443" s="7" t="s">
        <v>103</v>
      </c>
      <c r="E1443" s="7" t="s">
        <v>50</v>
      </c>
      <c r="F1443" s="6" t="s">
        <v>155</v>
      </c>
      <c r="G1443" s="8">
        <v>743558</v>
      </c>
      <c r="H1443" s="8">
        <v>64671</v>
      </c>
      <c r="I1443" s="8">
        <v>46020</v>
      </c>
      <c r="J1443" s="8">
        <v>2050</v>
      </c>
      <c r="K1443" s="8">
        <v>118</v>
      </c>
      <c r="L1443" s="8">
        <v>174</v>
      </c>
      <c r="M1443" s="8">
        <v>460</v>
      </c>
      <c r="N1443" s="8">
        <v>2218</v>
      </c>
      <c r="O1443" s="9">
        <f t="shared" si="22"/>
        <v>6.0886571056062579E-2</v>
      </c>
      <c r="P1443" s="6" t="s">
        <v>29</v>
      </c>
    </row>
    <row r="1444" spans="1:16" x14ac:dyDescent="0.25">
      <c r="A1444" s="2" t="s">
        <v>2957</v>
      </c>
      <c r="B1444" s="2" t="s">
        <v>2958</v>
      </c>
      <c r="C1444" s="2" t="s">
        <v>18</v>
      </c>
      <c r="D1444" s="3" t="s">
        <v>19</v>
      </c>
      <c r="E1444" s="3" t="s">
        <v>20</v>
      </c>
      <c r="F1444" s="2" t="s">
        <v>58</v>
      </c>
      <c r="G1444" s="4">
        <v>779390</v>
      </c>
      <c r="H1444" s="4">
        <v>190862</v>
      </c>
      <c r="I1444" s="4">
        <v>134750</v>
      </c>
      <c r="J1444" s="4">
        <v>8499</v>
      </c>
      <c r="K1444" s="4">
        <v>301</v>
      </c>
      <c r="L1444" s="4">
        <v>518</v>
      </c>
      <c r="M1444" s="4">
        <v>860</v>
      </c>
      <c r="N1444" s="4">
        <v>5183</v>
      </c>
      <c r="O1444" s="5">
        <f t="shared" si="22"/>
        <v>7.5532467532467534E-2</v>
      </c>
      <c r="P1444" s="2" t="s">
        <v>22</v>
      </c>
    </row>
    <row r="1445" spans="1:16" x14ac:dyDescent="0.25">
      <c r="A1445" s="6" t="s">
        <v>2959</v>
      </c>
      <c r="B1445" s="6" t="s">
        <v>2960</v>
      </c>
      <c r="C1445" s="6" t="s">
        <v>32</v>
      </c>
      <c r="D1445" s="7" t="s">
        <v>49</v>
      </c>
      <c r="E1445" s="7" t="s">
        <v>20</v>
      </c>
      <c r="F1445" s="6" t="s">
        <v>51</v>
      </c>
      <c r="G1445" s="8">
        <v>137477</v>
      </c>
      <c r="H1445" s="8">
        <v>21704</v>
      </c>
      <c r="I1445" s="8">
        <v>15343</v>
      </c>
      <c r="J1445" s="8">
        <v>850</v>
      </c>
      <c r="K1445" s="8">
        <v>136</v>
      </c>
      <c r="L1445" s="8">
        <v>81</v>
      </c>
      <c r="M1445" s="8">
        <v>11</v>
      </c>
      <c r="N1445" s="8">
        <v>541</v>
      </c>
      <c r="O1445" s="9">
        <f t="shared" si="22"/>
        <v>7.0260053444567552E-2</v>
      </c>
      <c r="P1445" s="6" t="s">
        <v>22</v>
      </c>
    </row>
    <row r="1446" spans="1:16" x14ac:dyDescent="0.25">
      <c r="A1446" s="2" t="s">
        <v>2961</v>
      </c>
      <c r="B1446" s="2" t="s">
        <v>2962</v>
      </c>
      <c r="C1446" s="2" t="s">
        <v>76</v>
      </c>
      <c r="D1446" s="3" t="s">
        <v>189</v>
      </c>
      <c r="E1446" s="3" t="s">
        <v>34</v>
      </c>
      <c r="F1446" s="2" t="s">
        <v>87</v>
      </c>
      <c r="G1446" s="4">
        <v>121903</v>
      </c>
      <c r="H1446" s="4">
        <v>27542</v>
      </c>
      <c r="I1446" s="4">
        <v>20546</v>
      </c>
      <c r="J1446" s="4">
        <v>1502</v>
      </c>
      <c r="K1446" s="4">
        <v>88</v>
      </c>
      <c r="L1446" s="4">
        <v>155</v>
      </c>
      <c r="M1446" s="4">
        <v>184</v>
      </c>
      <c r="N1446" s="4">
        <v>564</v>
      </c>
      <c r="O1446" s="5">
        <f t="shared" si="22"/>
        <v>9.3886887958726753E-2</v>
      </c>
      <c r="P1446" s="2" t="s">
        <v>66</v>
      </c>
    </row>
    <row r="1447" spans="1:16" x14ac:dyDescent="0.25">
      <c r="A1447" s="6" t="s">
        <v>2963</v>
      </c>
      <c r="B1447" s="6" t="s">
        <v>2964</v>
      </c>
      <c r="C1447" s="6" t="s">
        <v>43</v>
      </c>
      <c r="D1447" s="7" t="s">
        <v>110</v>
      </c>
      <c r="E1447" s="7" t="s">
        <v>50</v>
      </c>
      <c r="F1447" s="6" t="s">
        <v>46</v>
      </c>
      <c r="G1447" s="8">
        <v>714771</v>
      </c>
      <c r="H1447" s="8">
        <v>108614</v>
      </c>
      <c r="I1447" s="8">
        <v>80466</v>
      </c>
      <c r="J1447" s="8">
        <v>4777</v>
      </c>
      <c r="K1447" s="8">
        <v>696</v>
      </c>
      <c r="L1447" s="8">
        <v>280</v>
      </c>
      <c r="M1447" s="8">
        <v>28</v>
      </c>
      <c r="N1447" s="8">
        <v>1938</v>
      </c>
      <c r="O1447" s="9">
        <f t="shared" si="22"/>
        <v>7.1844008649615987E-2</v>
      </c>
      <c r="P1447" s="6" t="s">
        <v>22</v>
      </c>
    </row>
    <row r="1448" spans="1:16" x14ac:dyDescent="0.25">
      <c r="A1448" s="2" t="s">
        <v>2965</v>
      </c>
      <c r="B1448" s="2" t="s">
        <v>2966</v>
      </c>
      <c r="C1448" s="2" t="s">
        <v>32</v>
      </c>
      <c r="D1448" s="3" t="s">
        <v>49</v>
      </c>
      <c r="E1448" s="3" t="s">
        <v>50</v>
      </c>
      <c r="F1448" s="2" t="s">
        <v>51</v>
      </c>
      <c r="G1448" s="4">
        <v>784132</v>
      </c>
      <c r="H1448" s="4">
        <v>424871</v>
      </c>
      <c r="I1448" s="4">
        <v>320545</v>
      </c>
      <c r="J1448" s="4">
        <v>27625</v>
      </c>
      <c r="K1448" s="4">
        <v>3466</v>
      </c>
      <c r="L1448" s="4">
        <v>2253</v>
      </c>
      <c r="M1448" s="4">
        <v>15</v>
      </c>
      <c r="N1448" s="4">
        <v>5651</v>
      </c>
      <c r="O1448" s="5">
        <f t="shared" si="22"/>
        <v>0.10406963140900653</v>
      </c>
      <c r="P1448" s="2" t="s">
        <v>22</v>
      </c>
    </row>
    <row r="1449" spans="1:16" x14ac:dyDescent="0.25">
      <c r="A1449" s="6" t="s">
        <v>2967</v>
      </c>
      <c r="B1449" s="6" t="s">
        <v>2968</v>
      </c>
      <c r="C1449" s="6" t="s">
        <v>43</v>
      </c>
      <c r="D1449" s="7" t="s">
        <v>69</v>
      </c>
      <c r="E1449" s="7" t="s">
        <v>20</v>
      </c>
      <c r="F1449" s="6" t="s">
        <v>46</v>
      </c>
      <c r="G1449" s="8">
        <v>426927</v>
      </c>
      <c r="H1449" s="8">
        <v>56570</v>
      </c>
      <c r="I1449" s="8">
        <v>41808</v>
      </c>
      <c r="J1449" s="8">
        <v>2433</v>
      </c>
      <c r="K1449" s="8">
        <v>423</v>
      </c>
      <c r="L1449" s="8">
        <v>165</v>
      </c>
      <c r="M1449" s="8">
        <v>21</v>
      </c>
      <c r="N1449" s="8">
        <v>1237</v>
      </c>
      <c r="O1449" s="9">
        <f t="shared" si="22"/>
        <v>7.2761194029850748E-2</v>
      </c>
      <c r="P1449" s="6" t="s">
        <v>22</v>
      </c>
    </row>
    <row r="1450" spans="1:16" x14ac:dyDescent="0.25">
      <c r="A1450" s="2" t="s">
        <v>2969</v>
      </c>
      <c r="B1450" s="2" t="s">
        <v>2970</v>
      </c>
      <c r="C1450" s="2" t="s">
        <v>25</v>
      </c>
      <c r="D1450" s="3" t="s">
        <v>61</v>
      </c>
      <c r="E1450" s="3" t="s">
        <v>34</v>
      </c>
      <c r="F1450" s="2" t="s">
        <v>65</v>
      </c>
      <c r="G1450" s="4">
        <v>439220</v>
      </c>
      <c r="H1450" s="4">
        <v>101882</v>
      </c>
      <c r="I1450" s="4">
        <v>93566</v>
      </c>
      <c r="J1450" s="4">
        <v>3377</v>
      </c>
      <c r="K1450" s="4">
        <v>306</v>
      </c>
      <c r="L1450" s="4">
        <v>322</v>
      </c>
      <c r="M1450" s="4">
        <v>419</v>
      </c>
      <c r="N1450" s="4">
        <v>1391</v>
      </c>
      <c r="O1450" s="5">
        <f t="shared" si="22"/>
        <v>4.7282132398520832E-2</v>
      </c>
      <c r="P1450" s="2" t="s">
        <v>22</v>
      </c>
    </row>
    <row r="1451" spans="1:16" x14ac:dyDescent="0.25">
      <c r="A1451" s="6" t="s">
        <v>2971</v>
      </c>
      <c r="B1451" s="6" t="s">
        <v>2972</v>
      </c>
      <c r="C1451" s="6" t="s">
        <v>18</v>
      </c>
      <c r="D1451" s="7" t="s">
        <v>19</v>
      </c>
      <c r="E1451" s="7" t="s">
        <v>50</v>
      </c>
      <c r="F1451" s="6" t="s">
        <v>21</v>
      </c>
      <c r="G1451" s="8">
        <v>590953</v>
      </c>
      <c r="H1451" s="8">
        <v>279495</v>
      </c>
      <c r="I1451" s="8">
        <v>203472</v>
      </c>
      <c r="J1451" s="8">
        <v>16218</v>
      </c>
      <c r="K1451" s="8">
        <v>2349</v>
      </c>
      <c r="L1451" s="8">
        <v>1486</v>
      </c>
      <c r="M1451" s="8">
        <v>1910</v>
      </c>
      <c r="N1451" s="8">
        <v>3492</v>
      </c>
      <c r="O1451" s="9">
        <f t="shared" si="22"/>
        <v>0.1079411417787214</v>
      </c>
      <c r="P1451" s="6" t="s">
        <v>22</v>
      </c>
    </row>
    <row r="1452" spans="1:16" x14ac:dyDescent="0.25">
      <c r="A1452" s="2" t="s">
        <v>2973</v>
      </c>
      <c r="B1452" s="2" t="s">
        <v>2974</v>
      </c>
      <c r="C1452" s="2" t="s">
        <v>32</v>
      </c>
      <c r="D1452" s="3" t="s">
        <v>33</v>
      </c>
      <c r="E1452" s="3" t="s">
        <v>20</v>
      </c>
      <c r="F1452" s="2" t="s">
        <v>40</v>
      </c>
      <c r="G1452" s="4">
        <v>110773</v>
      </c>
      <c r="H1452" s="4">
        <v>14026</v>
      </c>
      <c r="I1452" s="4">
        <v>11230</v>
      </c>
      <c r="J1452" s="4">
        <v>823</v>
      </c>
      <c r="K1452" s="4">
        <v>139</v>
      </c>
      <c r="L1452" s="4">
        <v>118</v>
      </c>
      <c r="M1452" s="4">
        <v>47</v>
      </c>
      <c r="N1452" s="4">
        <v>333</v>
      </c>
      <c r="O1452" s="5">
        <f t="shared" si="22"/>
        <v>0.10035618878005342</v>
      </c>
      <c r="P1452" s="2" t="s">
        <v>66</v>
      </c>
    </row>
    <row r="1453" spans="1:16" x14ac:dyDescent="0.25">
      <c r="A1453" s="6" t="s">
        <v>2975</v>
      </c>
      <c r="B1453" s="6" t="s">
        <v>2976</v>
      </c>
      <c r="C1453" s="6" t="s">
        <v>18</v>
      </c>
      <c r="D1453" s="7" t="s">
        <v>57</v>
      </c>
      <c r="E1453" s="7" t="s">
        <v>27</v>
      </c>
      <c r="F1453" s="6" t="s">
        <v>58</v>
      </c>
      <c r="G1453" s="8">
        <v>527009</v>
      </c>
      <c r="H1453" s="8">
        <v>116163</v>
      </c>
      <c r="I1453" s="8">
        <v>81981</v>
      </c>
      <c r="J1453" s="8">
        <v>7793</v>
      </c>
      <c r="K1453" s="8">
        <v>693</v>
      </c>
      <c r="L1453" s="8">
        <v>701</v>
      </c>
      <c r="M1453" s="8">
        <v>851</v>
      </c>
      <c r="N1453" s="8">
        <v>2220</v>
      </c>
      <c r="O1453" s="9">
        <f t="shared" si="22"/>
        <v>0.12244300508654445</v>
      </c>
      <c r="P1453" s="6" t="s">
        <v>29</v>
      </c>
    </row>
    <row r="1454" spans="1:16" x14ac:dyDescent="0.25">
      <c r="A1454" s="2" t="s">
        <v>2977</v>
      </c>
      <c r="B1454" s="2" t="s">
        <v>2978</v>
      </c>
      <c r="C1454" s="2" t="s">
        <v>43</v>
      </c>
      <c r="D1454" s="3" t="s">
        <v>81</v>
      </c>
      <c r="E1454" s="3" t="s">
        <v>39</v>
      </c>
      <c r="F1454" s="2" t="s">
        <v>70</v>
      </c>
      <c r="G1454" s="4">
        <v>374204</v>
      </c>
      <c r="H1454" s="4">
        <v>173657</v>
      </c>
      <c r="I1454" s="4">
        <v>124742</v>
      </c>
      <c r="J1454" s="4">
        <v>7574</v>
      </c>
      <c r="K1454" s="4">
        <v>1115</v>
      </c>
      <c r="L1454" s="4">
        <v>797</v>
      </c>
      <c r="M1454" s="4">
        <v>44</v>
      </c>
      <c r="N1454" s="4">
        <v>3274</v>
      </c>
      <c r="O1454" s="5">
        <f t="shared" si="22"/>
        <v>7.6397684821471523E-2</v>
      </c>
      <c r="P1454" s="2" t="s">
        <v>22</v>
      </c>
    </row>
    <row r="1455" spans="1:16" x14ac:dyDescent="0.25">
      <c r="A1455" s="6" t="s">
        <v>2979</v>
      </c>
      <c r="B1455" s="6" t="s">
        <v>2980</v>
      </c>
      <c r="C1455" s="6" t="s">
        <v>32</v>
      </c>
      <c r="D1455" s="7" t="s">
        <v>49</v>
      </c>
      <c r="E1455" s="7" t="s">
        <v>39</v>
      </c>
      <c r="F1455" s="6" t="s">
        <v>128</v>
      </c>
      <c r="G1455" s="8">
        <v>496935</v>
      </c>
      <c r="H1455" s="8">
        <v>259280</v>
      </c>
      <c r="I1455" s="8">
        <v>181727</v>
      </c>
      <c r="J1455" s="8">
        <v>6670</v>
      </c>
      <c r="K1455" s="8">
        <v>736</v>
      </c>
      <c r="L1455" s="8">
        <v>500</v>
      </c>
      <c r="M1455" s="8">
        <v>30</v>
      </c>
      <c r="N1455" s="8">
        <v>8755</v>
      </c>
      <c r="O1455" s="9">
        <f t="shared" si="22"/>
        <v>4.3669900455078223E-2</v>
      </c>
      <c r="P1455" s="6" t="s">
        <v>66</v>
      </c>
    </row>
    <row r="1456" spans="1:16" x14ac:dyDescent="0.25">
      <c r="A1456" s="2" t="s">
        <v>2981</v>
      </c>
      <c r="B1456" s="2" t="s">
        <v>2982</v>
      </c>
      <c r="C1456" s="2" t="s">
        <v>32</v>
      </c>
      <c r="D1456" s="3" t="s">
        <v>38</v>
      </c>
      <c r="E1456" s="3" t="s">
        <v>27</v>
      </c>
      <c r="F1456" s="2" t="s">
        <v>51</v>
      </c>
      <c r="G1456" s="4">
        <v>126048</v>
      </c>
      <c r="H1456" s="4">
        <v>18884</v>
      </c>
      <c r="I1456" s="4">
        <v>14873</v>
      </c>
      <c r="J1456" s="4">
        <v>600</v>
      </c>
      <c r="K1456" s="4">
        <v>87</v>
      </c>
      <c r="L1456" s="4">
        <v>73</v>
      </c>
      <c r="M1456" s="4">
        <v>28</v>
      </c>
      <c r="N1456" s="4">
        <v>319</v>
      </c>
      <c r="O1456" s="5">
        <f t="shared" si="22"/>
        <v>5.2981913534592889E-2</v>
      </c>
      <c r="P1456" s="2" t="s">
        <v>22</v>
      </c>
    </row>
    <row r="1457" spans="1:16" x14ac:dyDescent="0.25">
      <c r="A1457" s="6" t="s">
        <v>2983</v>
      </c>
      <c r="B1457" s="6" t="s">
        <v>2984</v>
      </c>
      <c r="C1457" s="6" t="s">
        <v>25</v>
      </c>
      <c r="D1457" s="7" t="s">
        <v>26</v>
      </c>
      <c r="E1457" s="7" t="s">
        <v>45</v>
      </c>
      <c r="F1457" s="6" t="s">
        <v>28</v>
      </c>
      <c r="G1457" s="8">
        <v>363705</v>
      </c>
      <c r="H1457" s="8">
        <v>71619</v>
      </c>
      <c r="I1457" s="8">
        <v>53146</v>
      </c>
      <c r="J1457" s="8">
        <v>1900</v>
      </c>
      <c r="K1457" s="8">
        <v>96</v>
      </c>
      <c r="L1457" s="8">
        <v>267</v>
      </c>
      <c r="M1457" s="8">
        <v>422</v>
      </c>
      <c r="N1457" s="8">
        <v>1622</v>
      </c>
      <c r="O1457" s="9">
        <f t="shared" si="22"/>
        <v>5.0521205735144695E-2</v>
      </c>
      <c r="P1457" s="6" t="s">
        <v>66</v>
      </c>
    </row>
    <row r="1458" spans="1:16" x14ac:dyDescent="0.25">
      <c r="A1458" s="2" t="s">
        <v>2985</v>
      </c>
      <c r="B1458" s="2" t="s">
        <v>2986</v>
      </c>
      <c r="C1458" s="2" t="s">
        <v>43</v>
      </c>
      <c r="D1458" s="3" t="s">
        <v>110</v>
      </c>
      <c r="E1458" s="3" t="s">
        <v>27</v>
      </c>
      <c r="F1458" s="2" t="s">
        <v>107</v>
      </c>
      <c r="G1458" s="4">
        <v>86306</v>
      </c>
      <c r="H1458" s="4">
        <v>12307</v>
      </c>
      <c r="I1458" s="4">
        <v>9734</v>
      </c>
      <c r="J1458" s="4">
        <v>918</v>
      </c>
      <c r="K1458" s="4">
        <v>126</v>
      </c>
      <c r="L1458" s="4">
        <v>86</v>
      </c>
      <c r="M1458" s="4">
        <v>5</v>
      </c>
      <c r="N1458" s="4">
        <v>290</v>
      </c>
      <c r="O1458" s="5">
        <f t="shared" si="22"/>
        <v>0.11660160262995685</v>
      </c>
      <c r="P1458" s="2" t="s">
        <v>22</v>
      </c>
    </row>
    <row r="1459" spans="1:16" x14ac:dyDescent="0.25">
      <c r="A1459" s="6" t="s">
        <v>2987</v>
      </c>
      <c r="B1459" s="6" t="s">
        <v>2988</v>
      </c>
      <c r="C1459" s="6" t="s">
        <v>43</v>
      </c>
      <c r="D1459" s="7" t="s">
        <v>44</v>
      </c>
      <c r="E1459" s="7" t="s">
        <v>20</v>
      </c>
      <c r="F1459" s="6" t="s">
        <v>46</v>
      </c>
      <c r="G1459" s="8">
        <v>233893</v>
      </c>
      <c r="H1459" s="8">
        <v>23092</v>
      </c>
      <c r="I1459" s="8">
        <v>16710</v>
      </c>
      <c r="J1459" s="8">
        <v>946</v>
      </c>
      <c r="K1459" s="8">
        <v>138</v>
      </c>
      <c r="L1459" s="8">
        <v>22</v>
      </c>
      <c r="M1459" s="8">
        <v>25</v>
      </c>
      <c r="N1459" s="8">
        <v>653</v>
      </c>
      <c r="O1459" s="9">
        <f t="shared" si="22"/>
        <v>6.7684021543985631E-2</v>
      </c>
      <c r="P1459" s="6" t="s">
        <v>22</v>
      </c>
    </row>
    <row r="1460" spans="1:16" x14ac:dyDescent="0.25">
      <c r="A1460" s="2" t="s">
        <v>2989</v>
      </c>
      <c r="B1460" s="2" t="s">
        <v>2990</v>
      </c>
      <c r="C1460" s="2" t="s">
        <v>76</v>
      </c>
      <c r="D1460" s="3" t="s">
        <v>77</v>
      </c>
      <c r="E1460" s="3" t="s">
        <v>20</v>
      </c>
      <c r="F1460" s="2" t="s">
        <v>155</v>
      </c>
      <c r="G1460" s="4">
        <v>245375</v>
      </c>
      <c r="H1460" s="4">
        <v>57658</v>
      </c>
      <c r="I1460" s="4">
        <v>52000</v>
      </c>
      <c r="J1460" s="4">
        <v>2603</v>
      </c>
      <c r="K1460" s="4">
        <v>266</v>
      </c>
      <c r="L1460" s="4">
        <v>322</v>
      </c>
      <c r="M1460" s="4">
        <v>628</v>
      </c>
      <c r="N1460" s="4">
        <v>761</v>
      </c>
      <c r="O1460" s="5">
        <f t="shared" si="22"/>
        <v>7.3442307692307696E-2</v>
      </c>
      <c r="P1460" s="2" t="s">
        <v>29</v>
      </c>
    </row>
    <row r="1461" spans="1:16" x14ac:dyDescent="0.25">
      <c r="A1461" s="6" t="s">
        <v>2991</v>
      </c>
      <c r="B1461" s="6" t="s">
        <v>2992</v>
      </c>
      <c r="C1461" s="6" t="s">
        <v>43</v>
      </c>
      <c r="D1461" s="7" t="s">
        <v>110</v>
      </c>
      <c r="E1461" s="7" t="s">
        <v>34</v>
      </c>
      <c r="F1461" s="6" t="s">
        <v>107</v>
      </c>
      <c r="G1461" s="8">
        <v>67591</v>
      </c>
      <c r="H1461" s="8">
        <v>38732</v>
      </c>
      <c r="I1461" s="8">
        <v>32229</v>
      </c>
      <c r="J1461" s="8">
        <v>862</v>
      </c>
      <c r="K1461" s="8">
        <v>154</v>
      </c>
      <c r="L1461" s="8">
        <v>119</v>
      </c>
      <c r="M1461" s="8">
        <v>5</v>
      </c>
      <c r="N1461" s="8">
        <v>314</v>
      </c>
      <c r="O1461" s="9">
        <f t="shared" si="22"/>
        <v>3.5371870054919485E-2</v>
      </c>
      <c r="P1461" s="6" t="s">
        <v>22</v>
      </c>
    </row>
    <row r="1462" spans="1:16" x14ac:dyDescent="0.25">
      <c r="A1462" s="2" t="s">
        <v>2993</v>
      </c>
      <c r="B1462" s="2" t="s">
        <v>2994</v>
      </c>
      <c r="C1462" s="2" t="s">
        <v>43</v>
      </c>
      <c r="D1462" s="3" t="s">
        <v>81</v>
      </c>
      <c r="E1462" s="3" t="s">
        <v>34</v>
      </c>
      <c r="F1462" s="2" t="s">
        <v>70</v>
      </c>
      <c r="G1462" s="4">
        <v>329184</v>
      </c>
      <c r="H1462" s="4">
        <v>199465</v>
      </c>
      <c r="I1462" s="4">
        <v>146230</v>
      </c>
      <c r="J1462" s="4">
        <v>10713</v>
      </c>
      <c r="K1462" s="4">
        <v>1738</v>
      </c>
      <c r="L1462" s="4">
        <v>1402</v>
      </c>
      <c r="M1462" s="4">
        <v>7</v>
      </c>
      <c r="N1462" s="4">
        <v>3416</v>
      </c>
      <c r="O1462" s="5">
        <f t="shared" si="22"/>
        <v>9.4782192436572529E-2</v>
      </c>
      <c r="P1462" s="2" t="s">
        <v>22</v>
      </c>
    </row>
    <row r="1463" spans="1:16" x14ac:dyDescent="0.25">
      <c r="A1463" s="6" t="s">
        <v>2995</v>
      </c>
      <c r="B1463" s="6" t="s">
        <v>2996</v>
      </c>
      <c r="C1463" s="6" t="s">
        <v>43</v>
      </c>
      <c r="D1463" s="7" t="s">
        <v>172</v>
      </c>
      <c r="E1463" s="7" t="s">
        <v>34</v>
      </c>
      <c r="F1463" s="6" t="s">
        <v>70</v>
      </c>
      <c r="G1463" s="8">
        <v>308661</v>
      </c>
      <c r="H1463" s="8">
        <v>192672</v>
      </c>
      <c r="I1463" s="8">
        <v>143372</v>
      </c>
      <c r="J1463" s="8">
        <v>9656</v>
      </c>
      <c r="K1463" s="8">
        <v>1365</v>
      </c>
      <c r="L1463" s="8">
        <v>606</v>
      </c>
      <c r="M1463" s="8">
        <v>35</v>
      </c>
      <c r="N1463" s="8">
        <v>2472</v>
      </c>
      <c r="O1463" s="9">
        <f t="shared" si="22"/>
        <v>8.1340847585302564E-2</v>
      </c>
      <c r="P1463" s="6" t="s">
        <v>22</v>
      </c>
    </row>
    <row r="1464" spans="1:16" x14ac:dyDescent="0.25">
      <c r="A1464" s="2" t="s">
        <v>2997</v>
      </c>
      <c r="B1464" s="2" t="s">
        <v>2998</v>
      </c>
      <c r="C1464" s="2" t="s">
        <v>76</v>
      </c>
      <c r="D1464" s="3" t="s">
        <v>182</v>
      </c>
      <c r="E1464" s="3" t="s">
        <v>34</v>
      </c>
      <c r="F1464" s="2" t="s">
        <v>104</v>
      </c>
      <c r="G1464" s="4">
        <v>595442</v>
      </c>
      <c r="H1464" s="4">
        <v>80275</v>
      </c>
      <c r="I1464" s="4">
        <v>57953</v>
      </c>
      <c r="J1464" s="4">
        <v>6040</v>
      </c>
      <c r="K1464" s="4">
        <v>527</v>
      </c>
      <c r="L1464" s="4">
        <v>183</v>
      </c>
      <c r="M1464" s="4">
        <v>1252</v>
      </c>
      <c r="N1464" s="4">
        <v>639</v>
      </c>
      <c r="O1464" s="5">
        <f t="shared" si="22"/>
        <v>0.13807740755439754</v>
      </c>
      <c r="P1464" s="2" t="s">
        <v>29</v>
      </c>
    </row>
    <row r="1465" spans="1:16" x14ac:dyDescent="0.25">
      <c r="A1465" s="6" t="s">
        <v>2999</v>
      </c>
      <c r="B1465" s="6" t="s">
        <v>3000</v>
      </c>
      <c r="C1465" s="6" t="s">
        <v>25</v>
      </c>
      <c r="D1465" s="7" t="s">
        <v>145</v>
      </c>
      <c r="E1465" s="7" t="s">
        <v>27</v>
      </c>
      <c r="F1465" s="6" t="s">
        <v>28</v>
      </c>
      <c r="G1465" s="8">
        <v>19511</v>
      </c>
      <c r="H1465" s="8">
        <v>4935</v>
      </c>
      <c r="I1465" s="8">
        <v>4180</v>
      </c>
      <c r="J1465" s="8">
        <v>99</v>
      </c>
      <c r="K1465" s="8">
        <v>17</v>
      </c>
      <c r="L1465" s="8">
        <v>8</v>
      </c>
      <c r="M1465" s="8">
        <v>20</v>
      </c>
      <c r="N1465" s="8">
        <v>37</v>
      </c>
      <c r="O1465" s="9">
        <f t="shared" si="22"/>
        <v>3.4449760765550237E-2</v>
      </c>
      <c r="P1465" s="6" t="s">
        <v>22</v>
      </c>
    </row>
    <row r="1466" spans="1:16" x14ac:dyDescent="0.25">
      <c r="A1466" s="2" t="s">
        <v>3001</v>
      </c>
      <c r="B1466" s="2" t="s">
        <v>3002</v>
      </c>
      <c r="C1466" s="2" t="s">
        <v>18</v>
      </c>
      <c r="D1466" s="3" t="s">
        <v>231</v>
      </c>
      <c r="E1466" s="3" t="s">
        <v>20</v>
      </c>
      <c r="F1466" s="2" t="s">
        <v>58</v>
      </c>
      <c r="G1466" s="4">
        <v>733567</v>
      </c>
      <c r="H1466" s="4">
        <v>447313</v>
      </c>
      <c r="I1466" s="4">
        <v>408551</v>
      </c>
      <c r="J1466" s="4">
        <v>21733</v>
      </c>
      <c r="K1466" s="4">
        <v>2314</v>
      </c>
      <c r="L1466" s="4">
        <v>1821</v>
      </c>
      <c r="M1466" s="4">
        <v>2367</v>
      </c>
      <c r="N1466" s="4">
        <v>7989</v>
      </c>
      <c r="O1466" s="5">
        <f t="shared" si="22"/>
        <v>6.9110098861586436E-2</v>
      </c>
      <c r="P1466" s="2" t="s">
        <v>29</v>
      </c>
    </row>
    <row r="1467" spans="1:16" x14ac:dyDescent="0.25">
      <c r="A1467" s="6" t="s">
        <v>3003</v>
      </c>
      <c r="B1467" s="6" t="s">
        <v>3004</v>
      </c>
      <c r="C1467" s="6" t="s">
        <v>76</v>
      </c>
      <c r="D1467" s="7" t="s">
        <v>182</v>
      </c>
      <c r="E1467" s="7" t="s">
        <v>50</v>
      </c>
      <c r="F1467" s="6" t="s">
        <v>87</v>
      </c>
      <c r="G1467" s="8">
        <v>692065</v>
      </c>
      <c r="H1467" s="8">
        <v>103536</v>
      </c>
      <c r="I1467" s="8">
        <v>95224</v>
      </c>
      <c r="J1467" s="8">
        <v>3122</v>
      </c>
      <c r="K1467" s="8">
        <v>394</v>
      </c>
      <c r="L1467" s="8">
        <v>110</v>
      </c>
      <c r="M1467" s="8">
        <v>333</v>
      </c>
      <c r="N1467" s="8">
        <v>666</v>
      </c>
      <c r="O1467" s="9">
        <f t="shared" si="22"/>
        <v>4.1575653196673105E-2</v>
      </c>
      <c r="P1467" s="6" t="s">
        <v>29</v>
      </c>
    </row>
    <row r="1468" spans="1:16" x14ac:dyDescent="0.25">
      <c r="A1468" s="2" t="s">
        <v>3005</v>
      </c>
      <c r="B1468" s="2" t="s">
        <v>3006</v>
      </c>
      <c r="C1468" s="2" t="s">
        <v>76</v>
      </c>
      <c r="D1468" s="3" t="s">
        <v>182</v>
      </c>
      <c r="E1468" s="3" t="s">
        <v>27</v>
      </c>
      <c r="F1468" s="2" t="s">
        <v>104</v>
      </c>
      <c r="G1468" s="4">
        <v>696541</v>
      </c>
      <c r="H1468" s="4">
        <v>82097</v>
      </c>
      <c r="I1468" s="4">
        <v>62042</v>
      </c>
      <c r="J1468" s="4">
        <v>3338</v>
      </c>
      <c r="K1468" s="4">
        <v>183</v>
      </c>
      <c r="L1468" s="4">
        <v>206</v>
      </c>
      <c r="M1468" s="4">
        <v>672</v>
      </c>
      <c r="N1468" s="4">
        <v>1634</v>
      </c>
      <c r="O1468" s="5">
        <f t="shared" si="22"/>
        <v>7.0903581444827696E-2</v>
      </c>
      <c r="P1468" s="2" t="s">
        <v>22</v>
      </c>
    </row>
    <row r="1469" spans="1:16" x14ac:dyDescent="0.25">
      <c r="A1469" s="6" t="s">
        <v>3007</v>
      </c>
      <c r="B1469" s="6" t="s">
        <v>3008</v>
      </c>
      <c r="C1469" s="6" t="s">
        <v>18</v>
      </c>
      <c r="D1469" s="7" t="s">
        <v>231</v>
      </c>
      <c r="E1469" s="7" t="s">
        <v>39</v>
      </c>
      <c r="F1469" s="6" t="s">
        <v>73</v>
      </c>
      <c r="G1469" s="8">
        <v>70662</v>
      </c>
      <c r="H1469" s="8">
        <v>24444</v>
      </c>
      <c r="I1469" s="8">
        <v>20322</v>
      </c>
      <c r="J1469" s="8">
        <v>1388</v>
      </c>
      <c r="K1469" s="8">
        <v>150</v>
      </c>
      <c r="L1469" s="8">
        <v>192</v>
      </c>
      <c r="M1469" s="8">
        <v>169</v>
      </c>
      <c r="N1469" s="8">
        <v>408</v>
      </c>
      <c r="O1469" s="9">
        <f t="shared" si="22"/>
        <v>9.3445527015057567E-2</v>
      </c>
      <c r="P1469" s="6" t="s">
        <v>22</v>
      </c>
    </row>
    <row r="1470" spans="1:16" x14ac:dyDescent="0.25">
      <c r="A1470" s="2" t="s">
        <v>3009</v>
      </c>
      <c r="B1470" s="2" t="s">
        <v>3010</v>
      </c>
      <c r="C1470" s="2" t="s">
        <v>76</v>
      </c>
      <c r="D1470" s="3" t="s">
        <v>103</v>
      </c>
      <c r="E1470" s="3" t="s">
        <v>34</v>
      </c>
      <c r="F1470" s="2" t="s">
        <v>78</v>
      </c>
      <c r="G1470" s="4">
        <v>456204</v>
      </c>
      <c r="H1470" s="4">
        <v>280691</v>
      </c>
      <c r="I1470" s="4">
        <v>209340</v>
      </c>
      <c r="J1470" s="4">
        <v>11745</v>
      </c>
      <c r="K1470" s="4">
        <v>1241</v>
      </c>
      <c r="L1470" s="4">
        <v>1588</v>
      </c>
      <c r="M1470" s="4">
        <v>2587</v>
      </c>
      <c r="N1470" s="4">
        <v>2954</v>
      </c>
      <c r="O1470" s="5">
        <f t="shared" si="22"/>
        <v>8.1976688640489154E-2</v>
      </c>
      <c r="P1470" s="2" t="s">
        <v>29</v>
      </c>
    </row>
    <row r="1471" spans="1:16" x14ac:dyDescent="0.25">
      <c r="A1471" s="6" t="s">
        <v>3011</v>
      </c>
      <c r="B1471" s="6" t="s">
        <v>3012</v>
      </c>
      <c r="C1471" s="6" t="s">
        <v>32</v>
      </c>
      <c r="D1471" s="7" t="s">
        <v>49</v>
      </c>
      <c r="E1471" s="7" t="s">
        <v>45</v>
      </c>
      <c r="F1471" s="6" t="s">
        <v>40</v>
      </c>
      <c r="G1471" s="8">
        <v>427271</v>
      </c>
      <c r="H1471" s="8">
        <v>97257</v>
      </c>
      <c r="I1471" s="8">
        <v>78273</v>
      </c>
      <c r="J1471" s="8">
        <v>5815</v>
      </c>
      <c r="K1471" s="8">
        <v>246</v>
      </c>
      <c r="L1471" s="8">
        <v>765</v>
      </c>
      <c r="M1471" s="8">
        <v>41</v>
      </c>
      <c r="N1471" s="8">
        <v>3173</v>
      </c>
      <c r="O1471" s="9">
        <f t="shared" si="22"/>
        <v>8.7731401632746925E-2</v>
      </c>
      <c r="P1471" s="6" t="s">
        <v>22</v>
      </c>
    </row>
    <row r="1472" spans="1:16" x14ac:dyDescent="0.25">
      <c r="A1472" s="2" t="s">
        <v>3013</v>
      </c>
      <c r="B1472" s="2" t="s">
        <v>3014</v>
      </c>
      <c r="C1472" s="2" t="s">
        <v>43</v>
      </c>
      <c r="D1472" s="3" t="s">
        <v>69</v>
      </c>
      <c r="E1472" s="3" t="s">
        <v>20</v>
      </c>
      <c r="F1472" s="2" t="s">
        <v>46</v>
      </c>
      <c r="G1472" s="4">
        <v>44993</v>
      </c>
      <c r="H1472" s="4">
        <v>16728</v>
      </c>
      <c r="I1472" s="4">
        <v>14683</v>
      </c>
      <c r="J1472" s="4">
        <v>1214</v>
      </c>
      <c r="K1472" s="4">
        <v>37</v>
      </c>
      <c r="L1472" s="4">
        <v>124</v>
      </c>
      <c r="M1472" s="4">
        <v>26</v>
      </c>
      <c r="N1472" s="4">
        <v>288</v>
      </c>
      <c r="O1472" s="5">
        <f t="shared" si="22"/>
        <v>9.5416468024245721E-2</v>
      </c>
      <c r="P1472" s="2" t="s">
        <v>22</v>
      </c>
    </row>
    <row r="1473" spans="1:16" x14ac:dyDescent="0.25">
      <c r="A1473" s="6" t="s">
        <v>3015</v>
      </c>
      <c r="B1473" s="6" t="s">
        <v>3016</v>
      </c>
      <c r="C1473" s="6" t="s">
        <v>76</v>
      </c>
      <c r="D1473" s="7" t="s">
        <v>182</v>
      </c>
      <c r="E1473" s="7" t="s">
        <v>20</v>
      </c>
      <c r="F1473" s="6" t="s">
        <v>155</v>
      </c>
      <c r="G1473" s="8">
        <v>10582</v>
      </c>
      <c r="H1473" s="8">
        <v>1862</v>
      </c>
      <c r="I1473" s="8">
        <v>1598</v>
      </c>
      <c r="J1473" s="8">
        <v>50</v>
      </c>
      <c r="K1473" s="8">
        <v>8</v>
      </c>
      <c r="L1473" s="8">
        <v>5</v>
      </c>
      <c r="M1473" s="8">
        <v>3</v>
      </c>
      <c r="N1473" s="8">
        <v>17</v>
      </c>
      <c r="O1473" s="9">
        <f t="shared" si="22"/>
        <v>4.130162703379224E-2</v>
      </c>
      <c r="P1473" s="6" t="s">
        <v>22</v>
      </c>
    </row>
    <row r="1474" spans="1:16" x14ac:dyDescent="0.25">
      <c r="A1474" s="2" t="s">
        <v>3017</v>
      </c>
      <c r="B1474" s="2" t="s">
        <v>3018</v>
      </c>
      <c r="C1474" s="2" t="s">
        <v>76</v>
      </c>
      <c r="D1474" s="3" t="s">
        <v>189</v>
      </c>
      <c r="E1474" s="3" t="s">
        <v>50</v>
      </c>
      <c r="F1474" s="2" t="s">
        <v>104</v>
      </c>
      <c r="G1474" s="4">
        <v>345113</v>
      </c>
      <c r="H1474" s="4">
        <v>131082</v>
      </c>
      <c r="I1474" s="4">
        <v>120593</v>
      </c>
      <c r="J1474" s="4">
        <v>7270</v>
      </c>
      <c r="K1474" s="4">
        <v>542</v>
      </c>
      <c r="L1474" s="4">
        <v>146</v>
      </c>
      <c r="M1474" s="4">
        <v>497</v>
      </c>
      <c r="N1474" s="4">
        <v>3511</v>
      </c>
      <c r="O1474" s="5">
        <f t="shared" ref="O1474:O1537" si="23">IF(I1474&gt;0, (J1474+K1474+L1474+M1474)/I1474, 0)</f>
        <v>7.0111863872695759E-2</v>
      </c>
      <c r="P1474" s="2" t="s">
        <v>22</v>
      </c>
    </row>
    <row r="1475" spans="1:16" x14ac:dyDescent="0.25">
      <c r="A1475" s="6" t="s">
        <v>3019</v>
      </c>
      <c r="B1475" s="6" t="s">
        <v>3020</v>
      </c>
      <c r="C1475" s="6" t="s">
        <v>25</v>
      </c>
      <c r="D1475" s="7" t="s">
        <v>244</v>
      </c>
      <c r="E1475" s="7" t="s">
        <v>34</v>
      </c>
      <c r="F1475" s="6" t="s">
        <v>54</v>
      </c>
      <c r="G1475" s="8">
        <v>260737</v>
      </c>
      <c r="H1475" s="8">
        <v>25273</v>
      </c>
      <c r="I1475" s="8">
        <v>19439</v>
      </c>
      <c r="J1475" s="8">
        <v>988</v>
      </c>
      <c r="K1475" s="8">
        <v>145</v>
      </c>
      <c r="L1475" s="8">
        <v>76</v>
      </c>
      <c r="M1475" s="8">
        <v>78</v>
      </c>
      <c r="N1475" s="8">
        <v>707</v>
      </c>
      <c r="O1475" s="9">
        <f t="shared" si="23"/>
        <v>6.6207109419208807E-2</v>
      </c>
      <c r="P1475" s="6" t="s">
        <v>22</v>
      </c>
    </row>
    <row r="1476" spans="1:16" x14ac:dyDescent="0.25">
      <c r="A1476" s="2" t="s">
        <v>3021</v>
      </c>
      <c r="B1476" s="2" t="s">
        <v>3022</v>
      </c>
      <c r="C1476" s="2" t="s">
        <v>32</v>
      </c>
      <c r="D1476" s="3" t="s">
        <v>38</v>
      </c>
      <c r="E1476" s="3" t="s">
        <v>34</v>
      </c>
      <c r="F1476" s="2" t="s">
        <v>40</v>
      </c>
      <c r="G1476" s="4">
        <v>515646</v>
      </c>
      <c r="H1476" s="4">
        <v>53283</v>
      </c>
      <c r="I1476" s="4">
        <v>42741</v>
      </c>
      <c r="J1476" s="4">
        <v>1833</v>
      </c>
      <c r="K1476" s="4">
        <v>90</v>
      </c>
      <c r="L1476" s="4">
        <v>165</v>
      </c>
      <c r="M1476" s="4">
        <v>4</v>
      </c>
      <c r="N1476" s="4">
        <v>304</v>
      </c>
      <c r="O1476" s="5">
        <f t="shared" si="23"/>
        <v>4.8945976930815843E-2</v>
      </c>
      <c r="P1476" s="2" t="s">
        <v>22</v>
      </c>
    </row>
    <row r="1477" spans="1:16" x14ac:dyDescent="0.25">
      <c r="A1477" s="6" t="s">
        <v>3023</v>
      </c>
      <c r="B1477" s="6" t="s">
        <v>3024</v>
      </c>
      <c r="C1477" s="6" t="s">
        <v>18</v>
      </c>
      <c r="D1477" s="7" t="s">
        <v>19</v>
      </c>
      <c r="E1477" s="7" t="s">
        <v>50</v>
      </c>
      <c r="F1477" s="6" t="s">
        <v>21</v>
      </c>
      <c r="G1477" s="8">
        <v>645554</v>
      </c>
      <c r="H1477" s="8">
        <v>330950</v>
      </c>
      <c r="I1477" s="8">
        <v>287153</v>
      </c>
      <c r="J1477" s="8">
        <v>21729</v>
      </c>
      <c r="K1477" s="8">
        <v>963</v>
      </c>
      <c r="L1477" s="8">
        <v>2287</v>
      </c>
      <c r="M1477" s="8">
        <v>2337</v>
      </c>
      <c r="N1477" s="8">
        <v>7171</v>
      </c>
      <c r="O1477" s="9">
        <f t="shared" si="23"/>
        <v>9.5126988051665834E-2</v>
      </c>
      <c r="P1477" s="6" t="s">
        <v>29</v>
      </c>
    </row>
    <row r="1478" spans="1:16" x14ac:dyDescent="0.25">
      <c r="A1478" s="2" t="s">
        <v>3025</v>
      </c>
      <c r="B1478" s="2" t="s">
        <v>3026</v>
      </c>
      <c r="C1478" s="2" t="s">
        <v>25</v>
      </c>
      <c r="D1478" s="3" t="s">
        <v>61</v>
      </c>
      <c r="E1478" s="3" t="s">
        <v>34</v>
      </c>
      <c r="F1478" s="2" t="s">
        <v>146</v>
      </c>
      <c r="G1478" s="4">
        <v>91631</v>
      </c>
      <c r="H1478" s="4">
        <v>42540</v>
      </c>
      <c r="I1478" s="4">
        <v>31867</v>
      </c>
      <c r="J1478" s="4">
        <v>1834</v>
      </c>
      <c r="K1478" s="4">
        <v>262</v>
      </c>
      <c r="L1478" s="4">
        <v>155</v>
      </c>
      <c r="M1478" s="4">
        <v>426</v>
      </c>
      <c r="N1478" s="4">
        <v>1032</v>
      </c>
      <c r="O1478" s="5">
        <f t="shared" si="23"/>
        <v>8.4005397433081247E-2</v>
      </c>
      <c r="P1478" s="2" t="s">
        <v>66</v>
      </c>
    </row>
    <row r="1479" spans="1:16" x14ac:dyDescent="0.25">
      <c r="A1479" s="6" t="s">
        <v>3027</v>
      </c>
      <c r="B1479" s="6" t="s">
        <v>3028</v>
      </c>
      <c r="C1479" s="6" t="s">
        <v>43</v>
      </c>
      <c r="D1479" s="7" t="s">
        <v>81</v>
      </c>
      <c r="E1479" s="7" t="s">
        <v>45</v>
      </c>
      <c r="F1479" s="6" t="s">
        <v>70</v>
      </c>
      <c r="G1479" s="8">
        <v>104575</v>
      </c>
      <c r="H1479" s="8">
        <v>47746</v>
      </c>
      <c r="I1479" s="8">
        <v>42927</v>
      </c>
      <c r="J1479" s="8">
        <v>2228</v>
      </c>
      <c r="K1479" s="8">
        <v>378</v>
      </c>
      <c r="L1479" s="8">
        <v>306</v>
      </c>
      <c r="M1479" s="8">
        <v>46</v>
      </c>
      <c r="N1479" s="8">
        <v>815</v>
      </c>
      <c r="O1479" s="9">
        <f t="shared" si="23"/>
        <v>6.8907680480816275E-2</v>
      </c>
      <c r="P1479" s="6" t="s">
        <v>22</v>
      </c>
    </row>
    <row r="1480" spans="1:16" x14ac:dyDescent="0.25">
      <c r="A1480" s="2" t="s">
        <v>3029</v>
      </c>
      <c r="B1480" s="2" t="s">
        <v>3030</v>
      </c>
      <c r="C1480" s="2" t="s">
        <v>18</v>
      </c>
      <c r="D1480" s="3" t="s">
        <v>57</v>
      </c>
      <c r="E1480" s="3" t="s">
        <v>50</v>
      </c>
      <c r="F1480" s="2" t="s">
        <v>73</v>
      </c>
      <c r="G1480" s="4">
        <v>602458</v>
      </c>
      <c r="H1480" s="4">
        <v>311982</v>
      </c>
      <c r="I1480" s="4">
        <v>270520</v>
      </c>
      <c r="J1480" s="4">
        <v>9732</v>
      </c>
      <c r="K1480" s="4">
        <v>1598</v>
      </c>
      <c r="L1480" s="4">
        <v>195</v>
      </c>
      <c r="M1480" s="4">
        <v>1302</v>
      </c>
      <c r="N1480" s="4">
        <v>10589</v>
      </c>
      <c r="O1480" s="5">
        <f t="shared" si="23"/>
        <v>4.741608753511755E-2</v>
      </c>
      <c r="P1480" s="2" t="s">
        <v>22</v>
      </c>
    </row>
    <row r="1481" spans="1:16" x14ac:dyDescent="0.25">
      <c r="A1481" s="6" t="s">
        <v>3031</v>
      </c>
      <c r="B1481" s="6" t="s">
        <v>3032</v>
      </c>
      <c r="C1481" s="6" t="s">
        <v>25</v>
      </c>
      <c r="D1481" s="7" t="s">
        <v>61</v>
      </c>
      <c r="E1481" s="7" t="s">
        <v>27</v>
      </c>
      <c r="F1481" s="6" t="s">
        <v>65</v>
      </c>
      <c r="G1481" s="8">
        <v>17990</v>
      </c>
      <c r="H1481" s="8">
        <v>8903</v>
      </c>
      <c r="I1481" s="8">
        <v>6881</v>
      </c>
      <c r="J1481" s="8">
        <v>423</v>
      </c>
      <c r="K1481" s="8">
        <v>27</v>
      </c>
      <c r="L1481" s="8">
        <v>50</v>
      </c>
      <c r="M1481" s="8">
        <v>52</v>
      </c>
      <c r="N1481" s="8">
        <v>283</v>
      </c>
      <c r="O1481" s="9">
        <f t="shared" si="23"/>
        <v>8.0220898125272486E-2</v>
      </c>
      <c r="P1481" s="6" t="s">
        <v>22</v>
      </c>
    </row>
    <row r="1482" spans="1:16" x14ac:dyDescent="0.25">
      <c r="A1482" s="2" t="s">
        <v>3033</v>
      </c>
      <c r="B1482" s="2" t="s">
        <v>3034</v>
      </c>
      <c r="C1482" s="2" t="s">
        <v>76</v>
      </c>
      <c r="D1482" s="3" t="s">
        <v>86</v>
      </c>
      <c r="E1482" s="3" t="s">
        <v>39</v>
      </c>
      <c r="F1482" s="2" t="s">
        <v>87</v>
      </c>
      <c r="G1482" s="4">
        <v>315857</v>
      </c>
      <c r="H1482" s="4">
        <v>124620</v>
      </c>
      <c r="I1482" s="4">
        <v>97041</v>
      </c>
      <c r="J1482" s="4">
        <v>7240</v>
      </c>
      <c r="K1482" s="4">
        <v>773</v>
      </c>
      <c r="L1482" s="4">
        <v>327</v>
      </c>
      <c r="M1482" s="4">
        <v>1408</v>
      </c>
      <c r="N1482" s="4">
        <v>2925</v>
      </c>
      <c r="O1482" s="5">
        <f t="shared" si="23"/>
        <v>0.10045238610484228</v>
      </c>
      <c r="P1482" s="2" t="s">
        <v>22</v>
      </c>
    </row>
    <row r="1483" spans="1:16" x14ac:dyDescent="0.25">
      <c r="A1483" s="6" t="s">
        <v>3035</v>
      </c>
      <c r="B1483" s="6" t="s">
        <v>3036</v>
      </c>
      <c r="C1483" s="6" t="s">
        <v>18</v>
      </c>
      <c r="D1483" s="7" t="s">
        <v>57</v>
      </c>
      <c r="E1483" s="7" t="s">
        <v>39</v>
      </c>
      <c r="F1483" s="6" t="s">
        <v>21</v>
      </c>
      <c r="G1483" s="8">
        <v>341303</v>
      </c>
      <c r="H1483" s="8">
        <v>185193</v>
      </c>
      <c r="I1483" s="8">
        <v>141123</v>
      </c>
      <c r="J1483" s="8">
        <v>5750</v>
      </c>
      <c r="K1483" s="8">
        <v>814</v>
      </c>
      <c r="L1483" s="8">
        <v>788</v>
      </c>
      <c r="M1483" s="8">
        <v>487</v>
      </c>
      <c r="N1483" s="8">
        <v>2600</v>
      </c>
      <c r="O1483" s="9">
        <f t="shared" si="23"/>
        <v>5.5547288535532834E-2</v>
      </c>
      <c r="P1483" s="6" t="s">
        <v>22</v>
      </c>
    </row>
    <row r="1484" spans="1:16" x14ac:dyDescent="0.25">
      <c r="A1484" s="2" t="s">
        <v>3037</v>
      </c>
      <c r="B1484" s="2" t="s">
        <v>3038</v>
      </c>
      <c r="C1484" s="2" t="s">
        <v>25</v>
      </c>
      <c r="D1484" s="3" t="s">
        <v>244</v>
      </c>
      <c r="E1484" s="3" t="s">
        <v>34</v>
      </c>
      <c r="F1484" s="2" t="s">
        <v>28</v>
      </c>
      <c r="G1484" s="4">
        <v>361121</v>
      </c>
      <c r="H1484" s="4">
        <v>208608</v>
      </c>
      <c r="I1484" s="4">
        <v>150982</v>
      </c>
      <c r="J1484" s="4">
        <v>10863</v>
      </c>
      <c r="K1484" s="4">
        <v>839</v>
      </c>
      <c r="L1484" s="4">
        <v>615</v>
      </c>
      <c r="M1484" s="4">
        <v>2621</v>
      </c>
      <c r="N1484" s="4">
        <v>6851</v>
      </c>
      <c r="O1484" s="5">
        <f t="shared" si="23"/>
        <v>9.893894636446729E-2</v>
      </c>
      <c r="P1484" s="2" t="s">
        <v>22</v>
      </c>
    </row>
    <row r="1485" spans="1:16" x14ac:dyDescent="0.25">
      <c r="A1485" s="6" t="s">
        <v>3039</v>
      </c>
      <c r="B1485" s="6" t="s">
        <v>3040</v>
      </c>
      <c r="C1485" s="6" t="s">
        <v>32</v>
      </c>
      <c r="D1485" s="7" t="s">
        <v>175</v>
      </c>
      <c r="E1485" s="7" t="s">
        <v>20</v>
      </c>
      <c r="F1485" s="6" t="s">
        <v>40</v>
      </c>
      <c r="G1485" s="8">
        <v>175035</v>
      </c>
      <c r="H1485" s="8">
        <v>20132</v>
      </c>
      <c r="I1485" s="8">
        <v>15035</v>
      </c>
      <c r="J1485" s="8">
        <v>1196</v>
      </c>
      <c r="K1485" s="8">
        <v>147</v>
      </c>
      <c r="L1485" s="8">
        <v>76</v>
      </c>
      <c r="M1485" s="8">
        <v>38</v>
      </c>
      <c r="N1485" s="8">
        <v>276</v>
      </c>
      <c r="O1485" s="9">
        <f t="shared" si="23"/>
        <v>9.6907216494845363E-2</v>
      </c>
      <c r="P1485" s="6" t="s">
        <v>22</v>
      </c>
    </row>
    <row r="1486" spans="1:16" x14ac:dyDescent="0.25">
      <c r="A1486" s="2" t="s">
        <v>3041</v>
      </c>
      <c r="B1486" s="2" t="s">
        <v>3042</v>
      </c>
      <c r="C1486" s="2" t="s">
        <v>43</v>
      </c>
      <c r="D1486" s="3" t="s">
        <v>44</v>
      </c>
      <c r="E1486" s="3" t="s">
        <v>27</v>
      </c>
      <c r="F1486" s="2" t="s">
        <v>46</v>
      </c>
      <c r="G1486" s="4">
        <v>239855</v>
      </c>
      <c r="H1486" s="4">
        <v>21957</v>
      </c>
      <c r="I1486" s="4">
        <v>16045</v>
      </c>
      <c r="J1486" s="4">
        <v>1012</v>
      </c>
      <c r="K1486" s="4">
        <v>58</v>
      </c>
      <c r="L1486" s="4">
        <v>136</v>
      </c>
      <c r="M1486" s="4">
        <v>39</v>
      </c>
      <c r="N1486" s="4">
        <v>505</v>
      </c>
      <c r="O1486" s="5">
        <f t="shared" si="23"/>
        <v>7.7594266126519165E-2</v>
      </c>
      <c r="P1486" s="2" t="s">
        <v>22</v>
      </c>
    </row>
    <row r="1487" spans="1:16" x14ac:dyDescent="0.25">
      <c r="A1487" s="6" t="s">
        <v>3043</v>
      </c>
      <c r="B1487" s="6" t="s">
        <v>3044</v>
      </c>
      <c r="C1487" s="6" t="s">
        <v>43</v>
      </c>
      <c r="D1487" s="7" t="s">
        <v>44</v>
      </c>
      <c r="E1487" s="7" t="s">
        <v>20</v>
      </c>
      <c r="F1487" s="6" t="s">
        <v>70</v>
      </c>
      <c r="G1487" s="8">
        <v>319207</v>
      </c>
      <c r="H1487" s="8">
        <v>109962</v>
      </c>
      <c r="I1487" s="8">
        <v>81251</v>
      </c>
      <c r="J1487" s="8">
        <v>2985</v>
      </c>
      <c r="K1487" s="8">
        <v>396</v>
      </c>
      <c r="L1487" s="8">
        <v>288</v>
      </c>
      <c r="M1487" s="8">
        <v>25</v>
      </c>
      <c r="N1487" s="8">
        <v>1811</v>
      </c>
      <c r="O1487" s="9">
        <f t="shared" si="23"/>
        <v>4.5464055827005204E-2</v>
      </c>
      <c r="P1487" s="6" t="s">
        <v>22</v>
      </c>
    </row>
    <row r="1488" spans="1:16" x14ac:dyDescent="0.25">
      <c r="A1488" s="2" t="s">
        <v>3045</v>
      </c>
      <c r="B1488" s="2" t="s">
        <v>3046</v>
      </c>
      <c r="C1488" s="2" t="s">
        <v>25</v>
      </c>
      <c r="D1488" s="3" t="s">
        <v>244</v>
      </c>
      <c r="E1488" s="3" t="s">
        <v>34</v>
      </c>
      <c r="F1488" s="2" t="s">
        <v>146</v>
      </c>
      <c r="G1488" s="4">
        <v>129493</v>
      </c>
      <c r="H1488" s="4">
        <v>53639</v>
      </c>
      <c r="I1488" s="4">
        <v>38080</v>
      </c>
      <c r="J1488" s="4">
        <v>2783</v>
      </c>
      <c r="K1488" s="4">
        <v>474</v>
      </c>
      <c r="L1488" s="4">
        <v>185</v>
      </c>
      <c r="M1488" s="4">
        <v>242</v>
      </c>
      <c r="N1488" s="4">
        <v>340</v>
      </c>
      <c r="O1488" s="5">
        <f t="shared" si="23"/>
        <v>9.67436974789916E-2</v>
      </c>
      <c r="P1488" s="2" t="s">
        <v>22</v>
      </c>
    </row>
    <row r="1489" spans="1:16" x14ac:dyDescent="0.25">
      <c r="A1489" s="6" t="s">
        <v>3047</v>
      </c>
      <c r="B1489" s="6" t="s">
        <v>3048</v>
      </c>
      <c r="C1489" s="6" t="s">
        <v>25</v>
      </c>
      <c r="D1489" s="7" t="s">
        <v>64</v>
      </c>
      <c r="E1489" s="7" t="s">
        <v>20</v>
      </c>
      <c r="F1489" s="6" t="s">
        <v>28</v>
      </c>
      <c r="G1489" s="8">
        <v>651563</v>
      </c>
      <c r="H1489" s="8">
        <v>276517</v>
      </c>
      <c r="I1489" s="8">
        <v>230287</v>
      </c>
      <c r="J1489" s="8">
        <v>5564</v>
      </c>
      <c r="K1489" s="8">
        <v>706</v>
      </c>
      <c r="L1489" s="8">
        <v>244</v>
      </c>
      <c r="M1489" s="8">
        <v>925</v>
      </c>
      <c r="N1489" s="8">
        <v>4216</v>
      </c>
      <c r="O1489" s="9">
        <f t="shared" si="23"/>
        <v>3.2303169523247077E-2</v>
      </c>
      <c r="P1489" s="6" t="s">
        <v>22</v>
      </c>
    </row>
    <row r="1490" spans="1:16" x14ac:dyDescent="0.25">
      <c r="A1490" s="2" t="s">
        <v>3049</v>
      </c>
      <c r="B1490" s="2" t="s">
        <v>3050</v>
      </c>
      <c r="C1490" s="2" t="s">
        <v>32</v>
      </c>
      <c r="D1490" s="3" t="s">
        <v>38</v>
      </c>
      <c r="E1490" s="3" t="s">
        <v>45</v>
      </c>
      <c r="F1490" s="2" t="s">
        <v>35</v>
      </c>
      <c r="G1490" s="4">
        <v>69598</v>
      </c>
      <c r="H1490" s="4">
        <v>20185</v>
      </c>
      <c r="I1490" s="4">
        <v>15502</v>
      </c>
      <c r="J1490" s="4">
        <v>1284</v>
      </c>
      <c r="K1490" s="4">
        <v>150</v>
      </c>
      <c r="L1490" s="4">
        <v>129</v>
      </c>
      <c r="M1490" s="4">
        <v>9</v>
      </c>
      <c r="N1490" s="4">
        <v>238</v>
      </c>
      <c r="O1490" s="5">
        <f t="shared" si="23"/>
        <v>0.10140627015868921</v>
      </c>
      <c r="P1490" s="2" t="s">
        <v>22</v>
      </c>
    </row>
    <row r="1491" spans="1:16" x14ac:dyDescent="0.25">
      <c r="A1491" s="6" t="s">
        <v>3051</v>
      </c>
      <c r="B1491" s="6" t="s">
        <v>3052</v>
      </c>
      <c r="C1491" s="6" t="s">
        <v>25</v>
      </c>
      <c r="D1491" s="7" t="s">
        <v>64</v>
      </c>
      <c r="E1491" s="7" t="s">
        <v>45</v>
      </c>
      <c r="F1491" s="6" t="s">
        <v>146</v>
      </c>
      <c r="G1491" s="8">
        <v>89368</v>
      </c>
      <c r="H1491" s="8">
        <v>40305</v>
      </c>
      <c r="I1491" s="8">
        <v>32340</v>
      </c>
      <c r="J1491" s="8">
        <v>2696</v>
      </c>
      <c r="K1491" s="8">
        <v>391</v>
      </c>
      <c r="L1491" s="8">
        <v>153</v>
      </c>
      <c r="M1491" s="8">
        <v>337</v>
      </c>
      <c r="N1491" s="8">
        <v>734</v>
      </c>
      <c r="O1491" s="9">
        <f t="shared" si="23"/>
        <v>0.11060606060606061</v>
      </c>
      <c r="P1491" s="6" t="s">
        <v>22</v>
      </c>
    </row>
    <row r="1492" spans="1:16" x14ac:dyDescent="0.25">
      <c r="A1492" s="2" t="s">
        <v>3053</v>
      </c>
      <c r="B1492" s="2" t="s">
        <v>3054</v>
      </c>
      <c r="C1492" s="2" t="s">
        <v>76</v>
      </c>
      <c r="D1492" s="3" t="s">
        <v>189</v>
      </c>
      <c r="E1492" s="3" t="s">
        <v>50</v>
      </c>
      <c r="F1492" s="2" t="s">
        <v>78</v>
      </c>
      <c r="G1492" s="4">
        <v>207823</v>
      </c>
      <c r="H1492" s="4">
        <v>99464</v>
      </c>
      <c r="I1492" s="4">
        <v>89756</v>
      </c>
      <c r="J1492" s="4">
        <v>5988</v>
      </c>
      <c r="K1492" s="4">
        <v>1054</v>
      </c>
      <c r="L1492" s="4">
        <v>452</v>
      </c>
      <c r="M1492" s="4">
        <v>803</v>
      </c>
      <c r="N1492" s="4">
        <v>1774</v>
      </c>
      <c r="O1492" s="5">
        <f t="shared" si="23"/>
        <v>9.2439502651633323E-2</v>
      </c>
      <c r="P1492" s="2" t="s">
        <v>22</v>
      </c>
    </row>
    <row r="1493" spans="1:16" x14ac:dyDescent="0.25">
      <c r="A1493" s="6" t="s">
        <v>3055</v>
      </c>
      <c r="B1493" s="6" t="s">
        <v>3056</v>
      </c>
      <c r="C1493" s="6" t="s">
        <v>32</v>
      </c>
      <c r="D1493" s="7" t="s">
        <v>175</v>
      </c>
      <c r="E1493" s="7" t="s">
        <v>20</v>
      </c>
      <c r="F1493" s="6" t="s">
        <v>128</v>
      </c>
      <c r="G1493" s="8">
        <v>824325</v>
      </c>
      <c r="H1493" s="8">
        <v>326145</v>
      </c>
      <c r="I1493" s="8">
        <v>278548</v>
      </c>
      <c r="J1493" s="8">
        <v>12807</v>
      </c>
      <c r="K1493" s="8">
        <v>1435</v>
      </c>
      <c r="L1493" s="8">
        <v>933</v>
      </c>
      <c r="M1493" s="8">
        <v>4</v>
      </c>
      <c r="N1493" s="8">
        <v>9430</v>
      </c>
      <c r="O1493" s="9">
        <f t="shared" si="23"/>
        <v>5.4493300975056363E-2</v>
      </c>
      <c r="P1493" s="6" t="s">
        <v>29</v>
      </c>
    </row>
    <row r="1494" spans="1:16" x14ac:dyDescent="0.25">
      <c r="A1494" s="2" t="s">
        <v>3057</v>
      </c>
      <c r="B1494" s="2" t="s">
        <v>3058</v>
      </c>
      <c r="C1494" s="2" t="s">
        <v>76</v>
      </c>
      <c r="D1494" s="3" t="s">
        <v>182</v>
      </c>
      <c r="E1494" s="3" t="s">
        <v>39</v>
      </c>
      <c r="F1494" s="2" t="s">
        <v>104</v>
      </c>
      <c r="G1494" s="4">
        <v>27708</v>
      </c>
      <c r="H1494" s="4">
        <v>15260</v>
      </c>
      <c r="I1494" s="4">
        <v>12117</v>
      </c>
      <c r="J1494" s="4">
        <v>612</v>
      </c>
      <c r="K1494" s="4">
        <v>30</v>
      </c>
      <c r="L1494" s="4">
        <v>28</v>
      </c>
      <c r="M1494" s="4">
        <v>90</v>
      </c>
      <c r="N1494" s="4">
        <v>323</v>
      </c>
      <c r="O1494" s="5">
        <f t="shared" si="23"/>
        <v>6.2721795824048854E-2</v>
      </c>
      <c r="P1494" s="2" t="s">
        <v>22</v>
      </c>
    </row>
    <row r="1495" spans="1:16" x14ac:dyDescent="0.25">
      <c r="A1495" s="6" t="s">
        <v>3059</v>
      </c>
      <c r="B1495" s="6" t="s">
        <v>3060</v>
      </c>
      <c r="C1495" s="6" t="s">
        <v>43</v>
      </c>
      <c r="D1495" s="7" t="s">
        <v>110</v>
      </c>
      <c r="E1495" s="7" t="s">
        <v>45</v>
      </c>
      <c r="F1495" s="6" t="s">
        <v>107</v>
      </c>
      <c r="G1495" s="8">
        <v>387992</v>
      </c>
      <c r="H1495" s="8">
        <v>232647</v>
      </c>
      <c r="I1495" s="8">
        <v>167107</v>
      </c>
      <c r="J1495" s="8">
        <v>16459</v>
      </c>
      <c r="K1495" s="8">
        <v>1990</v>
      </c>
      <c r="L1495" s="8">
        <v>741</v>
      </c>
      <c r="M1495" s="8">
        <v>2</v>
      </c>
      <c r="N1495" s="8">
        <v>1365</v>
      </c>
      <c r="O1495" s="9">
        <f t="shared" si="23"/>
        <v>0.1148485700778543</v>
      </c>
      <c r="P1495" s="6" t="s">
        <v>29</v>
      </c>
    </row>
    <row r="1496" spans="1:16" x14ac:dyDescent="0.25">
      <c r="A1496" s="2" t="s">
        <v>3061</v>
      </c>
      <c r="B1496" s="2" t="s">
        <v>3062</v>
      </c>
      <c r="C1496" s="2" t="s">
        <v>25</v>
      </c>
      <c r="D1496" s="3" t="s">
        <v>61</v>
      </c>
      <c r="E1496" s="3" t="s">
        <v>27</v>
      </c>
      <c r="F1496" s="2" t="s">
        <v>146</v>
      </c>
      <c r="G1496" s="4">
        <v>257607</v>
      </c>
      <c r="H1496" s="4">
        <v>31349</v>
      </c>
      <c r="I1496" s="4">
        <v>23735</v>
      </c>
      <c r="J1496" s="4">
        <v>1275</v>
      </c>
      <c r="K1496" s="4">
        <v>164</v>
      </c>
      <c r="L1496" s="4">
        <v>108</v>
      </c>
      <c r="M1496" s="4">
        <v>160</v>
      </c>
      <c r="N1496" s="4">
        <v>732</v>
      </c>
      <c r="O1496" s="5">
        <f t="shared" si="23"/>
        <v>7.1919106804297445E-2</v>
      </c>
      <c r="P1496" s="2" t="s">
        <v>22</v>
      </c>
    </row>
    <row r="1497" spans="1:16" x14ac:dyDescent="0.25">
      <c r="A1497" s="6" t="s">
        <v>3063</v>
      </c>
      <c r="B1497" s="6" t="s">
        <v>3064</v>
      </c>
      <c r="C1497" s="6" t="s">
        <v>76</v>
      </c>
      <c r="D1497" s="7" t="s">
        <v>182</v>
      </c>
      <c r="E1497" s="7" t="s">
        <v>45</v>
      </c>
      <c r="F1497" s="6" t="s">
        <v>155</v>
      </c>
      <c r="G1497" s="8">
        <v>842878</v>
      </c>
      <c r="H1497" s="8">
        <v>265724</v>
      </c>
      <c r="I1497" s="8">
        <v>190191</v>
      </c>
      <c r="J1497" s="8">
        <v>21025</v>
      </c>
      <c r="K1497" s="8">
        <v>3454</v>
      </c>
      <c r="L1497" s="8">
        <v>2933</v>
      </c>
      <c r="M1497" s="8">
        <v>1637</v>
      </c>
      <c r="N1497" s="8">
        <v>2079</v>
      </c>
      <c r="O1497" s="9">
        <f t="shared" si="23"/>
        <v>0.15273593387699733</v>
      </c>
      <c r="P1497" s="6" t="s">
        <v>29</v>
      </c>
    </row>
    <row r="1498" spans="1:16" x14ac:dyDescent="0.25">
      <c r="A1498" s="2" t="s">
        <v>3065</v>
      </c>
      <c r="B1498" s="2" t="s">
        <v>3066</v>
      </c>
      <c r="C1498" s="2" t="s">
        <v>18</v>
      </c>
      <c r="D1498" s="3" t="s">
        <v>19</v>
      </c>
      <c r="E1498" s="3" t="s">
        <v>45</v>
      </c>
      <c r="F1498" s="2" t="s">
        <v>58</v>
      </c>
      <c r="G1498" s="4">
        <v>414505</v>
      </c>
      <c r="H1498" s="4">
        <v>135011</v>
      </c>
      <c r="I1498" s="4">
        <v>120551</v>
      </c>
      <c r="J1498" s="4">
        <v>9759</v>
      </c>
      <c r="K1498" s="4">
        <v>832</v>
      </c>
      <c r="L1498" s="4">
        <v>1217</v>
      </c>
      <c r="M1498" s="4">
        <v>1440</v>
      </c>
      <c r="N1498" s="4">
        <v>4698</v>
      </c>
      <c r="O1498" s="5">
        <f t="shared" si="23"/>
        <v>0.10989539696891772</v>
      </c>
      <c r="P1498" s="2" t="s">
        <v>22</v>
      </c>
    </row>
    <row r="1499" spans="1:16" x14ac:dyDescent="0.25">
      <c r="A1499" s="6" t="s">
        <v>3067</v>
      </c>
      <c r="B1499" s="6" t="s">
        <v>3068</v>
      </c>
      <c r="C1499" s="6" t="s">
        <v>25</v>
      </c>
      <c r="D1499" s="7" t="s">
        <v>26</v>
      </c>
      <c r="E1499" s="7" t="s">
        <v>50</v>
      </c>
      <c r="F1499" s="6" t="s">
        <v>65</v>
      </c>
      <c r="G1499" s="8">
        <v>331768</v>
      </c>
      <c r="H1499" s="8">
        <v>99518</v>
      </c>
      <c r="I1499" s="8">
        <v>91062</v>
      </c>
      <c r="J1499" s="8">
        <v>3543</v>
      </c>
      <c r="K1499" s="8">
        <v>340</v>
      </c>
      <c r="L1499" s="8">
        <v>206</v>
      </c>
      <c r="M1499" s="8">
        <v>478</v>
      </c>
      <c r="N1499" s="8">
        <v>989</v>
      </c>
      <c r="O1499" s="9">
        <f t="shared" si="23"/>
        <v>5.015264325404669E-2</v>
      </c>
      <c r="P1499" s="6" t="s">
        <v>29</v>
      </c>
    </row>
    <row r="1500" spans="1:16" x14ac:dyDescent="0.25">
      <c r="A1500" s="2" t="s">
        <v>3069</v>
      </c>
      <c r="B1500" s="2" t="s">
        <v>3070</v>
      </c>
      <c r="C1500" s="2" t="s">
        <v>76</v>
      </c>
      <c r="D1500" s="3" t="s">
        <v>77</v>
      </c>
      <c r="E1500" s="3" t="s">
        <v>50</v>
      </c>
      <c r="F1500" s="2" t="s">
        <v>104</v>
      </c>
      <c r="G1500" s="4">
        <v>658357</v>
      </c>
      <c r="H1500" s="4">
        <v>54850</v>
      </c>
      <c r="I1500" s="4">
        <v>45376</v>
      </c>
      <c r="J1500" s="4">
        <v>4291</v>
      </c>
      <c r="K1500" s="4">
        <v>398</v>
      </c>
      <c r="L1500" s="4">
        <v>299</v>
      </c>
      <c r="M1500" s="4">
        <v>1011</v>
      </c>
      <c r="N1500" s="4">
        <v>1687</v>
      </c>
      <c r="O1500" s="5">
        <f t="shared" si="23"/>
        <v>0.13220645275035262</v>
      </c>
      <c r="P1500" s="2" t="s">
        <v>22</v>
      </c>
    </row>
    <row r="1501" spans="1:16" x14ac:dyDescent="0.25">
      <c r="A1501" s="6" t="s">
        <v>3071</v>
      </c>
      <c r="B1501" s="6" t="s">
        <v>3072</v>
      </c>
      <c r="C1501" s="6" t="s">
        <v>25</v>
      </c>
      <c r="D1501" s="7" t="s">
        <v>26</v>
      </c>
      <c r="E1501" s="7" t="s">
        <v>39</v>
      </c>
      <c r="F1501" s="6" t="s">
        <v>65</v>
      </c>
      <c r="G1501" s="8">
        <v>190533</v>
      </c>
      <c r="H1501" s="8">
        <v>40375</v>
      </c>
      <c r="I1501" s="8">
        <v>34499</v>
      </c>
      <c r="J1501" s="8">
        <v>2294</v>
      </c>
      <c r="K1501" s="8">
        <v>269</v>
      </c>
      <c r="L1501" s="8">
        <v>110</v>
      </c>
      <c r="M1501" s="8">
        <v>428</v>
      </c>
      <c r="N1501" s="8">
        <v>528</v>
      </c>
      <c r="O1501" s="9">
        <f t="shared" si="23"/>
        <v>8.9886663381547285E-2</v>
      </c>
      <c r="P1501" s="6" t="s">
        <v>22</v>
      </c>
    </row>
    <row r="1502" spans="1:16" x14ac:dyDescent="0.25">
      <c r="A1502" s="2" t="s">
        <v>3073</v>
      </c>
      <c r="B1502" s="2" t="s">
        <v>3074</v>
      </c>
      <c r="C1502" s="2" t="s">
        <v>32</v>
      </c>
      <c r="D1502" s="3" t="s">
        <v>38</v>
      </c>
      <c r="E1502" s="3" t="s">
        <v>34</v>
      </c>
      <c r="F1502" s="2" t="s">
        <v>51</v>
      </c>
      <c r="G1502" s="4">
        <v>157001</v>
      </c>
      <c r="H1502" s="4">
        <v>38754</v>
      </c>
      <c r="I1502" s="4">
        <v>31062</v>
      </c>
      <c r="J1502" s="4">
        <v>3063</v>
      </c>
      <c r="K1502" s="4">
        <v>408</v>
      </c>
      <c r="L1502" s="4">
        <v>401</v>
      </c>
      <c r="M1502" s="4">
        <v>42</v>
      </c>
      <c r="N1502" s="4">
        <v>1042</v>
      </c>
      <c r="O1502" s="5">
        <f t="shared" si="23"/>
        <v>0.12600605241130641</v>
      </c>
      <c r="P1502" s="2" t="s">
        <v>22</v>
      </c>
    </row>
    <row r="1503" spans="1:16" x14ac:dyDescent="0.25">
      <c r="A1503" s="6" t="s">
        <v>3075</v>
      </c>
      <c r="B1503" s="6" t="s">
        <v>3076</v>
      </c>
      <c r="C1503" s="6" t="s">
        <v>32</v>
      </c>
      <c r="D1503" s="7" t="s">
        <v>49</v>
      </c>
      <c r="E1503" s="7" t="s">
        <v>50</v>
      </c>
      <c r="F1503" s="6" t="s">
        <v>128</v>
      </c>
      <c r="G1503" s="8">
        <v>547499</v>
      </c>
      <c r="H1503" s="8">
        <v>248345</v>
      </c>
      <c r="I1503" s="8">
        <v>175165</v>
      </c>
      <c r="J1503" s="8">
        <v>8396</v>
      </c>
      <c r="K1503" s="8">
        <v>1021</v>
      </c>
      <c r="L1503" s="8">
        <v>314</v>
      </c>
      <c r="M1503" s="8">
        <v>18</v>
      </c>
      <c r="N1503" s="8">
        <v>4615</v>
      </c>
      <c r="O1503" s="9">
        <f t="shared" si="23"/>
        <v>5.5656095681214858E-2</v>
      </c>
      <c r="P1503" s="6" t="s">
        <v>29</v>
      </c>
    </row>
    <row r="1504" spans="1:16" x14ac:dyDescent="0.25">
      <c r="A1504" s="2" t="s">
        <v>3077</v>
      </c>
      <c r="B1504" s="2" t="s">
        <v>3078</v>
      </c>
      <c r="C1504" s="2" t="s">
        <v>25</v>
      </c>
      <c r="D1504" s="3" t="s">
        <v>145</v>
      </c>
      <c r="E1504" s="3" t="s">
        <v>27</v>
      </c>
      <c r="F1504" s="2" t="s">
        <v>28</v>
      </c>
      <c r="G1504" s="4">
        <v>334538</v>
      </c>
      <c r="H1504" s="4">
        <v>202677</v>
      </c>
      <c r="I1504" s="4">
        <v>159718</v>
      </c>
      <c r="J1504" s="4">
        <v>12928</v>
      </c>
      <c r="K1504" s="4">
        <v>410</v>
      </c>
      <c r="L1504" s="4">
        <v>589</v>
      </c>
      <c r="M1504" s="4">
        <v>2275</v>
      </c>
      <c r="N1504" s="4">
        <v>5092</v>
      </c>
      <c r="O1504" s="5">
        <f t="shared" si="23"/>
        <v>0.10144129027410811</v>
      </c>
      <c r="P1504" s="2" t="s">
        <v>29</v>
      </c>
    </row>
    <row r="1505" spans="1:16" x14ac:dyDescent="0.25">
      <c r="A1505" s="6" t="s">
        <v>3079</v>
      </c>
      <c r="B1505" s="6" t="s">
        <v>3080</v>
      </c>
      <c r="C1505" s="6" t="s">
        <v>76</v>
      </c>
      <c r="D1505" s="7" t="s">
        <v>77</v>
      </c>
      <c r="E1505" s="7" t="s">
        <v>34</v>
      </c>
      <c r="F1505" s="6" t="s">
        <v>155</v>
      </c>
      <c r="G1505" s="8">
        <v>834833</v>
      </c>
      <c r="H1505" s="8">
        <v>79666</v>
      </c>
      <c r="I1505" s="8">
        <v>71388</v>
      </c>
      <c r="J1505" s="8">
        <v>5035</v>
      </c>
      <c r="K1505" s="8">
        <v>542</v>
      </c>
      <c r="L1505" s="8">
        <v>430</v>
      </c>
      <c r="M1505" s="8">
        <v>522</v>
      </c>
      <c r="N1505" s="8">
        <v>1324</v>
      </c>
      <c r="O1505" s="9">
        <f t="shared" si="23"/>
        <v>9.145794811452905E-2</v>
      </c>
      <c r="P1505" s="6" t="s">
        <v>22</v>
      </c>
    </row>
    <row r="1506" spans="1:16" x14ac:dyDescent="0.25">
      <c r="A1506" s="2" t="s">
        <v>3081</v>
      </c>
      <c r="B1506" s="2" t="s">
        <v>3082</v>
      </c>
      <c r="C1506" s="2" t="s">
        <v>25</v>
      </c>
      <c r="D1506" s="3" t="s">
        <v>26</v>
      </c>
      <c r="E1506" s="3" t="s">
        <v>39</v>
      </c>
      <c r="F1506" s="2" t="s">
        <v>65</v>
      </c>
      <c r="G1506" s="4">
        <v>26555</v>
      </c>
      <c r="H1506" s="4">
        <v>9836</v>
      </c>
      <c r="I1506" s="4">
        <v>8054</v>
      </c>
      <c r="J1506" s="4">
        <v>436</v>
      </c>
      <c r="K1506" s="4">
        <v>60</v>
      </c>
      <c r="L1506" s="4">
        <v>44</v>
      </c>
      <c r="M1506" s="4">
        <v>82</v>
      </c>
      <c r="N1506" s="4">
        <v>161</v>
      </c>
      <c r="O1506" s="5">
        <f t="shared" si="23"/>
        <v>7.7228706232927741E-2</v>
      </c>
      <c r="P1506" s="2" t="s">
        <v>29</v>
      </c>
    </row>
    <row r="1507" spans="1:16" x14ac:dyDescent="0.25">
      <c r="A1507" s="6" t="s">
        <v>3083</v>
      </c>
      <c r="B1507" s="6" t="s">
        <v>3084</v>
      </c>
      <c r="C1507" s="6" t="s">
        <v>18</v>
      </c>
      <c r="D1507" s="7" t="s">
        <v>57</v>
      </c>
      <c r="E1507" s="7" t="s">
        <v>27</v>
      </c>
      <c r="F1507" s="6" t="s">
        <v>21</v>
      </c>
      <c r="G1507" s="8">
        <v>27693</v>
      </c>
      <c r="H1507" s="8">
        <v>8063</v>
      </c>
      <c r="I1507" s="8">
        <v>6140</v>
      </c>
      <c r="J1507" s="8">
        <v>507</v>
      </c>
      <c r="K1507" s="8">
        <v>19</v>
      </c>
      <c r="L1507" s="8">
        <v>67</v>
      </c>
      <c r="M1507" s="8">
        <v>40</v>
      </c>
      <c r="N1507" s="8">
        <v>190</v>
      </c>
      <c r="O1507" s="9">
        <f t="shared" si="23"/>
        <v>0.10309446254071661</v>
      </c>
      <c r="P1507" s="6" t="s">
        <v>29</v>
      </c>
    </row>
    <row r="1508" spans="1:16" x14ac:dyDescent="0.25">
      <c r="A1508" s="2" t="s">
        <v>3085</v>
      </c>
      <c r="B1508" s="2" t="s">
        <v>3086</v>
      </c>
      <c r="C1508" s="2" t="s">
        <v>18</v>
      </c>
      <c r="D1508" s="3" t="s">
        <v>226</v>
      </c>
      <c r="E1508" s="3" t="s">
        <v>45</v>
      </c>
      <c r="F1508" s="2" t="s">
        <v>21</v>
      </c>
      <c r="G1508" s="4">
        <v>83707</v>
      </c>
      <c r="H1508" s="4">
        <v>22527</v>
      </c>
      <c r="I1508" s="4">
        <v>16312</v>
      </c>
      <c r="J1508" s="4">
        <v>916</v>
      </c>
      <c r="K1508" s="4">
        <v>151</v>
      </c>
      <c r="L1508" s="4">
        <v>103</v>
      </c>
      <c r="M1508" s="4">
        <v>209</v>
      </c>
      <c r="N1508" s="4">
        <v>546</v>
      </c>
      <c r="O1508" s="5">
        <f t="shared" si="23"/>
        <v>8.4538989700833747E-2</v>
      </c>
      <c r="P1508" s="2" t="s">
        <v>22</v>
      </c>
    </row>
    <row r="1509" spans="1:16" x14ac:dyDescent="0.25">
      <c r="A1509" s="6" t="s">
        <v>3087</v>
      </c>
      <c r="B1509" s="6" t="s">
        <v>3088</v>
      </c>
      <c r="C1509" s="6" t="s">
        <v>43</v>
      </c>
      <c r="D1509" s="7" t="s">
        <v>172</v>
      </c>
      <c r="E1509" s="7" t="s">
        <v>45</v>
      </c>
      <c r="F1509" s="6" t="s">
        <v>107</v>
      </c>
      <c r="G1509" s="8">
        <v>773515</v>
      </c>
      <c r="H1509" s="8">
        <v>2048858</v>
      </c>
      <c r="I1509" s="8">
        <v>1461809</v>
      </c>
      <c r="J1509" s="8">
        <v>48529</v>
      </c>
      <c r="K1509" s="8">
        <v>3217</v>
      </c>
      <c r="L1509" s="8">
        <v>3169</v>
      </c>
      <c r="M1509" s="8">
        <v>24</v>
      </c>
      <c r="N1509" s="8">
        <v>65171</v>
      </c>
      <c r="O1509" s="9">
        <f t="shared" si="23"/>
        <v>3.7582885315386623E-2</v>
      </c>
      <c r="P1509" s="6" t="s">
        <v>22</v>
      </c>
    </row>
    <row r="1510" spans="1:16" x14ac:dyDescent="0.25">
      <c r="A1510" s="2" t="s">
        <v>3089</v>
      </c>
      <c r="B1510" s="2" t="s">
        <v>3090</v>
      </c>
      <c r="C1510" s="2" t="s">
        <v>25</v>
      </c>
      <c r="D1510" s="3" t="s">
        <v>61</v>
      </c>
      <c r="E1510" s="3" t="s">
        <v>45</v>
      </c>
      <c r="F1510" s="2" t="s">
        <v>54</v>
      </c>
      <c r="G1510" s="4">
        <v>290271</v>
      </c>
      <c r="H1510" s="4">
        <v>59165</v>
      </c>
      <c r="I1510" s="4">
        <v>47378</v>
      </c>
      <c r="J1510" s="4">
        <v>2433</v>
      </c>
      <c r="K1510" s="4">
        <v>91</v>
      </c>
      <c r="L1510" s="4">
        <v>61</v>
      </c>
      <c r="M1510" s="4">
        <v>432</v>
      </c>
      <c r="N1510" s="4">
        <v>478</v>
      </c>
      <c r="O1510" s="5">
        <f t="shared" si="23"/>
        <v>6.3679344843598301E-2</v>
      </c>
      <c r="P1510" s="2" t="s">
        <v>22</v>
      </c>
    </row>
    <row r="1511" spans="1:16" x14ac:dyDescent="0.25">
      <c r="A1511" s="6" t="s">
        <v>3091</v>
      </c>
      <c r="B1511" s="6" t="s">
        <v>3092</v>
      </c>
      <c r="C1511" s="6" t="s">
        <v>76</v>
      </c>
      <c r="D1511" s="7" t="s">
        <v>182</v>
      </c>
      <c r="E1511" s="7" t="s">
        <v>39</v>
      </c>
      <c r="F1511" s="6" t="s">
        <v>78</v>
      </c>
      <c r="G1511" s="8">
        <v>40344</v>
      </c>
      <c r="H1511" s="8">
        <v>24548</v>
      </c>
      <c r="I1511" s="8">
        <v>18019</v>
      </c>
      <c r="J1511" s="8">
        <v>1172</v>
      </c>
      <c r="K1511" s="8">
        <v>195</v>
      </c>
      <c r="L1511" s="8">
        <v>39</v>
      </c>
      <c r="M1511" s="8">
        <v>268</v>
      </c>
      <c r="N1511" s="8">
        <v>510</v>
      </c>
      <c r="O1511" s="9">
        <f t="shared" si="23"/>
        <v>9.2901936844441979E-2</v>
      </c>
      <c r="P1511" s="6" t="s">
        <v>22</v>
      </c>
    </row>
    <row r="1512" spans="1:16" x14ac:dyDescent="0.25">
      <c r="A1512" s="2" t="s">
        <v>3093</v>
      </c>
      <c r="B1512" s="2" t="s">
        <v>3094</v>
      </c>
      <c r="C1512" s="2" t="s">
        <v>76</v>
      </c>
      <c r="D1512" s="3" t="s">
        <v>182</v>
      </c>
      <c r="E1512" s="3" t="s">
        <v>34</v>
      </c>
      <c r="F1512" s="2" t="s">
        <v>87</v>
      </c>
      <c r="G1512" s="4">
        <v>386083</v>
      </c>
      <c r="H1512" s="4">
        <v>116550</v>
      </c>
      <c r="I1512" s="4">
        <v>94850</v>
      </c>
      <c r="J1512" s="4">
        <v>5284</v>
      </c>
      <c r="K1512" s="4">
        <v>226</v>
      </c>
      <c r="L1512" s="4">
        <v>498</v>
      </c>
      <c r="M1512" s="4">
        <v>1137</v>
      </c>
      <c r="N1512" s="4">
        <v>1930</v>
      </c>
      <c r="O1512" s="5">
        <f t="shared" si="23"/>
        <v>7.5329467580390094E-2</v>
      </c>
      <c r="P1512" s="2" t="s">
        <v>22</v>
      </c>
    </row>
    <row r="1513" spans="1:16" x14ac:dyDescent="0.25">
      <c r="A1513" s="6" t="s">
        <v>3095</v>
      </c>
      <c r="B1513" s="6" t="s">
        <v>3096</v>
      </c>
      <c r="C1513" s="6" t="s">
        <v>25</v>
      </c>
      <c r="D1513" s="7" t="s">
        <v>64</v>
      </c>
      <c r="E1513" s="7" t="s">
        <v>39</v>
      </c>
      <c r="F1513" s="6" t="s">
        <v>54</v>
      </c>
      <c r="G1513" s="8">
        <v>502136</v>
      </c>
      <c r="H1513" s="8">
        <v>246080</v>
      </c>
      <c r="I1513" s="8">
        <v>190275</v>
      </c>
      <c r="J1513" s="8">
        <v>19376</v>
      </c>
      <c r="K1513" s="8">
        <v>1184</v>
      </c>
      <c r="L1513" s="8">
        <v>865</v>
      </c>
      <c r="M1513" s="8">
        <v>2350</v>
      </c>
      <c r="N1513" s="8">
        <v>5210</v>
      </c>
      <c r="O1513" s="9">
        <f t="shared" si="23"/>
        <v>0.12495072920772567</v>
      </c>
      <c r="P1513" s="6" t="s">
        <v>22</v>
      </c>
    </row>
    <row r="1514" spans="1:16" x14ac:dyDescent="0.25">
      <c r="A1514" s="2" t="s">
        <v>3097</v>
      </c>
      <c r="B1514" s="2" t="s">
        <v>3098</v>
      </c>
      <c r="C1514" s="2" t="s">
        <v>25</v>
      </c>
      <c r="D1514" s="3" t="s">
        <v>61</v>
      </c>
      <c r="E1514" s="3" t="s">
        <v>50</v>
      </c>
      <c r="F1514" s="2" t="s">
        <v>146</v>
      </c>
      <c r="G1514" s="4">
        <v>384963</v>
      </c>
      <c r="H1514" s="4">
        <v>247458</v>
      </c>
      <c r="I1514" s="4">
        <v>208941</v>
      </c>
      <c r="J1514" s="4">
        <v>16388</v>
      </c>
      <c r="K1514" s="4">
        <v>1743</v>
      </c>
      <c r="L1514" s="4">
        <v>929</v>
      </c>
      <c r="M1514" s="4">
        <v>2090</v>
      </c>
      <c r="N1514" s="4">
        <v>6132</v>
      </c>
      <c r="O1514" s="5">
        <f t="shared" si="23"/>
        <v>0.10122474765603687</v>
      </c>
      <c r="P1514" s="2" t="s">
        <v>22</v>
      </c>
    </row>
    <row r="1515" spans="1:16" x14ac:dyDescent="0.25">
      <c r="A1515" s="6" t="s">
        <v>3099</v>
      </c>
      <c r="B1515" s="6" t="s">
        <v>3100</v>
      </c>
      <c r="C1515" s="6" t="s">
        <v>43</v>
      </c>
      <c r="D1515" s="7" t="s">
        <v>81</v>
      </c>
      <c r="E1515" s="7" t="s">
        <v>34</v>
      </c>
      <c r="F1515" s="6" t="s">
        <v>107</v>
      </c>
      <c r="G1515" s="8">
        <v>348793</v>
      </c>
      <c r="H1515" s="8">
        <v>81122</v>
      </c>
      <c r="I1515" s="8">
        <v>64419</v>
      </c>
      <c r="J1515" s="8">
        <v>3982</v>
      </c>
      <c r="K1515" s="8">
        <v>638</v>
      </c>
      <c r="L1515" s="8">
        <v>81</v>
      </c>
      <c r="M1515" s="8">
        <v>49</v>
      </c>
      <c r="N1515" s="8">
        <v>898</v>
      </c>
      <c r="O1515" s="9">
        <f t="shared" si="23"/>
        <v>7.373600956239619E-2</v>
      </c>
      <c r="P1515" s="6" t="s">
        <v>22</v>
      </c>
    </row>
    <row r="1516" spans="1:16" x14ac:dyDescent="0.25">
      <c r="A1516" s="2" t="s">
        <v>3101</v>
      </c>
      <c r="B1516" s="2" t="s">
        <v>3102</v>
      </c>
      <c r="C1516" s="2" t="s">
        <v>32</v>
      </c>
      <c r="D1516" s="3" t="s">
        <v>49</v>
      </c>
      <c r="E1516" s="3" t="s">
        <v>39</v>
      </c>
      <c r="F1516" s="2" t="s">
        <v>35</v>
      </c>
      <c r="G1516" s="4">
        <v>453385</v>
      </c>
      <c r="H1516" s="4">
        <v>245887</v>
      </c>
      <c r="I1516" s="4">
        <v>185917</v>
      </c>
      <c r="J1516" s="4">
        <v>5945</v>
      </c>
      <c r="K1516" s="4">
        <v>509</v>
      </c>
      <c r="L1516" s="4">
        <v>689</v>
      </c>
      <c r="M1516" s="4">
        <v>3</v>
      </c>
      <c r="N1516" s="4">
        <v>2443</v>
      </c>
      <c r="O1516" s="5">
        <f t="shared" si="23"/>
        <v>3.843650661316609E-2</v>
      </c>
      <c r="P1516" s="2" t="s">
        <v>22</v>
      </c>
    </row>
    <row r="1517" spans="1:16" x14ac:dyDescent="0.25">
      <c r="A1517" s="6" t="s">
        <v>3103</v>
      </c>
      <c r="B1517" s="6" t="s">
        <v>3104</v>
      </c>
      <c r="C1517" s="6" t="s">
        <v>76</v>
      </c>
      <c r="D1517" s="7" t="s">
        <v>86</v>
      </c>
      <c r="E1517" s="7" t="s">
        <v>34</v>
      </c>
      <c r="F1517" s="6" t="s">
        <v>104</v>
      </c>
      <c r="G1517" s="8">
        <v>202194</v>
      </c>
      <c r="H1517" s="8">
        <v>17057</v>
      </c>
      <c r="I1517" s="8">
        <v>15406</v>
      </c>
      <c r="J1517" s="8">
        <v>469</v>
      </c>
      <c r="K1517" s="8">
        <v>64</v>
      </c>
      <c r="L1517" s="8">
        <v>9</v>
      </c>
      <c r="M1517" s="8">
        <v>66</v>
      </c>
      <c r="N1517" s="8">
        <v>509</v>
      </c>
      <c r="O1517" s="9">
        <f t="shared" si="23"/>
        <v>3.946514345060366E-2</v>
      </c>
      <c r="P1517" s="6" t="s">
        <v>22</v>
      </c>
    </row>
    <row r="1518" spans="1:16" x14ac:dyDescent="0.25">
      <c r="A1518" s="2" t="s">
        <v>3105</v>
      </c>
      <c r="B1518" s="2" t="s">
        <v>3106</v>
      </c>
      <c r="C1518" s="2" t="s">
        <v>32</v>
      </c>
      <c r="D1518" s="3" t="s">
        <v>121</v>
      </c>
      <c r="E1518" s="3" t="s">
        <v>39</v>
      </c>
      <c r="F1518" s="2" t="s">
        <v>128</v>
      </c>
      <c r="G1518" s="4">
        <v>129241</v>
      </c>
      <c r="H1518" s="4">
        <v>47265</v>
      </c>
      <c r="I1518" s="4">
        <v>36402</v>
      </c>
      <c r="J1518" s="4">
        <v>2911</v>
      </c>
      <c r="K1518" s="4">
        <v>297</v>
      </c>
      <c r="L1518" s="4">
        <v>248</v>
      </c>
      <c r="M1518" s="4">
        <v>24</v>
      </c>
      <c r="N1518" s="4">
        <v>517</v>
      </c>
      <c r="O1518" s="5">
        <f t="shared" si="23"/>
        <v>9.5599142904236031E-2</v>
      </c>
      <c r="P1518" s="2" t="s">
        <v>29</v>
      </c>
    </row>
    <row r="1519" spans="1:16" x14ac:dyDescent="0.25">
      <c r="A1519" s="6" t="s">
        <v>3107</v>
      </c>
      <c r="B1519" s="6" t="s">
        <v>3108</v>
      </c>
      <c r="C1519" s="6" t="s">
        <v>76</v>
      </c>
      <c r="D1519" s="7" t="s">
        <v>86</v>
      </c>
      <c r="E1519" s="7" t="s">
        <v>34</v>
      </c>
      <c r="F1519" s="6" t="s">
        <v>87</v>
      </c>
      <c r="G1519" s="8">
        <v>150932</v>
      </c>
      <c r="H1519" s="8">
        <v>36047</v>
      </c>
      <c r="I1519" s="8">
        <v>27573</v>
      </c>
      <c r="J1519" s="8">
        <v>1348</v>
      </c>
      <c r="K1519" s="8">
        <v>84</v>
      </c>
      <c r="L1519" s="8">
        <v>145</v>
      </c>
      <c r="M1519" s="8">
        <v>81</v>
      </c>
      <c r="N1519" s="8">
        <v>979</v>
      </c>
      <c r="O1519" s="9">
        <f t="shared" si="23"/>
        <v>6.0131287854060134E-2</v>
      </c>
      <c r="P1519" s="6" t="s">
        <v>22</v>
      </c>
    </row>
    <row r="1520" spans="1:16" x14ac:dyDescent="0.25">
      <c r="A1520" s="2" t="s">
        <v>3109</v>
      </c>
      <c r="B1520" s="2" t="s">
        <v>3110</v>
      </c>
      <c r="C1520" s="2" t="s">
        <v>32</v>
      </c>
      <c r="D1520" s="3" t="s">
        <v>175</v>
      </c>
      <c r="E1520" s="3" t="s">
        <v>27</v>
      </c>
      <c r="F1520" s="2" t="s">
        <v>35</v>
      </c>
      <c r="G1520" s="4">
        <v>128653</v>
      </c>
      <c r="H1520" s="4">
        <v>53012</v>
      </c>
      <c r="I1520" s="4">
        <v>38371</v>
      </c>
      <c r="J1520" s="4">
        <v>2220</v>
      </c>
      <c r="K1520" s="4">
        <v>269</v>
      </c>
      <c r="L1520" s="4">
        <v>145</v>
      </c>
      <c r="M1520" s="4">
        <v>25</v>
      </c>
      <c r="N1520" s="4">
        <v>905</v>
      </c>
      <c r="O1520" s="5">
        <f t="shared" si="23"/>
        <v>6.9297125433269921E-2</v>
      </c>
      <c r="P1520" s="2" t="s">
        <v>22</v>
      </c>
    </row>
    <row r="1521" spans="1:16" x14ac:dyDescent="0.25">
      <c r="A1521" s="6" t="s">
        <v>3111</v>
      </c>
      <c r="B1521" s="6" t="s">
        <v>3112</v>
      </c>
      <c r="C1521" s="6" t="s">
        <v>32</v>
      </c>
      <c r="D1521" s="7" t="s">
        <v>33</v>
      </c>
      <c r="E1521" s="7" t="s">
        <v>20</v>
      </c>
      <c r="F1521" s="6" t="s">
        <v>51</v>
      </c>
      <c r="G1521" s="8">
        <v>304041</v>
      </c>
      <c r="H1521" s="8">
        <v>27109</v>
      </c>
      <c r="I1521" s="8">
        <v>23231</v>
      </c>
      <c r="J1521" s="8">
        <v>789</v>
      </c>
      <c r="K1521" s="8">
        <v>134</v>
      </c>
      <c r="L1521" s="8">
        <v>101</v>
      </c>
      <c r="M1521" s="8">
        <v>8</v>
      </c>
      <c r="N1521" s="8">
        <v>937</v>
      </c>
      <c r="O1521" s="9">
        <f t="shared" si="23"/>
        <v>4.4423399767551976E-2</v>
      </c>
      <c r="P1521" s="6" t="s">
        <v>22</v>
      </c>
    </row>
    <row r="1522" spans="1:16" x14ac:dyDescent="0.25">
      <c r="A1522" s="2" t="s">
        <v>3113</v>
      </c>
      <c r="B1522" s="2" t="s">
        <v>3114</v>
      </c>
      <c r="C1522" s="2" t="s">
        <v>32</v>
      </c>
      <c r="D1522" s="3" t="s">
        <v>33</v>
      </c>
      <c r="E1522" s="3" t="s">
        <v>20</v>
      </c>
      <c r="F1522" s="2" t="s">
        <v>51</v>
      </c>
      <c r="G1522" s="4">
        <v>135862</v>
      </c>
      <c r="H1522" s="4">
        <v>55742</v>
      </c>
      <c r="I1522" s="4">
        <v>42187</v>
      </c>
      <c r="J1522" s="4">
        <v>4406</v>
      </c>
      <c r="K1522" s="4">
        <v>597</v>
      </c>
      <c r="L1522" s="4">
        <v>350</v>
      </c>
      <c r="M1522" s="4">
        <v>23</v>
      </c>
      <c r="N1522" s="4">
        <v>1438</v>
      </c>
      <c r="O1522" s="5">
        <f t="shared" si="23"/>
        <v>0.12743262142366132</v>
      </c>
      <c r="P1522" s="2" t="s">
        <v>22</v>
      </c>
    </row>
    <row r="1523" spans="1:16" x14ac:dyDescent="0.25">
      <c r="A1523" s="6" t="s">
        <v>3115</v>
      </c>
      <c r="B1523" s="6" t="s">
        <v>3116</v>
      </c>
      <c r="C1523" s="6" t="s">
        <v>76</v>
      </c>
      <c r="D1523" s="7" t="s">
        <v>103</v>
      </c>
      <c r="E1523" s="7" t="s">
        <v>39</v>
      </c>
      <c r="F1523" s="6" t="s">
        <v>87</v>
      </c>
      <c r="G1523" s="8">
        <v>89129</v>
      </c>
      <c r="H1523" s="8">
        <v>23832</v>
      </c>
      <c r="I1523" s="8">
        <v>20363</v>
      </c>
      <c r="J1523" s="8">
        <v>539</v>
      </c>
      <c r="K1523" s="8">
        <v>48</v>
      </c>
      <c r="L1523" s="8">
        <v>68</v>
      </c>
      <c r="M1523" s="8">
        <v>43</v>
      </c>
      <c r="N1523" s="8">
        <v>125</v>
      </c>
      <c r="O1523" s="9">
        <f t="shared" si="23"/>
        <v>3.4277856897313753E-2</v>
      </c>
      <c r="P1523" s="6" t="s">
        <v>22</v>
      </c>
    </row>
    <row r="1524" spans="1:16" x14ac:dyDescent="0.25">
      <c r="A1524" s="2" t="s">
        <v>3117</v>
      </c>
      <c r="B1524" s="2" t="s">
        <v>3118</v>
      </c>
      <c r="C1524" s="2" t="s">
        <v>43</v>
      </c>
      <c r="D1524" s="3" t="s">
        <v>44</v>
      </c>
      <c r="E1524" s="3" t="s">
        <v>45</v>
      </c>
      <c r="F1524" s="2" t="s">
        <v>46</v>
      </c>
      <c r="G1524" s="4">
        <v>493995</v>
      </c>
      <c r="H1524" s="4">
        <v>207867</v>
      </c>
      <c r="I1524" s="4">
        <v>187511</v>
      </c>
      <c r="J1524" s="4">
        <v>6693</v>
      </c>
      <c r="K1524" s="4">
        <v>520</v>
      </c>
      <c r="L1524" s="4">
        <v>575</v>
      </c>
      <c r="M1524" s="4">
        <v>45</v>
      </c>
      <c r="N1524" s="4">
        <v>2330</v>
      </c>
      <c r="O1524" s="5">
        <f t="shared" si="23"/>
        <v>4.177354928510861E-2</v>
      </c>
      <c r="P1524" s="2" t="s">
        <v>22</v>
      </c>
    </row>
    <row r="1525" spans="1:16" x14ac:dyDescent="0.25">
      <c r="A1525" s="6" t="s">
        <v>3119</v>
      </c>
      <c r="B1525" s="6" t="s">
        <v>3120</v>
      </c>
      <c r="C1525" s="6" t="s">
        <v>18</v>
      </c>
      <c r="D1525" s="7" t="s">
        <v>92</v>
      </c>
      <c r="E1525" s="7" t="s">
        <v>39</v>
      </c>
      <c r="F1525" s="6" t="s">
        <v>58</v>
      </c>
      <c r="G1525" s="8">
        <v>600329</v>
      </c>
      <c r="H1525" s="8">
        <v>134308</v>
      </c>
      <c r="I1525" s="8">
        <v>122685</v>
      </c>
      <c r="J1525" s="8">
        <v>8414</v>
      </c>
      <c r="K1525" s="8">
        <v>1418</v>
      </c>
      <c r="L1525" s="8">
        <v>1245</v>
      </c>
      <c r="M1525" s="8">
        <v>1072</v>
      </c>
      <c r="N1525" s="8">
        <v>1814</v>
      </c>
      <c r="O1525" s="9">
        <f t="shared" si="23"/>
        <v>9.9025960793903078E-2</v>
      </c>
      <c r="P1525" s="6" t="s">
        <v>29</v>
      </c>
    </row>
    <row r="1526" spans="1:16" x14ac:dyDescent="0.25">
      <c r="A1526" s="2" t="s">
        <v>3121</v>
      </c>
      <c r="B1526" s="2" t="s">
        <v>3122</v>
      </c>
      <c r="C1526" s="2" t="s">
        <v>25</v>
      </c>
      <c r="D1526" s="3" t="s">
        <v>145</v>
      </c>
      <c r="E1526" s="3" t="s">
        <v>39</v>
      </c>
      <c r="F1526" s="2" t="s">
        <v>146</v>
      </c>
      <c r="G1526" s="4">
        <v>691833</v>
      </c>
      <c r="H1526" s="4">
        <v>199230</v>
      </c>
      <c r="I1526" s="4">
        <v>162184</v>
      </c>
      <c r="J1526" s="4">
        <v>7694</v>
      </c>
      <c r="K1526" s="4">
        <v>852</v>
      </c>
      <c r="L1526" s="4">
        <v>417</v>
      </c>
      <c r="M1526" s="4">
        <v>1752</v>
      </c>
      <c r="N1526" s="4">
        <v>6385</v>
      </c>
      <c r="O1526" s="5">
        <f t="shared" si="23"/>
        <v>6.6066936319242348E-2</v>
      </c>
      <c r="P1526" s="2" t="s">
        <v>66</v>
      </c>
    </row>
    <row r="1527" spans="1:16" x14ac:dyDescent="0.25">
      <c r="A1527" s="6" t="s">
        <v>3123</v>
      </c>
      <c r="B1527" s="6" t="s">
        <v>3124</v>
      </c>
      <c r="C1527" s="6" t="s">
        <v>76</v>
      </c>
      <c r="D1527" s="7" t="s">
        <v>77</v>
      </c>
      <c r="E1527" s="7" t="s">
        <v>34</v>
      </c>
      <c r="F1527" s="6" t="s">
        <v>155</v>
      </c>
      <c r="G1527" s="8">
        <v>24301</v>
      </c>
      <c r="H1527" s="8">
        <v>11142</v>
      </c>
      <c r="I1527" s="8">
        <v>8545</v>
      </c>
      <c r="J1527" s="8">
        <v>721</v>
      </c>
      <c r="K1527" s="8">
        <v>107</v>
      </c>
      <c r="L1527" s="8">
        <v>44</v>
      </c>
      <c r="M1527" s="8">
        <v>121</v>
      </c>
      <c r="N1527" s="8">
        <v>242</v>
      </c>
      <c r="O1527" s="9">
        <f t="shared" si="23"/>
        <v>0.11620830895260387</v>
      </c>
      <c r="P1527" s="6" t="s">
        <v>22</v>
      </c>
    </row>
    <row r="1528" spans="1:16" x14ac:dyDescent="0.25">
      <c r="A1528" s="2" t="s">
        <v>3125</v>
      </c>
      <c r="B1528" s="2" t="s">
        <v>3126</v>
      </c>
      <c r="C1528" s="2" t="s">
        <v>76</v>
      </c>
      <c r="D1528" s="3" t="s">
        <v>182</v>
      </c>
      <c r="E1528" s="3" t="s">
        <v>45</v>
      </c>
      <c r="F1528" s="2" t="s">
        <v>155</v>
      </c>
      <c r="G1528" s="4">
        <v>767575</v>
      </c>
      <c r="H1528" s="4">
        <v>343589</v>
      </c>
      <c r="I1528" s="4">
        <v>255490</v>
      </c>
      <c r="J1528" s="4">
        <v>11705</v>
      </c>
      <c r="K1528" s="4">
        <v>1928</v>
      </c>
      <c r="L1528" s="4">
        <v>1519</v>
      </c>
      <c r="M1528" s="4">
        <v>2714</v>
      </c>
      <c r="N1528" s="4">
        <v>5649</v>
      </c>
      <c r="O1528" s="5">
        <f t="shared" si="23"/>
        <v>6.9928372930447374E-2</v>
      </c>
      <c r="P1528" s="2" t="s">
        <v>29</v>
      </c>
    </row>
    <row r="1529" spans="1:16" x14ac:dyDescent="0.25">
      <c r="A1529" s="6" t="s">
        <v>3127</v>
      </c>
      <c r="B1529" s="6" t="s">
        <v>3128</v>
      </c>
      <c r="C1529" s="6" t="s">
        <v>76</v>
      </c>
      <c r="D1529" s="7" t="s">
        <v>77</v>
      </c>
      <c r="E1529" s="7" t="s">
        <v>34</v>
      </c>
      <c r="F1529" s="6" t="s">
        <v>87</v>
      </c>
      <c r="G1529" s="8">
        <v>620460</v>
      </c>
      <c r="H1529" s="8">
        <v>339906</v>
      </c>
      <c r="I1529" s="8">
        <v>255492</v>
      </c>
      <c r="J1529" s="8">
        <v>18077</v>
      </c>
      <c r="K1529" s="8">
        <v>1955</v>
      </c>
      <c r="L1529" s="8">
        <v>2070</v>
      </c>
      <c r="M1529" s="8">
        <v>3830</v>
      </c>
      <c r="N1529" s="8">
        <v>4857</v>
      </c>
      <c r="O1529" s="9">
        <f t="shared" si="23"/>
        <v>0.10149828566060777</v>
      </c>
      <c r="P1529" s="6" t="s">
        <v>29</v>
      </c>
    </row>
    <row r="1530" spans="1:16" x14ac:dyDescent="0.25">
      <c r="A1530" s="2" t="s">
        <v>3129</v>
      </c>
      <c r="B1530" s="2" t="s">
        <v>3130</v>
      </c>
      <c r="C1530" s="2" t="s">
        <v>25</v>
      </c>
      <c r="D1530" s="3" t="s">
        <v>244</v>
      </c>
      <c r="E1530" s="3" t="s">
        <v>45</v>
      </c>
      <c r="F1530" s="2" t="s">
        <v>28</v>
      </c>
      <c r="G1530" s="4">
        <v>70100</v>
      </c>
      <c r="H1530" s="4">
        <v>40801</v>
      </c>
      <c r="I1530" s="4">
        <v>35346</v>
      </c>
      <c r="J1530" s="4">
        <v>2346</v>
      </c>
      <c r="K1530" s="4">
        <v>88</v>
      </c>
      <c r="L1530" s="4">
        <v>272</v>
      </c>
      <c r="M1530" s="4">
        <v>140</v>
      </c>
      <c r="N1530" s="4">
        <v>525</v>
      </c>
      <c r="O1530" s="5">
        <f t="shared" si="23"/>
        <v>8.0518304758671416E-2</v>
      </c>
      <c r="P1530" s="2" t="s">
        <v>22</v>
      </c>
    </row>
    <row r="1531" spans="1:16" x14ac:dyDescent="0.25">
      <c r="A1531" s="6" t="s">
        <v>3131</v>
      </c>
      <c r="B1531" s="6" t="s">
        <v>3132</v>
      </c>
      <c r="C1531" s="6" t="s">
        <v>25</v>
      </c>
      <c r="D1531" s="7" t="s">
        <v>26</v>
      </c>
      <c r="E1531" s="7" t="s">
        <v>39</v>
      </c>
      <c r="F1531" s="6" t="s">
        <v>146</v>
      </c>
      <c r="G1531" s="8">
        <v>562218</v>
      </c>
      <c r="H1531" s="8">
        <v>52903</v>
      </c>
      <c r="I1531" s="8">
        <v>46468</v>
      </c>
      <c r="J1531" s="8">
        <v>1503</v>
      </c>
      <c r="K1531" s="8">
        <v>76</v>
      </c>
      <c r="L1531" s="8">
        <v>154</v>
      </c>
      <c r="M1531" s="8">
        <v>231</v>
      </c>
      <c r="N1531" s="8">
        <v>818</v>
      </c>
      <c r="O1531" s="9">
        <f t="shared" si="23"/>
        <v>4.226564517517431E-2</v>
      </c>
      <c r="P1531" s="6" t="s">
        <v>66</v>
      </c>
    </row>
    <row r="1532" spans="1:16" x14ac:dyDescent="0.25">
      <c r="A1532" s="2" t="s">
        <v>3133</v>
      </c>
      <c r="B1532" s="2" t="s">
        <v>3134</v>
      </c>
      <c r="C1532" s="2" t="s">
        <v>32</v>
      </c>
      <c r="D1532" s="3" t="s">
        <v>38</v>
      </c>
      <c r="E1532" s="3" t="s">
        <v>39</v>
      </c>
      <c r="F1532" s="2" t="s">
        <v>128</v>
      </c>
      <c r="G1532" s="4">
        <v>366861</v>
      </c>
      <c r="H1532" s="4">
        <v>75413</v>
      </c>
      <c r="I1532" s="4">
        <v>67109</v>
      </c>
      <c r="J1532" s="4">
        <v>1907</v>
      </c>
      <c r="K1532" s="4">
        <v>337</v>
      </c>
      <c r="L1532" s="4">
        <v>206</v>
      </c>
      <c r="M1532" s="4">
        <v>13</v>
      </c>
      <c r="N1532" s="4">
        <v>1902</v>
      </c>
      <c r="O1532" s="5">
        <f t="shared" si="23"/>
        <v>3.6701485642760288E-2</v>
      </c>
      <c r="P1532" s="2" t="s">
        <v>29</v>
      </c>
    </row>
    <row r="1533" spans="1:16" x14ac:dyDescent="0.25">
      <c r="A1533" s="6" t="s">
        <v>3135</v>
      </c>
      <c r="B1533" s="6" t="s">
        <v>3136</v>
      </c>
      <c r="C1533" s="6" t="s">
        <v>25</v>
      </c>
      <c r="D1533" s="7" t="s">
        <v>61</v>
      </c>
      <c r="E1533" s="7" t="s">
        <v>39</v>
      </c>
      <c r="F1533" s="6" t="s">
        <v>28</v>
      </c>
      <c r="G1533" s="8">
        <v>148784</v>
      </c>
      <c r="H1533" s="8">
        <v>61474</v>
      </c>
      <c r="I1533" s="8">
        <v>53134</v>
      </c>
      <c r="J1533" s="8">
        <v>1745</v>
      </c>
      <c r="K1533" s="8">
        <v>162</v>
      </c>
      <c r="L1533" s="8">
        <v>87</v>
      </c>
      <c r="M1533" s="8">
        <v>435</v>
      </c>
      <c r="N1533" s="8">
        <v>1660</v>
      </c>
      <c r="O1533" s="9">
        <f t="shared" si="23"/>
        <v>4.5714608348703278E-2</v>
      </c>
      <c r="P1533" s="6" t="s">
        <v>22</v>
      </c>
    </row>
    <row r="1534" spans="1:16" x14ac:dyDescent="0.25">
      <c r="A1534" s="2" t="s">
        <v>3137</v>
      </c>
      <c r="B1534" s="2" t="s">
        <v>3138</v>
      </c>
      <c r="C1534" s="2" t="s">
        <v>32</v>
      </c>
      <c r="D1534" s="3" t="s">
        <v>121</v>
      </c>
      <c r="E1534" s="3" t="s">
        <v>39</v>
      </c>
      <c r="F1534" s="2" t="s">
        <v>128</v>
      </c>
      <c r="G1534" s="4">
        <v>536316</v>
      </c>
      <c r="H1534" s="4">
        <v>164613</v>
      </c>
      <c r="I1534" s="4">
        <v>139065</v>
      </c>
      <c r="J1534" s="4">
        <v>8652</v>
      </c>
      <c r="K1534" s="4">
        <v>1503</v>
      </c>
      <c r="L1534" s="4">
        <v>633</v>
      </c>
      <c r="M1534" s="4">
        <v>15</v>
      </c>
      <c r="N1534" s="4">
        <v>2958</v>
      </c>
      <c r="O1534" s="5">
        <f t="shared" si="23"/>
        <v>7.7683097831949086E-2</v>
      </c>
      <c r="P1534" s="2" t="s">
        <v>22</v>
      </c>
    </row>
    <row r="1535" spans="1:16" x14ac:dyDescent="0.25">
      <c r="A1535" s="6" t="s">
        <v>3139</v>
      </c>
      <c r="B1535" s="6" t="s">
        <v>3140</v>
      </c>
      <c r="C1535" s="6" t="s">
        <v>76</v>
      </c>
      <c r="D1535" s="7" t="s">
        <v>182</v>
      </c>
      <c r="E1535" s="7" t="s">
        <v>45</v>
      </c>
      <c r="F1535" s="6" t="s">
        <v>155</v>
      </c>
      <c r="G1535" s="8">
        <v>484729</v>
      </c>
      <c r="H1535" s="8">
        <v>86272</v>
      </c>
      <c r="I1535" s="8">
        <v>63884</v>
      </c>
      <c r="J1535" s="8">
        <v>3962</v>
      </c>
      <c r="K1535" s="8">
        <v>382</v>
      </c>
      <c r="L1535" s="8">
        <v>507</v>
      </c>
      <c r="M1535" s="8">
        <v>606</v>
      </c>
      <c r="N1535" s="8">
        <v>1906</v>
      </c>
      <c r="O1535" s="9">
        <f t="shared" si="23"/>
        <v>8.542044956483627E-2</v>
      </c>
      <c r="P1535" s="6" t="s">
        <v>29</v>
      </c>
    </row>
    <row r="1536" spans="1:16" x14ac:dyDescent="0.25">
      <c r="A1536" s="2" t="s">
        <v>3141</v>
      </c>
      <c r="B1536" s="2" t="s">
        <v>3142</v>
      </c>
      <c r="C1536" s="2" t="s">
        <v>32</v>
      </c>
      <c r="D1536" s="3" t="s">
        <v>38</v>
      </c>
      <c r="E1536" s="3" t="s">
        <v>20</v>
      </c>
      <c r="F1536" s="2" t="s">
        <v>51</v>
      </c>
      <c r="G1536" s="4">
        <v>579528</v>
      </c>
      <c r="H1536" s="4">
        <v>245296</v>
      </c>
      <c r="I1536" s="4">
        <v>200728</v>
      </c>
      <c r="J1536" s="4">
        <v>13871</v>
      </c>
      <c r="K1536" s="4">
        <v>1381</v>
      </c>
      <c r="L1536" s="4">
        <v>1324</v>
      </c>
      <c r="M1536" s="4">
        <v>15</v>
      </c>
      <c r="N1536" s="4">
        <v>7175</v>
      </c>
      <c r="O1536" s="5">
        <f t="shared" si="23"/>
        <v>8.2654138934279225E-2</v>
      </c>
      <c r="P1536" s="2" t="s">
        <v>22</v>
      </c>
    </row>
    <row r="1537" spans="1:16" x14ac:dyDescent="0.25">
      <c r="A1537" s="6" t="s">
        <v>3143</v>
      </c>
      <c r="B1537" s="6" t="s">
        <v>3144</v>
      </c>
      <c r="C1537" s="6" t="s">
        <v>43</v>
      </c>
      <c r="D1537" s="7" t="s">
        <v>69</v>
      </c>
      <c r="E1537" s="7" t="s">
        <v>39</v>
      </c>
      <c r="F1537" s="6" t="s">
        <v>46</v>
      </c>
      <c r="G1537" s="8">
        <v>162191</v>
      </c>
      <c r="H1537" s="8">
        <v>103069</v>
      </c>
      <c r="I1537" s="8">
        <v>80768</v>
      </c>
      <c r="J1537" s="8">
        <v>2215</v>
      </c>
      <c r="K1537" s="8">
        <v>345</v>
      </c>
      <c r="L1537" s="8">
        <v>306</v>
      </c>
      <c r="M1537" s="8">
        <v>23</v>
      </c>
      <c r="N1537" s="8">
        <v>3482</v>
      </c>
      <c r="O1537" s="9">
        <f t="shared" si="23"/>
        <v>3.5769116481774964E-2</v>
      </c>
      <c r="P1537" s="6" t="s">
        <v>22</v>
      </c>
    </row>
    <row r="1538" spans="1:16" x14ac:dyDescent="0.25">
      <c r="A1538" s="2" t="s">
        <v>3145</v>
      </c>
      <c r="B1538" s="2" t="s">
        <v>3146</v>
      </c>
      <c r="C1538" s="2" t="s">
        <v>18</v>
      </c>
      <c r="D1538" s="3" t="s">
        <v>226</v>
      </c>
      <c r="E1538" s="3" t="s">
        <v>39</v>
      </c>
      <c r="F1538" s="2" t="s">
        <v>21</v>
      </c>
      <c r="G1538" s="4">
        <v>821132</v>
      </c>
      <c r="H1538" s="4">
        <v>291684</v>
      </c>
      <c r="I1538" s="4">
        <v>216273</v>
      </c>
      <c r="J1538" s="4">
        <v>7058</v>
      </c>
      <c r="K1538" s="4">
        <v>1083</v>
      </c>
      <c r="L1538" s="4">
        <v>682</v>
      </c>
      <c r="M1538" s="4">
        <v>1692</v>
      </c>
      <c r="N1538" s="4">
        <v>4542</v>
      </c>
      <c r="O1538" s="5">
        <f t="shared" ref="O1538:O1601" si="24">IF(I1538&gt;0, (J1538+K1538+L1538+M1538)/I1538, 0)</f>
        <v>4.8619106407179813E-2</v>
      </c>
      <c r="P1538" s="2" t="s">
        <v>22</v>
      </c>
    </row>
    <row r="1539" spans="1:16" x14ac:dyDescent="0.25">
      <c r="A1539" s="6" t="s">
        <v>3147</v>
      </c>
      <c r="B1539" s="6" t="s">
        <v>3148</v>
      </c>
      <c r="C1539" s="6" t="s">
        <v>32</v>
      </c>
      <c r="D1539" s="7" t="s">
        <v>175</v>
      </c>
      <c r="E1539" s="7" t="s">
        <v>45</v>
      </c>
      <c r="F1539" s="6" t="s">
        <v>128</v>
      </c>
      <c r="G1539" s="8">
        <v>325849</v>
      </c>
      <c r="H1539" s="8">
        <v>33381</v>
      </c>
      <c r="I1539" s="8">
        <v>26018</v>
      </c>
      <c r="J1539" s="8">
        <v>754</v>
      </c>
      <c r="K1539" s="8">
        <v>103</v>
      </c>
      <c r="L1539" s="8">
        <v>33</v>
      </c>
      <c r="M1539" s="8">
        <v>17</v>
      </c>
      <c r="N1539" s="8">
        <v>762</v>
      </c>
      <c r="O1539" s="9">
        <f t="shared" si="24"/>
        <v>3.4860481205319392E-2</v>
      </c>
      <c r="P1539" s="6" t="s">
        <v>29</v>
      </c>
    </row>
    <row r="1540" spans="1:16" x14ac:dyDescent="0.25">
      <c r="A1540" s="2" t="s">
        <v>3149</v>
      </c>
      <c r="B1540" s="2" t="s">
        <v>3150</v>
      </c>
      <c r="C1540" s="2" t="s">
        <v>32</v>
      </c>
      <c r="D1540" s="3" t="s">
        <v>38</v>
      </c>
      <c r="E1540" s="3" t="s">
        <v>45</v>
      </c>
      <c r="F1540" s="2" t="s">
        <v>35</v>
      </c>
      <c r="G1540" s="4">
        <v>54708</v>
      </c>
      <c r="H1540" s="4">
        <v>24413</v>
      </c>
      <c r="I1540" s="4">
        <v>17847</v>
      </c>
      <c r="J1540" s="4">
        <v>775</v>
      </c>
      <c r="K1540" s="4">
        <v>37</v>
      </c>
      <c r="L1540" s="4">
        <v>89</v>
      </c>
      <c r="M1540" s="4">
        <v>9</v>
      </c>
      <c r="N1540" s="4">
        <v>371</v>
      </c>
      <c r="O1540" s="5">
        <f t="shared" si="24"/>
        <v>5.0988961730262787E-2</v>
      </c>
      <c r="P1540" s="2" t="s">
        <v>22</v>
      </c>
    </row>
    <row r="1541" spans="1:16" x14ac:dyDescent="0.25">
      <c r="A1541" s="6" t="s">
        <v>3151</v>
      </c>
      <c r="B1541" s="6" t="s">
        <v>3152</v>
      </c>
      <c r="C1541" s="6" t="s">
        <v>76</v>
      </c>
      <c r="D1541" s="7" t="s">
        <v>182</v>
      </c>
      <c r="E1541" s="7" t="s">
        <v>50</v>
      </c>
      <c r="F1541" s="6" t="s">
        <v>155</v>
      </c>
      <c r="G1541" s="8">
        <v>601887</v>
      </c>
      <c r="H1541" s="8">
        <v>56027</v>
      </c>
      <c r="I1541" s="8">
        <v>47146</v>
      </c>
      <c r="J1541" s="8">
        <v>2279</v>
      </c>
      <c r="K1541" s="8">
        <v>408</v>
      </c>
      <c r="L1541" s="8">
        <v>93</v>
      </c>
      <c r="M1541" s="8">
        <v>501</v>
      </c>
      <c r="N1541" s="8">
        <v>966</v>
      </c>
      <c r="O1541" s="9">
        <f t="shared" si="24"/>
        <v>6.9592330208289144E-2</v>
      </c>
      <c r="P1541" s="6" t="s">
        <v>22</v>
      </c>
    </row>
    <row r="1542" spans="1:16" x14ac:dyDescent="0.25">
      <c r="A1542" s="2" t="s">
        <v>3153</v>
      </c>
      <c r="B1542" s="2" t="s">
        <v>3154</v>
      </c>
      <c r="C1542" s="2" t="s">
        <v>32</v>
      </c>
      <c r="D1542" s="3" t="s">
        <v>49</v>
      </c>
      <c r="E1542" s="3" t="s">
        <v>34</v>
      </c>
      <c r="F1542" s="2" t="s">
        <v>128</v>
      </c>
      <c r="G1542" s="4">
        <v>822967</v>
      </c>
      <c r="H1542" s="4">
        <v>365557</v>
      </c>
      <c r="I1542" s="4">
        <v>331520</v>
      </c>
      <c r="J1542" s="4">
        <v>25129</v>
      </c>
      <c r="K1542" s="4">
        <v>3714</v>
      </c>
      <c r="L1542" s="4">
        <v>3458</v>
      </c>
      <c r="M1542" s="4">
        <v>41</v>
      </c>
      <c r="N1542" s="4">
        <v>9620</v>
      </c>
      <c r="O1542" s="5">
        <f t="shared" si="24"/>
        <v>9.7556708494208499E-2</v>
      </c>
      <c r="P1542" s="2" t="s">
        <v>22</v>
      </c>
    </row>
    <row r="1543" spans="1:16" x14ac:dyDescent="0.25">
      <c r="A1543" s="6" t="s">
        <v>3155</v>
      </c>
      <c r="B1543" s="6" t="s">
        <v>3156</v>
      </c>
      <c r="C1543" s="6" t="s">
        <v>25</v>
      </c>
      <c r="D1543" s="7" t="s">
        <v>26</v>
      </c>
      <c r="E1543" s="7" t="s">
        <v>45</v>
      </c>
      <c r="F1543" s="6" t="s">
        <v>28</v>
      </c>
      <c r="G1543" s="8">
        <v>28591</v>
      </c>
      <c r="H1543" s="8">
        <v>7610</v>
      </c>
      <c r="I1543" s="8">
        <v>6482</v>
      </c>
      <c r="J1543" s="8">
        <v>520</v>
      </c>
      <c r="K1543" s="8">
        <v>75</v>
      </c>
      <c r="L1543" s="8">
        <v>31</v>
      </c>
      <c r="M1543" s="8">
        <v>124</v>
      </c>
      <c r="N1543" s="8">
        <v>257</v>
      </c>
      <c r="O1543" s="9">
        <f t="shared" si="24"/>
        <v>0.11570502931194077</v>
      </c>
      <c r="P1543" s="6" t="s">
        <v>22</v>
      </c>
    </row>
    <row r="1544" spans="1:16" x14ac:dyDescent="0.25">
      <c r="A1544" s="2" t="s">
        <v>3157</v>
      </c>
      <c r="B1544" s="2" t="s">
        <v>3158</v>
      </c>
      <c r="C1544" s="2" t="s">
        <v>32</v>
      </c>
      <c r="D1544" s="3" t="s">
        <v>38</v>
      </c>
      <c r="E1544" s="3" t="s">
        <v>34</v>
      </c>
      <c r="F1544" s="2" t="s">
        <v>35</v>
      </c>
      <c r="G1544" s="4">
        <v>571614</v>
      </c>
      <c r="H1544" s="4">
        <v>302796</v>
      </c>
      <c r="I1544" s="4">
        <v>254986</v>
      </c>
      <c r="J1544" s="4">
        <v>10655</v>
      </c>
      <c r="K1544" s="4">
        <v>915</v>
      </c>
      <c r="L1544" s="4">
        <v>565</v>
      </c>
      <c r="M1544" s="4">
        <v>46</v>
      </c>
      <c r="N1544" s="4">
        <v>2109</v>
      </c>
      <c r="O1544" s="5">
        <f t="shared" si="24"/>
        <v>4.7771250186284739E-2</v>
      </c>
      <c r="P1544" s="2" t="s">
        <v>22</v>
      </c>
    </row>
    <row r="1545" spans="1:16" x14ac:dyDescent="0.25">
      <c r="A1545" s="6" t="s">
        <v>3159</v>
      </c>
      <c r="B1545" s="6" t="s">
        <v>3160</v>
      </c>
      <c r="C1545" s="6" t="s">
        <v>32</v>
      </c>
      <c r="D1545" s="7" t="s">
        <v>38</v>
      </c>
      <c r="E1545" s="7" t="s">
        <v>27</v>
      </c>
      <c r="F1545" s="6" t="s">
        <v>51</v>
      </c>
      <c r="G1545" s="8">
        <v>701121</v>
      </c>
      <c r="H1545" s="8">
        <v>163060</v>
      </c>
      <c r="I1545" s="8">
        <v>142358</v>
      </c>
      <c r="J1545" s="8">
        <v>8755</v>
      </c>
      <c r="K1545" s="8">
        <v>1386</v>
      </c>
      <c r="L1545" s="8">
        <v>927</v>
      </c>
      <c r="M1545" s="8">
        <v>22</v>
      </c>
      <c r="N1545" s="8">
        <v>4019</v>
      </c>
      <c r="O1545" s="9">
        <f t="shared" si="24"/>
        <v>7.7902190252743087E-2</v>
      </c>
      <c r="P1545" s="6" t="s">
        <v>66</v>
      </c>
    </row>
    <row r="1546" spans="1:16" x14ac:dyDescent="0.25">
      <c r="A1546" s="2" t="s">
        <v>3161</v>
      </c>
      <c r="B1546" s="2" t="s">
        <v>3162</v>
      </c>
      <c r="C1546" s="2" t="s">
        <v>32</v>
      </c>
      <c r="D1546" s="3" t="s">
        <v>49</v>
      </c>
      <c r="E1546" s="3" t="s">
        <v>39</v>
      </c>
      <c r="F1546" s="2" t="s">
        <v>35</v>
      </c>
      <c r="G1546" s="4">
        <v>316772</v>
      </c>
      <c r="H1546" s="4">
        <v>68737</v>
      </c>
      <c r="I1546" s="4">
        <v>61131</v>
      </c>
      <c r="J1546" s="4">
        <v>4721</v>
      </c>
      <c r="K1546" s="4">
        <v>476</v>
      </c>
      <c r="L1546" s="4">
        <v>416</v>
      </c>
      <c r="M1546" s="4">
        <v>0</v>
      </c>
      <c r="N1546" s="4">
        <v>2249</v>
      </c>
      <c r="O1546" s="5">
        <f t="shared" si="24"/>
        <v>9.1819207930509891E-2</v>
      </c>
      <c r="P1546" s="2" t="s">
        <v>66</v>
      </c>
    </row>
    <row r="1547" spans="1:16" x14ac:dyDescent="0.25">
      <c r="A1547" s="6" t="s">
        <v>3163</v>
      </c>
      <c r="B1547" s="6" t="s">
        <v>3164</v>
      </c>
      <c r="C1547" s="6" t="s">
        <v>32</v>
      </c>
      <c r="D1547" s="7" t="s">
        <v>33</v>
      </c>
      <c r="E1547" s="7" t="s">
        <v>27</v>
      </c>
      <c r="F1547" s="6" t="s">
        <v>51</v>
      </c>
      <c r="G1547" s="8">
        <v>691296</v>
      </c>
      <c r="H1547" s="8">
        <v>154531</v>
      </c>
      <c r="I1547" s="8">
        <v>137792</v>
      </c>
      <c r="J1547" s="8">
        <v>9847</v>
      </c>
      <c r="K1547" s="8">
        <v>1767</v>
      </c>
      <c r="L1547" s="8">
        <v>1080</v>
      </c>
      <c r="M1547" s="8">
        <v>34</v>
      </c>
      <c r="N1547" s="8">
        <v>919</v>
      </c>
      <c r="O1547" s="9">
        <f t="shared" si="24"/>
        <v>9.2371110078959595E-2</v>
      </c>
      <c r="P1547" s="6" t="s">
        <v>22</v>
      </c>
    </row>
    <row r="1548" spans="1:16" x14ac:dyDescent="0.25">
      <c r="A1548" s="2" t="s">
        <v>3165</v>
      </c>
      <c r="B1548" s="2" t="s">
        <v>3166</v>
      </c>
      <c r="C1548" s="2" t="s">
        <v>76</v>
      </c>
      <c r="D1548" s="3" t="s">
        <v>103</v>
      </c>
      <c r="E1548" s="3" t="s">
        <v>45</v>
      </c>
      <c r="F1548" s="2" t="s">
        <v>87</v>
      </c>
      <c r="G1548" s="4">
        <v>627326</v>
      </c>
      <c r="H1548" s="4">
        <v>146424</v>
      </c>
      <c r="I1548" s="4">
        <v>107817</v>
      </c>
      <c r="J1548" s="4">
        <v>10156</v>
      </c>
      <c r="K1548" s="4">
        <v>382</v>
      </c>
      <c r="L1548" s="4">
        <v>463</v>
      </c>
      <c r="M1548" s="4">
        <v>857</v>
      </c>
      <c r="N1548" s="4">
        <v>5062</v>
      </c>
      <c r="O1548" s="5">
        <f t="shared" si="24"/>
        <v>0.10998265579639574</v>
      </c>
      <c r="P1548" s="2" t="s">
        <v>29</v>
      </c>
    </row>
    <row r="1549" spans="1:16" x14ac:dyDescent="0.25">
      <c r="A1549" s="6" t="s">
        <v>3167</v>
      </c>
      <c r="B1549" s="6" t="s">
        <v>3168</v>
      </c>
      <c r="C1549" s="6" t="s">
        <v>32</v>
      </c>
      <c r="D1549" s="7" t="s">
        <v>121</v>
      </c>
      <c r="E1549" s="7" t="s">
        <v>20</v>
      </c>
      <c r="F1549" s="6" t="s">
        <v>35</v>
      </c>
      <c r="G1549" s="8">
        <v>151270</v>
      </c>
      <c r="H1549" s="8">
        <v>62998</v>
      </c>
      <c r="I1549" s="8">
        <v>52898</v>
      </c>
      <c r="J1549" s="8">
        <v>4745</v>
      </c>
      <c r="K1549" s="8">
        <v>617</v>
      </c>
      <c r="L1549" s="8">
        <v>692</v>
      </c>
      <c r="M1549" s="8">
        <v>0</v>
      </c>
      <c r="N1549" s="8">
        <v>771</v>
      </c>
      <c r="O1549" s="9">
        <f t="shared" si="24"/>
        <v>0.11444667095164278</v>
      </c>
      <c r="P1549" s="6" t="s">
        <v>66</v>
      </c>
    </row>
    <row r="1550" spans="1:16" x14ac:dyDescent="0.25">
      <c r="A1550" s="2" t="s">
        <v>3169</v>
      </c>
      <c r="B1550" s="2" t="s">
        <v>3170</v>
      </c>
      <c r="C1550" s="2" t="s">
        <v>43</v>
      </c>
      <c r="D1550" s="3" t="s">
        <v>110</v>
      </c>
      <c r="E1550" s="3" t="s">
        <v>34</v>
      </c>
      <c r="F1550" s="2" t="s">
        <v>46</v>
      </c>
      <c r="G1550" s="4">
        <v>42819</v>
      </c>
      <c r="H1550" s="4">
        <v>20244</v>
      </c>
      <c r="I1550" s="4">
        <v>14192</v>
      </c>
      <c r="J1550" s="4">
        <v>1610</v>
      </c>
      <c r="K1550" s="4">
        <v>53</v>
      </c>
      <c r="L1550" s="4">
        <v>70</v>
      </c>
      <c r="M1550" s="4">
        <v>35</v>
      </c>
      <c r="N1550" s="4">
        <v>158</v>
      </c>
      <c r="O1550" s="5">
        <f t="shared" si="24"/>
        <v>0.1245772266065389</v>
      </c>
      <c r="P1550" s="2" t="s">
        <v>22</v>
      </c>
    </row>
    <row r="1551" spans="1:16" x14ac:dyDescent="0.25">
      <c r="A1551" s="6" t="s">
        <v>3171</v>
      </c>
      <c r="B1551" s="6" t="s">
        <v>3172</v>
      </c>
      <c r="C1551" s="6" t="s">
        <v>32</v>
      </c>
      <c r="D1551" s="7" t="s">
        <v>33</v>
      </c>
      <c r="E1551" s="7" t="s">
        <v>50</v>
      </c>
      <c r="F1551" s="6" t="s">
        <v>51</v>
      </c>
      <c r="G1551" s="8">
        <v>237168</v>
      </c>
      <c r="H1551" s="8">
        <v>102848</v>
      </c>
      <c r="I1551" s="8">
        <v>79474</v>
      </c>
      <c r="J1551" s="8">
        <v>2542</v>
      </c>
      <c r="K1551" s="8">
        <v>351</v>
      </c>
      <c r="L1551" s="8">
        <v>350</v>
      </c>
      <c r="M1551" s="8">
        <v>7</v>
      </c>
      <c r="N1551" s="8">
        <v>953</v>
      </c>
      <c r="O1551" s="9">
        <f t="shared" si="24"/>
        <v>4.0893877242871884E-2</v>
      </c>
      <c r="P1551" s="6" t="s">
        <v>29</v>
      </c>
    </row>
    <row r="1552" spans="1:16" x14ac:dyDescent="0.25">
      <c r="A1552" s="2" t="s">
        <v>3173</v>
      </c>
      <c r="B1552" s="2" t="s">
        <v>3174</v>
      </c>
      <c r="C1552" s="2" t="s">
        <v>25</v>
      </c>
      <c r="D1552" s="3" t="s">
        <v>26</v>
      </c>
      <c r="E1552" s="3" t="s">
        <v>50</v>
      </c>
      <c r="F1552" s="2" t="s">
        <v>146</v>
      </c>
      <c r="G1552" s="4">
        <v>485598</v>
      </c>
      <c r="H1552" s="4">
        <v>80086</v>
      </c>
      <c r="I1552" s="4">
        <v>70868</v>
      </c>
      <c r="J1552" s="4">
        <v>3429</v>
      </c>
      <c r="K1552" s="4">
        <v>197</v>
      </c>
      <c r="L1552" s="4">
        <v>366</v>
      </c>
      <c r="M1552" s="4">
        <v>247</v>
      </c>
      <c r="N1552" s="4">
        <v>523</v>
      </c>
      <c r="O1552" s="5">
        <f t="shared" si="24"/>
        <v>5.9815431506462721E-2</v>
      </c>
      <c r="P1552" s="2" t="s">
        <v>22</v>
      </c>
    </row>
    <row r="1553" spans="1:16" x14ac:dyDescent="0.25">
      <c r="A1553" s="6" t="s">
        <v>3175</v>
      </c>
      <c r="B1553" s="6" t="s">
        <v>3176</v>
      </c>
      <c r="C1553" s="6" t="s">
        <v>18</v>
      </c>
      <c r="D1553" s="7" t="s">
        <v>231</v>
      </c>
      <c r="E1553" s="7" t="s">
        <v>50</v>
      </c>
      <c r="F1553" s="6" t="s">
        <v>58</v>
      </c>
      <c r="G1553" s="8">
        <v>86645</v>
      </c>
      <c r="H1553" s="8">
        <v>44298</v>
      </c>
      <c r="I1553" s="8">
        <v>38787</v>
      </c>
      <c r="J1553" s="8">
        <v>3075</v>
      </c>
      <c r="K1553" s="8">
        <v>380</v>
      </c>
      <c r="L1553" s="8">
        <v>295</v>
      </c>
      <c r="M1553" s="8">
        <v>353</v>
      </c>
      <c r="N1553" s="8">
        <v>325</v>
      </c>
      <c r="O1553" s="9">
        <f t="shared" si="24"/>
        <v>0.10578286539304406</v>
      </c>
      <c r="P1553" s="6" t="s">
        <v>29</v>
      </c>
    </row>
    <row r="1554" spans="1:16" x14ac:dyDescent="0.25">
      <c r="A1554" s="2" t="s">
        <v>3177</v>
      </c>
      <c r="B1554" s="2" t="s">
        <v>3178</v>
      </c>
      <c r="C1554" s="2" t="s">
        <v>18</v>
      </c>
      <c r="D1554" s="3" t="s">
        <v>19</v>
      </c>
      <c r="E1554" s="3" t="s">
        <v>45</v>
      </c>
      <c r="F1554" s="2" t="s">
        <v>58</v>
      </c>
      <c r="G1554" s="4">
        <v>734969</v>
      </c>
      <c r="H1554" s="4">
        <v>3632150</v>
      </c>
      <c r="I1554" s="4">
        <v>2921190</v>
      </c>
      <c r="J1554" s="4">
        <v>191156</v>
      </c>
      <c r="K1554" s="4">
        <v>8821</v>
      </c>
      <c r="L1554" s="4">
        <v>15145</v>
      </c>
      <c r="M1554" s="4">
        <v>19018</v>
      </c>
      <c r="N1554" s="4">
        <v>45421</v>
      </c>
      <c r="O1554" s="5">
        <f t="shared" si="24"/>
        <v>8.0152266713223036E-2</v>
      </c>
      <c r="P1554" s="2" t="s">
        <v>22</v>
      </c>
    </row>
    <row r="1555" spans="1:16" x14ac:dyDescent="0.25">
      <c r="A1555" s="6" t="s">
        <v>3179</v>
      </c>
      <c r="B1555" s="6" t="s">
        <v>3180</v>
      </c>
      <c r="C1555" s="6" t="s">
        <v>18</v>
      </c>
      <c r="D1555" s="7" t="s">
        <v>57</v>
      </c>
      <c r="E1555" s="7" t="s">
        <v>50</v>
      </c>
      <c r="F1555" s="6" t="s">
        <v>58</v>
      </c>
      <c r="G1555" s="8">
        <v>756574</v>
      </c>
      <c r="H1555" s="8">
        <v>435490</v>
      </c>
      <c r="I1555" s="8">
        <v>377757</v>
      </c>
      <c r="J1555" s="8">
        <v>15433</v>
      </c>
      <c r="K1555" s="8">
        <v>697</v>
      </c>
      <c r="L1555" s="8">
        <v>1819</v>
      </c>
      <c r="M1555" s="8">
        <v>860</v>
      </c>
      <c r="N1555" s="8">
        <v>5542</v>
      </c>
      <c r="O1555" s="9">
        <f t="shared" si="24"/>
        <v>4.9791267931500939E-2</v>
      </c>
      <c r="P1555" s="6" t="s">
        <v>22</v>
      </c>
    </row>
    <row r="1556" spans="1:16" x14ac:dyDescent="0.25">
      <c r="A1556" s="2" t="s">
        <v>3181</v>
      </c>
      <c r="B1556" s="2" t="s">
        <v>3182</v>
      </c>
      <c r="C1556" s="2" t="s">
        <v>25</v>
      </c>
      <c r="D1556" s="3" t="s">
        <v>145</v>
      </c>
      <c r="E1556" s="3" t="s">
        <v>27</v>
      </c>
      <c r="F1556" s="2" t="s">
        <v>54</v>
      </c>
      <c r="G1556" s="4">
        <v>446987</v>
      </c>
      <c r="H1556" s="4">
        <v>57118</v>
      </c>
      <c r="I1556" s="4">
        <v>43004</v>
      </c>
      <c r="J1556" s="4">
        <v>3850</v>
      </c>
      <c r="K1556" s="4">
        <v>251</v>
      </c>
      <c r="L1556" s="4">
        <v>386</v>
      </c>
      <c r="M1556" s="4">
        <v>451</v>
      </c>
      <c r="N1556" s="4">
        <v>411</v>
      </c>
      <c r="O1556" s="5">
        <f t="shared" si="24"/>
        <v>0.11482652776485908</v>
      </c>
      <c r="P1556" s="2" t="s">
        <v>29</v>
      </c>
    </row>
    <row r="1557" spans="1:16" x14ac:dyDescent="0.25">
      <c r="A1557" s="6" t="s">
        <v>3183</v>
      </c>
      <c r="B1557" s="6" t="s">
        <v>3184</v>
      </c>
      <c r="C1557" s="6" t="s">
        <v>18</v>
      </c>
      <c r="D1557" s="7" t="s">
        <v>92</v>
      </c>
      <c r="E1557" s="7" t="s">
        <v>27</v>
      </c>
      <c r="F1557" s="6" t="s">
        <v>73</v>
      </c>
      <c r="G1557" s="8">
        <v>152277</v>
      </c>
      <c r="H1557" s="8">
        <v>23035</v>
      </c>
      <c r="I1557" s="8">
        <v>19691</v>
      </c>
      <c r="J1557" s="8">
        <v>1039</v>
      </c>
      <c r="K1557" s="8">
        <v>66</v>
      </c>
      <c r="L1557" s="8">
        <v>129</v>
      </c>
      <c r="M1557" s="8">
        <v>248</v>
      </c>
      <c r="N1557" s="8">
        <v>773</v>
      </c>
      <c r="O1557" s="9">
        <f t="shared" si="24"/>
        <v>7.5262810421004522E-2</v>
      </c>
      <c r="P1557" s="6" t="s">
        <v>22</v>
      </c>
    </row>
    <row r="1558" spans="1:16" x14ac:dyDescent="0.25">
      <c r="A1558" s="2" t="s">
        <v>3185</v>
      </c>
      <c r="B1558" s="2" t="s">
        <v>3186</v>
      </c>
      <c r="C1558" s="2" t="s">
        <v>43</v>
      </c>
      <c r="D1558" s="3" t="s">
        <v>172</v>
      </c>
      <c r="E1558" s="3" t="s">
        <v>27</v>
      </c>
      <c r="F1558" s="2" t="s">
        <v>70</v>
      </c>
      <c r="G1558" s="4">
        <v>326065</v>
      </c>
      <c r="H1558" s="4">
        <v>184102</v>
      </c>
      <c r="I1558" s="4">
        <v>155504</v>
      </c>
      <c r="J1558" s="4">
        <v>10864</v>
      </c>
      <c r="K1558" s="4">
        <v>419</v>
      </c>
      <c r="L1558" s="4">
        <v>738</v>
      </c>
      <c r="M1558" s="4">
        <v>15</v>
      </c>
      <c r="N1558" s="4">
        <v>3133</v>
      </c>
      <c r="O1558" s="5">
        <f t="shared" si="24"/>
        <v>7.7399938265253626E-2</v>
      </c>
      <c r="P1558" s="2" t="s">
        <v>22</v>
      </c>
    </row>
    <row r="1559" spans="1:16" x14ac:dyDescent="0.25">
      <c r="A1559" s="6" t="s">
        <v>3187</v>
      </c>
      <c r="B1559" s="6" t="s">
        <v>3188</v>
      </c>
      <c r="C1559" s="6" t="s">
        <v>25</v>
      </c>
      <c r="D1559" s="7" t="s">
        <v>64</v>
      </c>
      <c r="E1559" s="7" t="s">
        <v>34</v>
      </c>
      <c r="F1559" s="6" t="s">
        <v>146</v>
      </c>
      <c r="G1559" s="8">
        <v>270255</v>
      </c>
      <c r="H1559" s="8">
        <v>77355</v>
      </c>
      <c r="I1559" s="8">
        <v>61663</v>
      </c>
      <c r="J1559" s="8">
        <v>3712</v>
      </c>
      <c r="K1559" s="8">
        <v>448</v>
      </c>
      <c r="L1559" s="8">
        <v>105</v>
      </c>
      <c r="M1559" s="8">
        <v>718</v>
      </c>
      <c r="N1559" s="8">
        <v>1066</v>
      </c>
      <c r="O1559" s="9">
        <f t="shared" si="24"/>
        <v>8.0810210336830834E-2</v>
      </c>
      <c r="P1559" s="6" t="s">
        <v>22</v>
      </c>
    </row>
    <row r="1560" spans="1:16" x14ac:dyDescent="0.25">
      <c r="A1560" s="2" t="s">
        <v>3189</v>
      </c>
      <c r="B1560" s="2" t="s">
        <v>3190</v>
      </c>
      <c r="C1560" s="2" t="s">
        <v>76</v>
      </c>
      <c r="D1560" s="3" t="s">
        <v>189</v>
      </c>
      <c r="E1560" s="3" t="s">
        <v>45</v>
      </c>
      <c r="F1560" s="2" t="s">
        <v>155</v>
      </c>
      <c r="G1560" s="4">
        <v>680820</v>
      </c>
      <c r="H1560" s="4">
        <v>223615</v>
      </c>
      <c r="I1560" s="4">
        <v>174856</v>
      </c>
      <c r="J1560" s="4">
        <v>16753</v>
      </c>
      <c r="K1560" s="4">
        <v>715</v>
      </c>
      <c r="L1560" s="4">
        <v>418</v>
      </c>
      <c r="M1560" s="4">
        <v>3026</v>
      </c>
      <c r="N1560" s="4">
        <v>2169</v>
      </c>
      <c r="O1560" s="5">
        <f t="shared" si="24"/>
        <v>0.11959555291211053</v>
      </c>
      <c r="P1560" s="2" t="s">
        <v>66</v>
      </c>
    </row>
    <row r="1561" spans="1:16" x14ac:dyDescent="0.25">
      <c r="A1561" s="6" t="s">
        <v>3191</v>
      </c>
      <c r="B1561" s="6" t="s">
        <v>3192</v>
      </c>
      <c r="C1561" s="6" t="s">
        <v>76</v>
      </c>
      <c r="D1561" s="7" t="s">
        <v>103</v>
      </c>
      <c r="E1561" s="7" t="s">
        <v>34</v>
      </c>
      <c r="F1561" s="6" t="s">
        <v>104</v>
      </c>
      <c r="G1561" s="8">
        <v>156721</v>
      </c>
      <c r="H1561" s="8">
        <v>22783</v>
      </c>
      <c r="I1561" s="8">
        <v>20640</v>
      </c>
      <c r="J1561" s="8">
        <v>1282</v>
      </c>
      <c r="K1561" s="8">
        <v>113</v>
      </c>
      <c r="L1561" s="8">
        <v>156</v>
      </c>
      <c r="M1561" s="8">
        <v>151</v>
      </c>
      <c r="N1561" s="8">
        <v>157</v>
      </c>
      <c r="O1561" s="9">
        <f t="shared" si="24"/>
        <v>8.2461240310077524E-2</v>
      </c>
      <c r="P1561" s="6" t="s">
        <v>22</v>
      </c>
    </row>
    <row r="1562" spans="1:16" x14ac:dyDescent="0.25">
      <c r="A1562" s="2" t="s">
        <v>3193</v>
      </c>
      <c r="B1562" s="2" t="s">
        <v>3194</v>
      </c>
      <c r="C1562" s="2" t="s">
        <v>32</v>
      </c>
      <c r="D1562" s="3" t="s">
        <v>49</v>
      </c>
      <c r="E1562" s="3" t="s">
        <v>45</v>
      </c>
      <c r="F1562" s="2" t="s">
        <v>128</v>
      </c>
      <c r="G1562" s="4">
        <v>782262</v>
      </c>
      <c r="H1562" s="4">
        <v>287050</v>
      </c>
      <c r="I1562" s="4">
        <v>252724</v>
      </c>
      <c r="J1562" s="4">
        <v>8421</v>
      </c>
      <c r="K1562" s="4">
        <v>376</v>
      </c>
      <c r="L1562" s="4">
        <v>770</v>
      </c>
      <c r="M1562" s="4">
        <v>25</v>
      </c>
      <c r="N1562" s="4">
        <v>6319</v>
      </c>
      <c r="O1562" s="5">
        <f t="shared" si="24"/>
        <v>3.7954448330985581E-2</v>
      </c>
      <c r="P1562" s="2" t="s">
        <v>22</v>
      </c>
    </row>
    <row r="1563" spans="1:16" x14ac:dyDescent="0.25">
      <c r="A1563" s="6" t="s">
        <v>3195</v>
      </c>
      <c r="B1563" s="6" t="s">
        <v>3196</v>
      </c>
      <c r="C1563" s="6" t="s">
        <v>32</v>
      </c>
      <c r="D1563" s="7" t="s">
        <v>121</v>
      </c>
      <c r="E1563" s="7" t="s">
        <v>39</v>
      </c>
      <c r="F1563" s="6" t="s">
        <v>128</v>
      </c>
      <c r="G1563" s="8">
        <v>812919</v>
      </c>
      <c r="H1563" s="8">
        <v>1720210</v>
      </c>
      <c r="I1563" s="8">
        <v>1462415</v>
      </c>
      <c r="J1563" s="8">
        <v>84702</v>
      </c>
      <c r="K1563" s="8">
        <v>8157</v>
      </c>
      <c r="L1563" s="8">
        <v>4909</v>
      </c>
      <c r="M1563" s="8">
        <v>38</v>
      </c>
      <c r="N1563" s="8">
        <v>46814</v>
      </c>
      <c r="O1563" s="9">
        <f t="shared" si="24"/>
        <v>6.6879784466105721E-2</v>
      </c>
      <c r="P1563" s="6" t="s">
        <v>29</v>
      </c>
    </row>
    <row r="1564" spans="1:16" x14ac:dyDescent="0.25">
      <c r="A1564" s="2" t="s">
        <v>3197</v>
      </c>
      <c r="B1564" s="2" t="s">
        <v>3198</v>
      </c>
      <c r="C1564" s="2" t="s">
        <v>76</v>
      </c>
      <c r="D1564" s="3" t="s">
        <v>103</v>
      </c>
      <c r="E1564" s="3" t="s">
        <v>50</v>
      </c>
      <c r="F1564" s="2" t="s">
        <v>78</v>
      </c>
      <c r="G1564" s="4">
        <v>56101</v>
      </c>
      <c r="H1564" s="4">
        <v>333624</v>
      </c>
      <c r="I1564" s="4">
        <v>243146</v>
      </c>
      <c r="J1564" s="4">
        <v>19607</v>
      </c>
      <c r="K1564" s="4">
        <v>2771</v>
      </c>
      <c r="L1564" s="4">
        <v>1719</v>
      </c>
      <c r="M1564" s="4">
        <v>3178</v>
      </c>
      <c r="N1564" s="4">
        <v>7222</v>
      </c>
      <c r="O1564" s="5">
        <f t="shared" si="24"/>
        <v>0.11217540078800392</v>
      </c>
      <c r="P1564" s="2" t="s">
        <v>22</v>
      </c>
    </row>
    <row r="1565" spans="1:16" x14ac:dyDescent="0.25">
      <c r="A1565" s="6" t="s">
        <v>3199</v>
      </c>
      <c r="B1565" s="6" t="s">
        <v>3200</v>
      </c>
      <c r="C1565" s="6" t="s">
        <v>18</v>
      </c>
      <c r="D1565" s="7" t="s">
        <v>226</v>
      </c>
      <c r="E1565" s="7" t="s">
        <v>20</v>
      </c>
      <c r="F1565" s="6" t="s">
        <v>73</v>
      </c>
      <c r="G1565" s="8">
        <v>334068</v>
      </c>
      <c r="H1565" s="8">
        <v>112906</v>
      </c>
      <c r="I1565" s="8">
        <v>80207</v>
      </c>
      <c r="J1565" s="8">
        <v>6651</v>
      </c>
      <c r="K1565" s="8">
        <v>246</v>
      </c>
      <c r="L1565" s="8">
        <v>140</v>
      </c>
      <c r="M1565" s="8">
        <v>1371</v>
      </c>
      <c r="N1565" s="8">
        <v>3235</v>
      </c>
      <c r="O1565" s="9">
        <f t="shared" si="24"/>
        <v>0.1048287555948982</v>
      </c>
      <c r="P1565" s="6" t="s">
        <v>22</v>
      </c>
    </row>
    <row r="1566" spans="1:16" x14ac:dyDescent="0.25">
      <c r="A1566" s="2" t="s">
        <v>3201</v>
      </c>
      <c r="B1566" s="2" t="s">
        <v>3202</v>
      </c>
      <c r="C1566" s="2" t="s">
        <v>18</v>
      </c>
      <c r="D1566" s="3" t="s">
        <v>231</v>
      </c>
      <c r="E1566" s="3" t="s">
        <v>45</v>
      </c>
      <c r="F1566" s="2" t="s">
        <v>21</v>
      </c>
      <c r="G1566" s="4">
        <v>565029</v>
      </c>
      <c r="H1566" s="4">
        <v>92287</v>
      </c>
      <c r="I1566" s="4">
        <v>73208</v>
      </c>
      <c r="J1566" s="4">
        <v>4641</v>
      </c>
      <c r="K1566" s="4">
        <v>170</v>
      </c>
      <c r="L1566" s="4">
        <v>628</v>
      </c>
      <c r="M1566" s="4">
        <v>1002</v>
      </c>
      <c r="N1566" s="4">
        <v>2302</v>
      </c>
      <c r="O1566" s="5">
        <f t="shared" si="24"/>
        <v>8.7982187739044912E-2</v>
      </c>
      <c r="P1566" s="2" t="s">
        <v>22</v>
      </c>
    </row>
    <row r="1567" spans="1:16" x14ac:dyDescent="0.25">
      <c r="A1567" s="6" t="s">
        <v>3203</v>
      </c>
      <c r="B1567" s="6" t="s">
        <v>3204</v>
      </c>
      <c r="C1567" s="6" t="s">
        <v>18</v>
      </c>
      <c r="D1567" s="7" t="s">
        <v>226</v>
      </c>
      <c r="E1567" s="7" t="s">
        <v>20</v>
      </c>
      <c r="F1567" s="6" t="s">
        <v>21</v>
      </c>
      <c r="G1567" s="8">
        <v>296958</v>
      </c>
      <c r="H1567" s="8">
        <v>40776</v>
      </c>
      <c r="I1567" s="8">
        <v>29975</v>
      </c>
      <c r="J1567" s="8">
        <v>822</v>
      </c>
      <c r="K1567" s="8">
        <v>53</v>
      </c>
      <c r="L1567" s="8">
        <v>86</v>
      </c>
      <c r="M1567" s="8">
        <v>68</v>
      </c>
      <c r="N1567" s="8">
        <v>1177</v>
      </c>
      <c r="O1567" s="9">
        <f t="shared" si="24"/>
        <v>3.4328607172643869E-2</v>
      </c>
      <c r="P1567" s="6" t="s">
        <v>22</v>
      </c>
    </row>
    <row r="1568" spans="1:16" x14ac:dyDescent="0.25">
      <c r="A1568" s="2" t="s">
        <v>3205</v>
      </c>
      <c r="B1568" s="2" t="s">
        <v>3206</v>
      </c>
      <c r="C1568" s="2" t="s">
        <v>76</v>
      </c>
      <c r="D1568" s="3" t="s">
        <v>182</v>
      </c>
      <c r="E1568" s="3" t="s">
        <v>27</v>
      </c>
      <c r="F1568" s="2" t="s">
        <v>87</v>
      </c>
      <c r="G1568" s="4">
        <v>761317</v>
      </c>
      <c r="H1568" s="4">
        <v>239291</v>
      </c>
      <c r="I1568" s="4">
        <v>211782</v>
      </c>
      <c r="J1568" s="4">
        <v>8196</v>
      </c>
      <c r="K1568" s="4">
        <v>940</v>
      </c>
      <c r="L1568" s="4">
        <v>875</v>
      </c>
      <c r="M1568" s="4">
        <v>550</v>
      </c>
      <c r="N1568" s="4">
        <v>7933</v>
      </c>
      <c r="O1568" s="5">
        <f t="shared" si="24"/>
        <v>4.9867316391383594E-2</v>
      </c>
      <c r="P1568" s="2" t="s">
        <v>22</v>
      </c>
    </row>
    <row r="1569" spans="1:16" x14ac:dyDescent="0.25">
      <c r="A1569" s="6" t="s">
        <v>3207</v>
      </c>
      <c r="B1569" s="6" t="s">
        <v>3208</v>
      </c>
      <c r="C1569" s="6" t="s">
        <v>76</v>
      </c>
      <c r="D1569" s="7" t="s">
        <v>182</v>
      </c>
      <c r="E1569" s="7" t="s">
        <v>45</v>
      </c>
      <c r="F1569" s="6" t="s">
        <v>78</v>
      </c>
      <c r="G1569" s="8">
        <v>681994</v>
      </c>
      <c r="H1569" s="8">
        <v>241986</v>
      </c>
      <c r="I1569" s="8">
        <v>171665</v>
      </c>
      <c r="J1569" s="8">
        <v>9973</v>
      </c>
      <c r="K1569" s="8">
        <v>420</v>
      </c>
      <c r="L1569" s="8">
        <v>1105</v>
      </c>
      <c r="M1569" s="8">
        <v>697</v>
      </c>
      <c r="N1569" s="8">
        <v>1575</v>
      </c>
      <c r="O1569" s="9">
        <f t="shared" si="24"/>
        <v>7.1039524655579181E-2</v>
      </c>
      <c r="P1569" s="6" t="s">
        <v>22</v>
      </c>
    </row>
    <row r="1570" spans="1:16" x14ac:dyDescent="0.25">
      <c r="A1570" s="2" t="s">
        <v>3209</v>
      </c>
      <c r="B1570" s="2" t="s">
        <v>3210</v>
      </c>
      <c r="C1570" s="2" t="s">
        <v>25</v>
      </c>
      <c r="D1570" s="3" t="s">
        <v>244</v>
      </c>
      <c r="E1570" s="3" t="s">
        <v>27</v>
      </c>
      <c r="F1570" s="2" t="s">
        <v>28</v>
      </c>
      <c r="G1570" s="4">
        <v>835359</v>
      </c>
      <c r="H1570" s="4">
        <v>3712292</v>
      </c>
      <c r="I1570" s="4">
        <v>3282961</v>
      </c>
      <c r="J1570" s="4">
        <v>145664</v>
      </c>
      <c r="K1570" s="4">
        <v>8309</v>
      </c>
      <c r="L1570" s="4">
        <v>11600</v>
      </c>
      <c r="M1570" s="4">
        <v>22696</v>
      </c>
      <c r="N1570" s="4">
        <v>27574</v>
      </c>
      <c r="O1570" s="5">
        <f t="shared" si="24"/>
        <v>5.7347315426531112E-2</v>
      </c>
      <c r="P1570" s="2" t="s">
        <v>22</v>
      </c>
    </row>
    <row r="1571" spans="1:16" x14ac:dyDescent="0.25">
      <c r="A1571" s="6" t="s">
        <v>3211</v>
      </c>
      <c r="B1571" s="6" t="s">
        <v>3212</v>
      </c>
      <c r="C1571" s="6" t="s">
        <v>43</v>
      </c>
      <c r="D1571" s="7" t="s">
        <v>110</v>
      </c>
      <c r="E1571" s="7" t="s">
        <v>45</v>
      </c>
      <c r="F1571" s="6" t="s">
        <v>46</v>
      </c>
      <c r="G1571" s="8">
        <v>381882</v>
      </c>
      <c r="H1571" s="8">
        <v>109646</v>
      </c>
      <c r="I1571" s="8">
        <v>88152</v>
      </c>
      <c r="J1571" s="8">
        <v>6250</v>
      </c>
      <c r="K1571" s="8">
        <v>510</v>
      </c>
      <c r="L1571" s="8">
        <v>441</v>
      </c>
      <c r="M1571" s="8">
        <v>7</v>
      </c>
      <c r="N1571" s="8">
        <v>2521</v>
      </c>
      <c r="O1571" s="9">
        <f t="shared" si="24"/>
        <v>8.1767855522279692E-2</v>
      </c>
      <c r="P1571" s="6" t="s">
        <v>22</v>
      </c>
    </row>
    <row r="1572" spans="1:16" x14ac:dyDescent="0.25">
      <c r="A1572" s="2" t="s">
        <v>3213</v>
      </c>
      <c r="B1572" s="2" t="s">
        <v>3214</v>
      </c>
      <c r="C1572" s="2" t="s">
        <v>32</v>
      </c>
      <c r="D1572" s="3" t="s">
        <v>175</v>
      </c>
      <c r="E1572" s="3" t="s">
        <v>45</v>
      </c>
      <c r="F1572" s="2" t="s">
        <v>35</v>
      </c>
      <c r="G1572" s="4">
        <v>789019</v>
      </c>
      <c r="H1572" s="4">
        <v>254556</v>
      </c>
      <c r="I1572" s="4">
        <v>198035</v>
      </c>
      <c r="J1572" s="4">
        <v>6718</v>
      </c>
      <c r="K1572" s="4">
        <v>949</v>
      </c>
      <c r="L1572" s="4">
        <v>802</v>
      </c>
      <c r="M1572" s="4">
        <v>24</v>
      </c>
      <c r="N1572" s="4">
        <v>8326</v>
      </c>
      <c r="O1572" s="5">
        <f t="shared" si="24"/>
        <v>4.2886358471987275E-2</v>
      </c>
      <c r="P1572" s="2" t="s">
        <v>22</v>
      </c>
    </row>
    <row r="1573" spans="1:16" x14ac:dyDescent="0.25">
      <c r="A1573" s="6" t="s">
        <v>3215</v>
      </c>
      <c r="B1573" s="6" t="s">
        <v>3216</v>
      </c>
      <c r="C1573" s="6" t="s">
        <v>32</v>
      </c>
      <c r="D1573" s="7" t="s">
        <v>49</v>
      </c>
      <c r="E1573" s="7" t="s">
        <v>39</v>
      </c>
      <c r="F1573" s="6" t="s">
        <v>128</v>
      </c>
      <c r="G1573" s="8">
        <v>207598</v>
      </c>
      <c r="H1573" s="8">
        <v>117434</v>
      </c>
      <c r="I1573" s="8">
        <v>101514</v>
      </c>
      <c r="J1573" s="8">
        <v>8148</v>
      </c>
      <c r="K1573" s="8">
        <v>301</v>
      </c>
      <c r="L1573" s="8">
        <v>935</v>
      </c>
      <c r="M1573" s="8">
        <v>13</v>
      </c>
      <c r="N1573" s="8">
        <v>3008</v>
      </c>
      <c r="O1573" s="9">
        <f t="shared" si="24"/>
        <v>9.2568512717457696E-2</v>
      </c>
      <c r="P1573" s="6" t="s">
        <v>66</v>
      </c>
    </row>
    <row r="1574" spans="1:16" x14ac:dyDescent="0.25">
      <c r="A1574" s="2" t="s">
        <v>3217</v>
      </c>
      <c r="B1574" s="2" t="s">
        <v>3218</v>
      </c>
      <c r="C1574" s="2" t="s">
        <v>76</v>
      </c>
      <c r="D1574" s="3" t="s">
        <v>103</v>
      </c>
      <c r="E1574" s="3" t="s">
        <v>50</v>
      </c>
      <c r="F1574" s="2" t="s">
        <v>104</v>
      </c>
      <c r="G1574" s="4">
        <v>402283</v>
      </c>
      <c r="H1574" s="4">
        <v>129466</v>
      </c>
      <c r="I1574" s="4">
        <v>96847</v>
      </c>
      <c r="J1574" s="4">
        <v>4895</v>
      </c>
      <c r="K1574" s="4">
        <v>646</v>
      </c>
      <c r="L1574" s="4">
        <v>143</v>
      </c>
      <c r="M1574" s="4">
        <v>692</v>
      </c>
      <c r="N1574" s="4">
        <v>3673</v>
      </c>
      <c r="O1574" s="5">
        <f t="shared" si="24"/>
        <v>6.5835802864311746E-2</v>
      </c>
      <c r="P1574" s="2" t="s">
        <v>29</v>
      </c>
    </row>
    <row r="1575" spans="1:16" x14ac:dyDescent="0.25">
      <c r="A1575" s="6" t="s">
        <v>3219</v>
      </c>
      <c r="B1575" s="6" t="s">
        <v>3220</v>
      </c>
      <c r="C1575" s="6" t="s">
        <v>18</v>
      </c>
      <c r="D1575" s="7" t="s">
        <v>19</v>
      </c>
      <c r="E1575" s="7" t="s">
        <v>50</v>
      </c>
      <c r="F1575" s="6" t="s">
        <v>73</v>
      </c>
      <c r="G1575" s="8">
        <v>240279</v>
      </c>
      <c r="H1575" s="8">
        <v>73565</v>
      </c>
      <c r="I1575" s="8">
        <v>63425</v>
      </c>
      <c r="J1575" s="8">
        <v>2385</v>
      </c>
      <c r="K1575" s="8">
        <v>401</v>
      </c>
      <c r="L1575" s="8">
        <v>128</v>
      </c>
      <c r="M1575" s="8">
        <v>132</v>
      </c>
      <c r="N1575" s="8">
        <v>920</v>
      </c>
      <c r="O1575" s="9">
        <f t="shared" si="24"/>
        <v>4.8025226645644459E-2</v>
      </c>
      <c r="P1575" s="6" t="s">
        <v>22</v>
      </c>
    </row>
    <row r="1576" spans="1:16" x14ac:dyDescent="0.25">
      <c r="A1576" s="2" t="s">
        <v>3221</v>
      </c>
      <c r="B1576" s="2" t="s">
        <v>3222</v>
      </c>
      <c r="C1576" s="2" t="s">
        <v>43</v>
      </c>
      <c r="D1576" s="3" t="s">
        <v>69</v>
      </c>
      <c r="E1576" s="3" t="s">
        <v>34</v>
      </c>
      <c r="F1576" s="2" t="s">
        <v>70</v>
      </c>
      <c r="G1576" s="4">
        <v>398237</v>
      </c>
      <c r="H1576" s="4">
        <v>208781</v>
      </c>
      <c r="I1576" s="4">
        <v>146284</v>
      </c>
      <c r="J1576" s="4">
        <v>7661</v>
      </c>
      <c r="K1576" s="4">
        <v>482</v>
      </c>
      <c r="L1576" s="4">
        <v>833</v>
      </c>
      <c r="M1576" s="4">
        <v>41</v>
      </c>
      <c r="N1576" s="4">
        <v>2470</v>
      </c>
      <c r="O1576" s="5">
        <f t="shared" si="24"/>
        <v>6.1640370785595144E-2</v>
      </c>
      <c r="P1576" s="2" t="s">
        <v>29</v>
      </c>
    </row>
    <row r="1577" spans="1:16" x14ac:dyDescent="0.25">
      <c r="A1577" s="6" t="s">
        <v>3223</v>
      </c>
      <c r="B1577" s="6" t="s">
        <v>3224</v>
      </c>
      <c r="C1577" s="6" t="s">
        <v>43</v>
      </c>
      <c r="D1577" s="7" t="s">
        <v>44</v>
      </c>
      <c r="E1577" s="7" t="s">
        <v>45</v>
      </c>
      <c r="F1577" s="6" t="s">
        <v>70</v>
      </c>
      <c r="G1577" s="8">
        <v>819827</v>
      </c>
      <c r="H1577" s="8">
        <v>527201</v>
      </c>
      <c r="I1577" s="8">
        <v>382218</v>
      </c>
      <c r="J1577" s="8">
        <v>30910</v>
      </c>
      <c r="K1577" s="8">
        <v>3164</v>
      </c>
      <c r="L1577" s="8">
        <v>849</v>
      </c>
      <c r="M1577" s="8">
        <v>21</v>
      </c>
      <c r="N1577" s="8">
        <v>12098</v>
      </c>
      <c r="O1577" s="9">
        <f t="shared" si="24"/>
        <v>9.1424265733167989E-2</v>
      </c>
      <c r="P1577" s="6" t="s">
        <v>22</v>
      </c>
    </row>
    <row r="1578" spans="1:16" x14ac:dyDescent="0.25">
      <c r="A1578" s="2" t="s">
        <v>3225</v>
      </c>
      <c r="B1578" s="2" t="s">
        <v>3226</v>
      </c>
      <c r="C1578" s="2" t="s">
        <v>25</v>
      </c>
      <c r="D1578" s="3" t="s">
        <v>61</v>
      </c>
      <c r="E1578" s="3" t="s">
        <v>34</v>
      </c>
      <c r="F1578" s="2" t="s">
        <v>54</v>
      </c>
      <c r="G1578" s="4">
        <v>572103</v>
      </c>
      <c r="H1578" s="4">
        <v>87600</v>
      </c>
      <c r="I1578" s="4">
        <v>66730</v>
      </c>
      <c r="J1578" s="4">
        <v>2404</v>
      </c>
      <c r="K1578" s="4">
        <v>141</v>
      </c>
      <c r="L1578" s="4">
        <v>75</v>
      </c>
      <c r="M1578" s="4">
        <v>175</v>
      </c>
      <c r="N1578" s="4">
        <v>2268</v>
      </c>
      <c r="O1578" s="5">
        <f t="shared" si="24"/>
        <v>4.1885209051401168E-2</v>
      </c>
      <c r="P1578" s="2" t="s">
        <v>29</v>
      </c>
    </row>
    <row r="1579" spans="1:16" x14ac:dyDescent="0.25">
      <c r="A1579" s="6" t="s">
        <v>3227</v>
      </c>
      <c r="B1579" s="6" t="s">
        <v>3228</v>
      </c>
      <c r="C1579" s="6" t="s">
        <v>32</v>
      </c>
      <c r="D1579" s="7" t="s">
        <v>38</v>
      </c>
      <c r="E1579" s="7" t="s">
        <v>45</v>
      </c>
      <c r="F1579" s="6" t="s">
        <v>35</v>
      </c>
      <c r="G1579" s="8">
        <v>553862</v>
      </c>
      <c r="H1579" s="8">
        <v>293731</v>
      </c>
      <c r="I1579" s="8">
        <v>239255</v>
      </c>
      <c r="J1579" s="8">
        <v>10316</v>
      </c>
      <c r="K1579" s="8">
        <v>1201</v>
      </c>
      <c r="L1579" s="8">
        <v>1405</v>
      </c>
      <c r="M1579" s="8">
        <v>37</v>
      </c>
      <c r="N1579" s="8">
        <v>6881</v>
      </c>
      <c r="O1579" s="9">
        <f t="shared" si="24"/>
        <v>5.4163967315207624E-2</v>
      </c>
      <c r="P1579" s="6" t="s">
        <v>29</v>
      </c>
    </row>
    <row r="1580" spans="1:16" x14ac:dyDescent="0.25">
      <c r="A1580" s="2" t="s">
        <v>3229</v>
      </c>
      <c r="B1580" s="2" t="s">
        <v>3230</v>
      </c>
      <c r="C1580" s="2" t="s">
        <v>25</v>
      </c>
      <c r="D1580" s="3" t="s">
        <v>145</v>
      </c>
      <c r="E1580" s="3" t="s">
        <v>39</v>
      </c>
      <c r="F1580" s="2" t="s">
        <v>54</v>
      </c>
      <c r="G1580" s="4">
        <v>118240</v>
      </c>
      <c r="H1580" s="4">
        <v>66993</v>
      </c>
      <c r="I1580" s="4">
        <v>51843</v>
      </c>
      <c r="J1580" s="4">
        <v>3018</v>
      </c>
      <c r="K1580" s="4">
        <v>324</v>
      </c>
      <c r="L1580" s="4">
        <v>97</v>
      </c>
      <c r="M1580" s="4">
        <v>525</v>
      </c>
      <c r="N1580" s="4">
        <v>1667</v>
      </c>
      <c r="O1580" s="5">
        <f t="shared" si="24"/>
        <v>7.6461624520185942E-2</v>
      </c>
      <c r="P1580" s="2" t="s">
        <v>66</v>
      </c>
    </row>
    <row r="1581" spans="1:16" x14ac:dyDescent="0.25">
      <c r="A1581" s="6" t="s">
        <v>3231</v>
      </c>
      <c r="B1581" s="6" t="s">
        <v>3232</v>
      </c>
      <c r="C1581" s="6" t="s">
        <v>32</v>
      </c>
      <c r="D1581" s="7" t="s">
        <v>49</v>
      </c>
      <c r="E1581" s="7" t="s">
        <v>45</v>
      </c>
      <c r="F1581" s="6" t="s">
        <v>40</v>
      </c>
      <c r="G1581" s="8">
        <v>428622</v>
      </c>
      <c r="H1581" s="8">
        <v>57429</v>
      </c>
      <c r="I1581" s="8">
        <v>42728</v>
      </c>
      <c r="J1581" s="8">
        <v>1472</v>
      </c>
      <c r="K1581" s="8">
        <v>175</v>
      </c>
      <c r="L1581" s="8">
        <v>217</v>
      </c>
      <c r="M1581" s="8">
        <v>23</v>
      </c>
      <c r="N1581" s="8">
        <v>1721</v>
      </c>
      <c r="O1581" s="9">
        <f t="shared" si="24"/>
        <v>4.4163078075266801E-2</v>
      </c>
      <c r="P1581" s="6" t="s">
        <v>22</v>
      </c>
    </row>
    <row r="1582" spans="1:16" x14ac:dyDescent="0.25">
      <c r="A1582" s="2" t="s">
        <v>3233</v>
      </c>
      <c r="B1582" s="2" t="s">
        <v>3234</v>
      </c>
      <c r="C1582" s="2" t="s">
        <v>32</v>
      </c>
      <c r="D1582" s="3" t="s">
        <v>175</v>
      </c>
      <c r="E1582" s="3" t="s">
        <v>39</v>
      </c>
      <c r="F1582" s="2" t="s">
        <v>40</v>
      </c>
      <c r="G1582" s="4">
        <v>640875</v>
      </c>
      <c r="H1582" s="4">
        <v>229537</v>
      </c>
      <c r="I1582" s="4">
        <v>186284</v>
      </c>
      <c r="J1582" s="4">
        <v>5812</v>
      </c>
      <c r="K1582" s="4">
        <v>905</v>
      </c>
      <c r="L1582" s="4">
        <v>275</v>
      </c>
      <c r="M1582" s="4">
        <v>44</v>
      </c>
      <c r="N1582" s="4">
        <v>6040</v>
      </c>
      <c r="O1582" s="5">
        <f t="shared" si="24"/>
        <v>3.7770286229627879E-2</v>
      </c>
      <c r="P1582" s="2" t="s">
        <v>29</v>
      </c>
    </row>
    <row r="1583" spans="1:16" x14ac:dyDescent="0.25">
      <c r="A1583" s="6" t="s">
        <v>3235</v>
      </c>
      <c r="B1583" s="6" t="s">
        <v>3236</v>
      </c>
      <c r="C1583" s="6" t="s">
        <v>43</v>
      </c>
      <c r="D1583" s="7" t="s">
        <v>44</v>
      </c>
      <c r="E1583" s="7" t="s">
        <v>45</v>
      </c>
      <c r="F1583" s="6" t="s">
        <v>70</v>
      </c>
      <c r="G1583" s="8">
        <v>121857</v>
      </c>
      <c r="H1583" s="8">
        <v>54410</v>
      </c>
      <c r="I1583" s="8">
        <v>44067</v>
      </c>
      <c r="J1583" s="8">
        <v>2478</v>
      </c>
      <c r="K1583" s="8">
        <v>257</v>
      </c>
      <c r="L1583" s="8">
        <v>110</v>
      </c>
      <c r="M1583" s="8">
        <v>43</v>
      </c>
      <c r="N1583" s="8">
        <v>1407</v>
      </c>
      <c r="O1583" s="9">
        <f t="shared" si="24"/>
        <v>6.553656931490684E-2</v>
      </c>
      <c r="P1583" s="6" t="s">
        <v>22</v>
      </c>
    </row>
    <row r="1584" spans="1:16" x14ac:dyDescent="0.25">
      <c r="A1584" s="2" t="s">
        <v>3237</v>
      </c>
      <c r="B1584" s="2" t="s">
        <v>3238</v>
      </c>
      <c r="C1584" s="2" t="s">
        <v>76</v>
      </c>
      <c r="D1584" s="3" t="s">
        <v>86</v>
      </c>
      <c r="E1584" s="3" t="s">
        <v>34</v>
      </c>
      <c r="F1584" s="2" t="s">
        <v>104</v>
      </c>
      <c r="G1584" s="4">
        <v>646242</v>
      </c>
      <c r="H1584" s="4">
        <v>173044</v>
      </c>
      <c r="I1584" s="4">
        <v>122525</v>
      </c>
      <c r="J1584" s="4">
        <v>12264</v>
      </c>
      <c r="K1584" s="4">
        <v>939</v>
      </c>
      <c r="L1584" s="4">
        <v>1205</v>
      </c>
      <c r="M1584" s="4">
        <v>751</v>
      </c>
      <c r="N1584" s="4">
        <v>3337</v>
      </c>
      <c r="O1584" s="5">
        <f t="shared" si="24"/>
        <v>0.12372168945113242</v>
      </c>
      <c r="P1584" s="2" t="s">
        <v>22</v>
      </c>
    </row>
    <row r="1585" spans="1:16" x14ac:dyDescent="0.25">
      <c r="A1585" s="6" t="s">
        <v>3239</v>
      </c>
      <c r="B1585" s="6" t="s">
        <v>3240</v>
      </c>
      <c r="C1585" s="6" t="s">
        <v>43</v>
      </c>
      <c r="D1585" s="7" t="s">
        <v>110</v>
      </c>
      <c r="E1585" s="7" t="s">
        <v>27</v>
      </c>
      <c r="F1585" s="6" t="s">
        <v>70</v>
      </c>
      <c r="G1585" s="8">
        <v>360847</v>
      </c>
      <c r="H1585" s="8">
        <v>214764</v>
      </c>
      <c r="I1585" s="8">
        <v>191326</v>
      </c>
      <c r="J1585" s="8">
        <v>13058</v>
      </c>
      <c r="K1585" s="8">
        <v>2188</v>
      </c>
      <c r="L1585" s="8">
        <v>1191</v>
      </c>
      <c r="M1585" s="8">
        <v>7</v>
      </c>
      <c r="N1585" s="8">
        <v>2060</v>
      </c>
      <c r="O1585" s="9">
        <f t="shared" si="24"/>
        <v>8.5947545027858216E-2</v>
      </c>
      <c r="P1585" s="6" t="s">
        <v>29</v>
      </c>
    </row>
    <row r="1586" spans="1:16" x14ac:dyDescent="0.25">
      <c r="A1586" s="2" t="s">
        <v>3241</v>
      </c>
      <c r="B1586" s="2" t="s">
        <v>3242</v>
      </c>
      <c r="C1586" s="2" t="s">
        <v>25</v>
      </c>
      <c r="D1586" s="3" t="s">
        <v>64</v>
      </c>
      <c r="E1586" s="3" t="s">
        <v>50</v>
      </c>
      <c r="F1586" s="2" t="s">
        <v>28</v>
      </c>
      <c r="G1586" s="4">
        <v>113482</v>
      </c>
      <c r="H1586" s="4">
        <v>26694</v>
      </c>
      <c r="I1586" s="4">
        <v>22799</v>
      </c>
      <c r="J1586" s="4">
        <v>828</v>
      </c>
      <c r="K1586" s="4">
        <v>94</v>
      </c>
      <c r="L1586" s="4">
        <v>111</v>
      </c>
      <c r="M1586" s="4">
        <v>145</v>
      </c>
      <c r="N1586" s="4">
        <v>808</v>
      </c>
      <c r="O1586" s="5">
        <f t="shared" si="24"/>
        <v>5.1668932847931927E-2</v>
      </c>
      <c r="P1586" s="2" t="s">
        <v>66</v>
      </c>
    </row>
    <row r="1587" spans="1:16" x14ac:dyDescent="0.25">
      <c r="A1587" s="6" t="s">
        <v>3243</v>
      </c>
      <c r="B1587" s="6" t="s">
        <v>3244</v>
      </c>
      <c r="C1587" s="6" t="s">
        <v>32</v>
      </c>
      <c r="D1587" s="7" t="s">
        <v>49</v>
      </c>
      <c r="E1587" s="7" t="s">
        <v>34</v>
      </c>
      <c r="F1587" s="6" t="s">
        <v>51</v>
      </c>
      <c r="G1587" s="8">
        <v>743495</v>
      </c>
      <c r="H1587" s="8">
        <v>403216</v>
      </c>
      <c r="I1587" s="8">
        <v>344010</v>
      </c>
      <c r="J1587" s="8">
        <v>17624</v>
      </c>
      <c r="K1587" s="8">
        <v>2039</v>
      </c>
      <c r="L1587" s="8">
        <v>950</v>
      </c>
      <c r="M1587" s="8">
        <v>16</v>
      </c>
      <c r="N1587" s="8">
        <v>3197</v>
      </c>
      <c r="O1587" s="9">
        <f t="shared" si="24"/>
        <v>5.9966280049998544E-2</v>
      </c>
      <c r="P1587" s="6" t="s">
        <v>22</v>
      </c>
    </row>
    <row r="1588" spans="1:16" x14ac:dyDescent="0.25">
      <c r="A1588" s="2" t="s">
        <v>3245</v>
      </c>
      <c r="B1588" s="2" t="s">
        <v>3246</v>
      </c>
      <c r="C1588" s="2" t="s">
        <v>25</v>
      </c>
      <c r="D1588" s="3" t="s">
        <v>145</v>
      </c>
      <c r="E1588" s="3" t="s">
        <v>50</v>
      </c>
      <c r="F1588" s="2" t="s">
        <v>65</v>
      </c>
      <c r="G1588" s="4">
        <v>230699</v>
      </c>
      <c r="H1588" s="4">
        <v>97763</v>
      </c>
      <c r="I1588" s="4">
        <v>87678</v>
      </c>
      <c r="J1588" s="4">
        <v>6653</v>
      </c>
      <c r="K1588" s="4">
        <v>796</v>
      </c>
      <c r="L1588" s="4">
        <v>583</v>
      </c>
      <c r="M1588" s="4">
        <v>1313</v>
      </c>
      <c r="N1588" s="4">
        <v>2762</v>
      </c>
      <c r="O1588" s="5">
        <f t="shared" si="24"/>
        <v>0.10658317936084309</v>
      </c>
      <c r="P1588" s="2" t="s">
        <v>29</v>
      </c>
    </row>
    <row r="1589" spans="1:16" x14ac:dyDescent="0.25">
      <c r="A1589" s="6" t="s">
        <v>3247</v>
      </c>
      <c r="B1589" s="6" t="s">
        <v>3248</v>
      </c>
      <c r="C1589" s="6" t="s">
        <v>18</v>
      </c>
      <c r="D1589" s="7" t="s">
        <v>231</v>
      </c>
      <c r="E1589" s="7" t="s">
        <v>27</v>
      </c>
      <c r="F1589" s="6" t="s">
        <v>73</v>
      </c>
      <c r="G1589" s="8">
        <v>489892</v>
      </c>
      <c r="H1589" s="8">
        <v>116698</v>
      </c>
      <c r="I1589" s="8">
        <v>82512</v>
      </c>
      <c r="J1589" s="8">
        <v>9232</v>
      </c>
      <c r="K1589" s="8">
        <v>1123</v>
      </c>
      <c r="L1589" s="8">
        <v>1224</v>
      </c>
      <c r="M1589" s="8">
        <v>1758</v>
      </c>
      <c r="N1589" s="8">
        <v>2197</v>
      </c>
      <c r="O1589" s="9">
        <f t="shared" si="24"/>
        <v>0.16163709521039363</v>
      </c>
      <c r="P1589" s="6" t="s">
        <v>29</v>
      </c>
    </row>
    <row r="1590" spans="1:16" x14ac:dyDescent="0.25">
      <c r="A1590" s="2" t="s">
        <v>3249</v>
      </c>
      <c r="B1590" s="2" t="s">
        <v>3250</v>
      </c>
      <c r="C1590" s="2" t="s">
        <v>76</v>
      </c>
      <c r="D1590" s="3" t="s">
        <v>182</v>
      </c>
      <c r="E1590" s="3" t="s">
        <v>39</v>
      </c>
      <c r="F1590" s="2" t="s">
        <v>87</v>
      </c>
      <c r="G1590" s="4">
        <v>72274</v>
      </c>
      <c r="H1590" s="4">
        <v>14671</v>
      </c>
      <c r="I1590" s="4">
        <v>11788</v>
      </c>
      <c r="J1590" s="4">
        <v>1115</v>
      </c>
      <c r="K1590" s="4">
        <v>109</v>
      </c>
      <c r="L1590" s="4">
        <v>91</v>
      </c>
      <c r="M1590" s="4">
        <v>86</v>
      </c>
      <c r="N1590" s="4">
        <v>284</v>
      </c>
      <c r="O1590" s="5">
        <f t="shared" si="24"/>
        <v>0.11884967763827621</v>
      </c>
      <c r="P1590" s="2" t="s">
        <v>22</v>
      </c>
    </row>
    <row r="1591" spans="1:16" x14ac:dyDescent="0.25">
      <c r="A1591" s="6" t="s">
        <v>3251</v>
      </c>
      <c r="B1591" s="6" t="s">
        <v>3252</v>
      </c>
      <c r="C1591" s="6" t="s">
        <v>25</v>
      </c>
      <c r="D1591" s="7" t="s">
        <v>244</v>
      </c>
      <c r="E1591" s="7" t="s">
        <v>20</v>
      </c>
      <c r="F1591" s="6" t="s">
        <v>146</v>
      </c>
      <c r="G1591" s="8">
        <v>680235</v>
      </c>
      <c r="H1591" s="8">
        <v>384374</v>
      </c>
      <c r="I1591" s="8">
        <v>277015</v>
      </c>
      <c r="J1591" s="8">
        <v>21910</v>
      </c>
      <c r="K1591" s="8">
        <v>3547</v>
      </c>
      <c r="L1591" s="8">
        <v>2829</v>
      </c>
      <c r="M1591" s="8">
        <v>2101</v>
      </c>
      <c r="N1591" s="8">
        <v>11254</v>
      </c>
      <c r="O1591" s="9">
        <f t="shared" si="24"/>
        <v>0.10969442087973576</v>
      </c>
      <c r="P1591" s="6" t="s">
        <v>22</v>
      </c>
    </row>
    <row r="1592" spans="1:16" x14ac:dyDescent="0.25">
      <c r="A1592" s="2" t="s">
        <v>3253</v>
      </c>
      <c r="B1592" s="2" t="s">
        <v>3254</v>
      </c>
      <c r="C1592" s="2" t="s">
        <v>32</v>
      </c>
      <c r="D1592" s="3" t="s">
        <v>38</v>
      </c>
      <c r="E1592" s="3" t="s">
        <v>50</v>
      </c>
      <c r="F1592" s="2" t="s">
        <v>128</v>
      </c>
      <c r="G1592" s="4">
        <v>101217</v>
      </c>
      <c r="H1592" s="4">
        <v>13859</v>
      </c>
      <c r="I1592" s="4">
        <v>10646</v>
      </c>
      <c r="J1592" s="4">
        <v>500</v>
      </c>
      <c r="K1592" s="4">
        <v>37</v>
      </c>
      <c r="L1592" s="4">
        <v>73</v>
      </c>
      <c r="M1592" s="4">
        <v>17</v>
      </c>
      <c r="N1592" s="4">
        <v>133</v>
      </c>
      <c r="O1592" s="5">
        <f t="shared" si="24"/>
        <v>5.8895359759534097E-2</v>
      </c>
      <c r="P1592" s="2" t="s">
        <v>66</v>
      </c>
    </row>
    <row r="1593" spans="1:16" x14ac:dyDescent="0.25">
      <c r="A1593" s="6" t="s">
        <v>3255</v>
      </c>
      <c r="B1593" s="6" t="s">
        <v>3256</v>
      </c>
      <c r="C1593" s="6" t="s">
        <v>25</v>
      </c>
      <c r="D1593" s="7" t="s">
        <v>244</v>
      </c>
      <c r="E1593" s="7" t="s">
        <v>34</v>
      </c>
      <c r="F1593" s="6" t="s">
        <v>28</v>
      </c>
      <c r="G1593" s="8">
        <v>463053</v>
      </c>
      <c r="H1593" s="8">
        <v>222211</v>
      </c>
      <c r="I1593" s="8">
        <v>161317</v>
      </c>
      <c r="J1593" s="8">
        <v>14254</v>
      </c>
      <c r="K1593" s="8">
        <v>1338</v>
      </c>
      <c r="L1593" s="8">
        <v>405</v>
      </c>
      <c r="M1593" s="8">
        <v>1671</v>
      </c>
      <c r="N1593" s="8">
        <v>7708</v>
      </c>
      <c r="O1593" s="9">
        <f t="shared" si="24"/>
        <v>0.1095234848156115</v>
      </c>
      <c r="P1593" s="6" t="s">
        <v>22</v>
      </c>
    </row>
    <row r="1594" spans="1:16" x14ac:dyDescent="0.25">
      <c r="A1594" s="2" t="s">
        <v>3257</v>
      </c>
      <c r="B1594" s="2" t="s">
        <v>3258</v>
      </c>
      <c r="C1594" s="2" t="s">
        <v>18</v>
      </c>
      <c r="D1594" s="3" t="s">
        <v>57</v>
      </c>
      <c r="E1594" s="3" t="s">
        <v>50</v>
      </c>
      <c r="F1594" s="2" t="s">
        <v>21</v>
      </c>
      <c r="G1594" s="4">
        <v>653662</v>
      </c>
      <c r="H1594" s="4">
        <v>315593</v>
      </c>
      <c r="I1594" s="4">
        <v>253370</v>
      </c>
      <c r="J1594" s="4">
        <v>12369</v>
      </c>
      <c r="K1594" s="4">
        <v>1912</v>
      </c>
      <c r="L1594" s="4">
        <v>463</v>
      </c>
      <c r="M1594" s="4">
        <v>2693</v>
      </c>
      <c r="N1594" s="4">
        <v>10952</v>
      </c>
      <c r="O1594" s="5">
        <f t="shared" si="24"/>
        <v>6.8820302324663532E-2</v>
      </c>
      <c r="P1594" s="2" t="s">
        <v>29</v>
      </c>
    </row>
    <row r="1595" spans="1:16" x14ac:dyDescent="0.25">
      <c r="A1595" s="6" t="s">
        <v>3259</v>
      </c>
      <c r="B1595" s="6" t="s">
        <v>3260</v>
      </c>
      <c r="C1595" s="6" t="s">
        <v>25</v>
      </c>
      <c r="D1595" s="7" t="s">
        <v>26</v>
      </c>
      <c r="E1595" s="7" t="s">
        <v>34</v>
      </c>
      <c r="F1595" s="6" t="s">
        <v>54</v>
      </c>
      <c r="G1595" s="8">
        <v>30980</v>
      </c>
      <c r="H1595" s="8">
        <v>8099</v>
      </c>
      <c r="I1595" s="8">
        <v>6767</v>
      </c>
      <c r="J1595" s="8">
        <v>250</v>
      </c>
      <c r="K1595" s="8">
        <v>29</v>
      </c>
      <c r="L1595" s="8">
        <v>37</v>
      </c>
      <c r="M1595" s="8">
        <v>14</v>
      </c>
      <c r="N1595" s="8">
        <v>272</v>
      </c>
      <c r="O1595" s="9">
        <f t="shared" si="24"/>
        <v>4.8766070636914439E-2</v>
      </c>
      <c r="P1595" s="6" t="s">
        <v>22</v>
      </c>
    </row>
    <row r="1596" spans="1:16" x14ac:dyDescent="0.25">
      <c r="A1596" s="2" t="s">
        <v>3261</v>
      </c>
      <c r="B1596" s="2" t="s">
        <v>3262</v>
      </c>
      <c r="C1596" s="2" t="s">
        <v>43</v>
      </c>
      <c r="D1596" s="3" t="s">
        <v>69</v>
      </c>
      <c r="E1596" s="3" t="s">
        <v>27</v>
      </c>
      <c r="F1596" s="2" t="s">
        <v>70</v>
      </c>
      <c r="G1596" s="4">
        <v>815531</v>
      </c>
      <c r="H1596" s="4">
        <v>226534</v>
      </c>
      <c r="I1596" s="4">
        <v>185349</v>
      </c>
      <c r="J1596" s="4">
        <v>5798</v>
      </c>
      <c r="K1596" s="4">
        <v>391</v>
      </c>
      <c r="L1596" s="4">
        <v>745</v>
      </c>
      <c r="M1596" s="4">
        <v>40</v>
      </c>
      <c r="N1596" s="4">
        <v>6723</v>
      </c>
      <c r="O1596" s="5">
        <f t="shared" si="24"/>
        <v>3.762631576107775E-2</v>
      </c>
      <c r="P1596" s="2" t="s">
        <v>29</v>
      </c>
    </row>
    <row r="1597" spans="1:16" x14ac:dyDescent="0.25">
      <c r="A1597" s="6" t="s">
        <v>3263</v>
      </c>
      <c r="B1597" s="6" t="s">
        <v>3264</v>
      </c>
      <c r="C1597" s="6" t="s">
        <v>43</v>
      </c>
      <c r="D1597" s="7" t="s">
        <v>44</v>
      </c>
      <c r="E1597" s="7" t="s">
        <v>50</v>
      </c>
      <c r="F1597" s="6" t="s">
        <v>70</v>
      </c>
      <c r="G1597" s="8">
        <v>296565</v>
      </c>
      <c r="H1597" s="8">
        <v>168875</v>
      </c>
      <c r="I1597" s="8">
        <v>118294</v>
      </c>
      <c r="J1597" s="8">
        <v>7680</v>
      </c>
      <c r="K1597" s="8">
        <v>435</v>
      </c>
      <c r="L1597" s="8">
        <v>897</v>
      </c>
      <c r="M1597" s="8">
        <v>17</v>
      </c>
      <c r="N1597" s="8">
        <v>2922</v>
      </c>
      <c r="O1597" s="9">
        <f t="shared" si="24"/>
        <v>7.6326779042047779E-2</v>
      </c>
      <c r="P1597" s="6" t="s">
        <v>22</v>
      </c>
    </row>
    <row r="1598" spans="1:16" x14ac:dyDescent="0.25">
      <c r="A1598" s="2" t="s">
        <v>3265</v>
      </c>
      <c r="B1598" s="2" t="s">
        <v>3266</v>
      </c>
      <c r="C1598" s="2" t="s">
        <v>43</v>
      </c>
      <c r="D1598" s="3" t="s">
        <v>44</v>
      </c>
      <c r="E1598" s="3" t="s">
        <v>20</v>
      </c>
      <c r="F1598" s="2" t="s">
        <v>46</v>
      </c>
      <c r="G1598" s="4">
        <v>221324</v>
      </c>
      <c r="H1598" s="4">
        <v>30640</v>
      </c>
      <c r="I1598" s="4">
        <v>24999</v>
      </c>
      <c r="J1598" s="4">
        <v>1414</v>
      </c>
      <c r="K1598" s="4">
        <v>172</v>
      </c>
      <c r="L1598" s="4">
        <v>162</v>
      </c>
      <c r="M1598" s="4">
        <v>32</v>
      </c>
      <c r="N1598" s="4">
        <v>552</v>
      </c>
      <c r="O1598" s="5">
        <f t="shared" si="24"/>
        <v>7.1202848113924563E-2</v>
      </c>
      <c r="P1598" s="2" t="s">
        <v>29</v>
      </c>
    </row>
    <row r="1599" spans="1:16" x14ac:dyDescent="0.25">
      <c r="A1599" s="6" t="s">
        <v>3267</v>
      </c>
      <c r="B1599" s="6" t="s">
        <v>3268</v>
      </c>
      <c r="C1599" s="6" t="s">
        <v>25</v>
      </c>
      <c r="D1599" s="7" t="s">
        <v>61</v>
      </c>
      <c r="E1599" s="7" t="s">
        <v>20</v>
      </c>
      <c r="F1599" s="6" t="s">
        <v>65</v>
      </c>
      <c r="G1599" s="8">
        <v>652850</v>
      </c>
      <c r="H1599" s="8">
        <v>258565</v>
      </c>
      <c r="I1599" s="8">
        <v>182180</v>
      </c>
      <c r="J1599" s="8">
        <v>9344</v>
      </c>
      <c r="K1599" s="8">
        <v>756</v>
      </c>
      <c r="L1599" s="8">
        <v>1198</v>
      </c>
      <c r="M1599" s="8">
        <v>1546</v>
      </c>
      <c r="N1599" s="8">
        <v>3987</v>
      </c>
      <c r="O1599" s="9">
        <f t="shared" si="24"/>
        <v>7.0501701613788562E-2</v>
      </c>
      <c r="P1599" s="6" t="s">
        <v>66</v>
      </c>
    </row>
    <row r="1600" spans="1:16" x14ac:dyDescent="0.25">
      <c r="A1600" s="2" t="s">
        <v>3269</v>
      </c>
      <c r="B1600" s="2" t="s">
        <v>3270</v>
      </c>
      <c r="C1600" s="2" t="s">
        <v>43</v>
      </c>
      <c r="D1600" s="3" t="s">
        <v>172</v>
      </c>
      <c r="E1600" s="3" t="s">
        <v>50</v>
      </c>
      <c r="F1600" s="2" t="s">
        <v>107</v>
      </c>
      <c r="G1600" s="4">
        <v>287691</v>
      </c>
      <c r="H1600" s="4">
        <v>174071</v>
      </c>
      <c r="I1600" s="4">
        <v>154999</v>
      </c>
      <c r="J1600" s="4">
        <v>6079</v>
      </c>
      <c r="K1600" s="4">
        <v>571</v>
      </c>
      <c r="L1600" s="4">
        <v>836</v>
      </c>
      <c r="M1600" s="4">
        <v>27</v>
      </c>
      <c r="N1600" s="4">
        <v>2350</v>
      </c>
      <c r="O1600" s="5">
        <f t="shared" si="24"/>
        <v>4.8471280459873936E-2</v>
      </c>
      <c r="P1600" s="2" t="s">
        <v>22</v>
      </c>
    </row>
    <row r="1601" spans="1:16" x14ac:dyDescent="0.25">
      <c r="A1601" s="6" t="s">
        <v>3271</v>
      </c>
      <c r="B1601" s="6" t="s">
        <v>3272</v>
      </c>
      <c r="C1601" s="6" t="s">
        <v>32</v>
      </c>
      <c r="D1601" s="7" t="s">
        <v>121</v>
      </c>
      <c r="E1601" s="7" t="s">
        <v>50</v>
      </c>
      <c r="F1601" s="6" t="s">
        <v>128</v>
      </c>
      <c r="G1601" s="8">
        <v>273676</v>
      </c>
      <c r="H1601" s="8">
        <v>147090</v>
      </c>
      <c r="I1601" s="8">
        <v>109480</v>
      </c>
      <c r="J1601" s="8">
        <v>3273</v>
      </c>
      <c r="K1601" s="8">
        <v>388</v>
      </c>
      <c r="L1601" s="8">
        <v>315</v>
      </c>
      <c r="M1601" s="8">
        <v>17</v>
      </c>
      <c r="N1601" s="8">
        <v>1337</v>
      </c>
      <c r="O1601" s="9">
        <f t="shared" si="24"/>
        <v>3.6472415052977714E-2</v>
      </c>
      <c r="P1601" s="6" t="s">
        <v>22</v>
      </c>
    </row>
    <row r="1602" spans="1:16" x14ac:dyDescent="0.25">
      <c r="A1602" s="2" t="s">
        <v>3273</v>
      </c>
      <c r="B1602" s="2" t="s">
        <v>3274</v>
      </c>
      <c r="C1602" s="2" t="s">
        <v>18</v>
      </c>
      <c r="D1602" s="3" t="s">
        <v>92</v>
      </c>
      <c r="E1602" s="3" t="s">
        <v>45</v>
      </c>
      <c r="F1602" s="2" t="s">
        <v>58</v>
      </c>
      <c r="G1602" s="4">
        <v>701860</v>
      </c>
      <c r="H1602" s="4">
        <v>441355</v>
      </c>
      <c r="I1602" s="4">
        <v>352640</v>
      </c>
      <c r="J1602" s="4">
        <v>23097</v>
      </c>
      <c r="K1602" s="4">
        <v>2700</v>
      </c>
      <c r="L1602" s="4">
        <v>1834</v>
      </c>
      <c r="M1602" s="4">
        <v>3042</v>
      </c>
      <c r="N1602" s="4">
        <v>3616</v>
      </c>
      <c r="O1602" s="5">
        <f t="shared" ref="O1602:O1665" si="25">IF(I1602&gt;0, (J1602+K1602+L1602+M1602)/I1602, 0)</f>
        <v>8.6981057168784029E-2</v>
      </c>
      <c r="P1602" s="2" t="s">
        <v>29</v>
      </c>
    </row>
    <row r="1603" spans="1:16" x14ac:dyDescent="0.25">
      <c r="A1603" s="6" t="s">
        <v>3275</v>
      </c>
      <c r="B1603" s="6" t="s">
        <v>3276</v>
      </c>
      <c r="C1603" s="6" t="s">
        <v>32</v>
      </c>
      <c r="D1603" s="7" t="s">
        <v>33</v>
      </c>
      <c r="E1603" s="7" t="s">
        <v>34</v>
      </c>
      <c r="F1603" s="6" t="s">
        <v>128</v>
      </c>
      <c r="G1603" s="8">
        <v>276033</v>
      </c>
      <c r="H1603" s="8">
        <v>164975</v>
      </c>
      <c r="I1603" s="8">
        <v>116437</v>
      </c>
      <c r="J1603" s="8">
        <v>10809</v>
      </c>
      <c r="K1603" s="8">
        <v>1618</v>
      </c>
      <c r="L1603" s="8">
        <v>582</v>
      </c>
      <c r="M1603" s="8">
        <v>45</v>
      </c>
      <c r="N1603" s="8">
        <v>5439</v>
      </c>
      <c r="O1603" s="9">
        <f t="shared" si="25"/>
        <v>0.11211212930597662</v>
      </c>
      <c r="P1603" s="6" t="s">
        <v>22</v>
      </c>
    </row>
    <row r="1604" spans="1:16" x14ac:dyDescent="0.25">
      <c r="A1604" s="2" t="s">
        <v>3277</v>
      </c>
      <c r="B1604" s="2" t="s">
        <v>3278</v>
      </c>
      <c r="C1604" s="2" t="s">
        <v>18</v>
      </c>
      <c r="D1604" s="3" t="s">
        <v>57</v>
      </c>
      <c r="E1604" s="3" t="s">
        <v>39</v>
      </c>
      <c r="F1604" s="2" t="s">
        <v>73</v>
      </c>
      <c r="G1604" s="4">
        <v>344118</v>
      </c>
      <c r="H1604" s="4">
        <v>1040674</v>
      </c>
      <c r="I1604" s="4">
        <v>895139</v>
      </c>
      <c r="J1604" s="4">
        <v>47186</v>
      </c>
      <c r="K1604" s="4">
        <v>1557</v>
      </c>
      <c r="L1604" s="4">
        <v>1532</v>
      </c>
      <c r="M1604" s="4">
        <v>6996</v>
      </c>
      <c r="N1604" s="4">
        <v>14336</v>
      </c>
      <c r="O1604" s="5">
        <f t="shared" si="25"/>
        <v>6.3980007574242659E-2</v>
      </c>
      <c r="P1604" s="2" t="s">
        <v>22</v>
      </c>
    </row>
    <row r="1605" spans="1:16" x14ac:dyDescent="0.25">
      <c r="A1605" s="6" t="s">
        <v>3279</v>
      </c>
      <c r="B1605" s="6" t="s">
        <v>3280</v>
      </c>
      <c r="C1605" s="6" t="s">
        <v>18</v>
      </c>
      <c r="D1605" s="7" t="s">
        <v>19</v>
      </c>
      <c r="E1605" s="7" t="s">
        <v>50</v>
      </c>
      <c r="F1605" s="6" t="s">
        <v>73</v>
      </c>
      <c r="G1605" s="8">
        <v>673233</v>
      </c>
      <c r="H1605" s="8">
        <v>274696</v>
      </c>
      <c r="I1605" s="8">
        <v>193414</v>
      </c>
      <c r="J1605" s="8">
        <v>21586</v>
      </c>
      <c r="K1605" s="8">
        <v>3647</v>
      </c>
      <c r="L1605" s="8">
        <v>1341</v>
      </c>
      <c r="M1605" s="8">
        <v>5005</v>
      </c>
      <c r="N1605" s="8">
        <v>6694</v>
      </c>
      <c r="O1605" s="9">
        <f t="shared" si="25"/>
        <v>0.16327153153339469</v>
      </c>
      <c r="P1605" s="6" t="s">
        <v>29</v>
      </c>
    </row>
    <row r="1606" spans="1:16" x14ac:dyDescent="0.25">
      <c r="A1606" s="2" t="s">
        <v>3281</v>
      </c>
      <c r="B1606" s="2" t="s">
        <v>3282</v>
      </c>
      <c r="C1606" s="2" t="s">
        <v>25</v>
      </c>
      <c r="D1606" s="3" t="s">
        <v>26</v>
      </c>
      <c r="E1606" s="3" t="s">
        <v>50</v>
      </c>
      <c r="F1606" s="2" t="s">
        <v>28</v>
      </c>
      <c r="G1606" s="4">
        <v>50274</v>
      </c>
      <c r="H1606" s="4">
        <v>24423</v>
      </c>
      <c r="I1606" s="4">
        <v>21938</v>
      </c>
      <c r="J1606" s="4">
        <v>1654</v>
      </c>
      <c r="K1606" s="4">
        <v>157</v>
      </c>
      <c r="L1606" s="4">
        <v>134</v>
      </c>
      <c r="M1606" s="4">
        <v>315</v>
      </c>
      <c r="N1606" s="4">
        <v>552</v>
      </c>
      <c r="O1606" s="5">
        <f t="shared" si="25"/>
        <v>0.10301759504056887</v>
      </c>
      <c r="P1606" s="2" t="s">
        <v>66</v>
      </c>
    </row>
    <row r="1607" spans="1:16" x14ac:dyDescent="0.25">
      <c r="A1607" s="6" t="s">
        <v>3283</v>
      </c>
      <c r="B1607" s="6" t="s">
        <v>3284</v>
      </c>
      <c r="C1607" s="6" t="s">
        <v>76</v>
      </c>
      <c r="D1607" s="7" t="s">
        <v>86</v>
      </c>
      <c r="E1607" s="7" t="s">
        <v>50</v>
      </c>
      <c r="F1607" s="6" t="s">
        <v>87</v>
      </c>
      <c r="G1607" s="8">
        <v>718141</v>
      </c>
      <c r="H1607" s="8">
        <v>278051</v>
      </c>
      <c r="I1607" s="8">
        <v>255745</v>
      </c>
      <c r="J1607" s="8">
        <v>12698</v>
      </c>
      <c r="K1607" s="8">
        <v>709</v>
      </c>
      <c r="L1607" s="8">
        <v>875</v>
      </c>
      <c r="M1607" s="8">
        <v>2745</v>
      </c>
      <c r="N1607" s="8">
        <v>5679</v>
      </c>
      <c r="O1607" s="9">
        <f t="shared" si="25"/>
        <v>6.6578036716260336E-2</v>
      </c>
      <c r="P1607" s="6" t="s">
        <v>29</v>
      </c>
    </row>
    <row r="1608" spans="1:16" x14ac:dyDescent="0.25">
      <c r="A1608" s="2" t="s">
        <v>3285</v>
      </c>
      <c r="B1608" s="2" t="s">
        <v>3286</v>
      </c>
      <c r="C1608" s="2" t="s">
        <v>25</v>
      </c>
      <c r="D1608" s="3" t="s">
        <v>61</v>
      </c>
      <c r="E1608" s="3" t="s">
        <v>45</v>
      </c>
      <c r="F1608" s="2" t="s">
        <v>28</v>
      </c>
      <c r="G1608" s="4">
        <v>603302</v>
      </c>
      <c r="H1608" s="4">
        <v>305713</v>
      </c>
      <c r="I1608" s="4">
        <v>272389</v>
      </c>
      <c r="J1608" s="4">
        <v>18425</v>
      </c>
      <c r="K1608" s="4">
        <v>1094</v>
      </c>
      <c r="L1608" s="4">
        <v>1595</v>
      </c>
      <c r="M1608" s="4">
        <v>1734</v>
      </c>
      <c r="N1608" s="4">
        <v>8132</v>
      </c>
      <c r="O1608" s="5">
        <f t="shared" si="25"/>
        <v>8.3880039208631768E-2</v>
      </c>
      <c r="P1608" s="2" t="s">
        <v>22</v>
      </c>
    </row>
    <row r="1609" spans="1:16" x14ac:dyDescent="0.25">
      <c r="A1609" s="6" t="s">
        <v>3287</v>
      </c>
      <c r="B1609" s="6" t="s">
        <v>3288</v>
      </c>
      <c r="C1609" s="6" t="s">
        <v>25</v>
      </c>
      <c r="D1609" s="7" t="s">
        <v>26</v>
      </c>
      <c r="E1609" s="7" t="s">
        <v>27</v>
      </c>
      <c r="F1609" s="6" t="s">
        <v>65</v>
      </c>
      <c r="G1609" s="8">
        <v>632780</v>
      </c>
      <c r="H1609" s="8">
        <v>399345</v>
      </c>
      <c r="I1609" s="8">
        <v>336517</v>
      </c>
      <c r="J1609" s="8">
        <v>8023</v>
      </c>
      <c r="K1609" s="8">
        <v>594</v>
      </c>
      <c r="L1609" s="8">
        <v>1120</v>
      </c>
      <c r="M1609" s="8">
        <v>1780</v>
      </c>
      <c r="N1609" s="8">
        <v>3762</v>
      </c>
      <c r="O1609" s="9">
        <f t="shared" si="25"/>
        <v>3.422412537850985E-2</v>
      </c>
      <c r="P1609" s="6" t="s">
        <v>29</v>
      </c>
    </row>
    <row r="1610" spans="1:16" x14ac:dyDescent="0.25">
      <c r="A1610" s="2" t="s">
        <v>3289</v>
      </c>
      <c r="B1610" s="2" t="s">
        <v>3290</v>
      </c>
      <c r="C1610" s="2" t="s">
        <v>43</v>
      </c>
      <c r="D1610" s="3" t="s">
        <v>69</v>
      </c>
      <c r="E1610" s="3" t="s">
        <v>39</v>
      </c>
      <c r="F1610" s="2" t="s">
        <v>70</v>
      </c>
      <c r="G1610" s="4">
        <v>229238</v>
      </c>
      <c r="H1610" s="4">
        <v>72559</v>
      </c>
      <c r="I1610" s="4">
        <v>65881</v>
      </c>
      <c r="J1610" s="4">
        <v>4704</v>
      </c>
      <c r="K1610" s="4">
        <v>293</v>
      </c>
      <c r="L1610" s="4">
        <v>280</v>
      </c>
      <c r="M1610" s="4">
        <v>18</v>
      </c>
      <c r="N1610" s="4">
        <v>822</v>
      </c>
      <c r="O1610" s="5">
        <f t="shared" si="25"/>
        <v>8.037218621453833E-2</v>
      </c>
      <c r="P1610" s="2" t="s">
        <v>22</v>
      </c>
    </row>
    <row r="1611" spans="1:16" x14ac:dyDescent="0.25">
      <c r="A1611" s="6" t="s">
        <v>3291</v>
      </c>
      <c r="B1611" s="6" t="s">
        <v>3292</v>
      </c>
      <c r="C1611" s="6" t="s">
        <v>32</v>
      </c>
      <c r="D1611" s="7" t="s">
        <v>49</v>
      </c>
      <c r="E1611" s="7" t="s">
        <v>20</v>
      </c>
      <c r="F1611" s="6" t="s">
        <v>128</v>
      </c>
      <c r="G1611" s="8">
        <v>565812</v>
      </c>
      <c r="H1611" s="8">
        <v>355846</v>
      </c>
      <c r="I1611" s="8">
        <v>266499</v>
      </c>
      <c r="J1611" s="8">
        <v>16505</v>
      </c>
      <c r="K1611" s="8">
        <v>1539</v>
      </c>
      <c r="L1611" s="8">
        <v>1353</v>
      </c>
      <c r="M1611" s="8">
        <v>47</v>
      </c>
      <c r="N1611" s="8">
        <v>11410</v>
      </c>
      <c r="O1611" s="9">
        <f t="shared" si="25"/>
        <v>7.2960874149621574E-2</v>
      </c>
      <c r="P1611" s="6" t="s">
        <v>22</v>
      </c>
    </row>
    <row r="1612" spans="1:16" x14ac:dyDescent="0.25">
      <c r="A1612" s="2" t="s">
        <v>3293</v>
      </c>
      <c r="B1612" s="2" t="s">
        <v>3294</v>
      </c>
      <c r="C1612" s="2" t="s">
        <v>18</v>
      </c>
      <c r="D1612" s="3" t="s">
        <v>231</v>
      </c>
      <c r="E1612" s="3" t="s">
        <v>50</v>
      </c>
      <c r="F1612" s="2" t="s">
        <v>58</v>
      </c>
      <c r="G1612" s="4">
        <v>486471</v>
      </c>
      <c r="H1612" s="4">
        <v>86905</v>
      </c>
      <c r="I1612" s="4">
        <v>77853</v>
      </c>
      <c r="J1612" s="4">
        <v>3761</v>
      </c>
      <c r="K1612" s="4">
        <v>644</v>
      </c>
      <c r="L1612" s="4">
        <v>292</v>
      </c>
      <c r="M1612" s="4">
        <v>423</v>
      </c>
      <c r="N1612" s="4">
        <v>541</v>
      </c>
      <c r="O1612" s="5">
        <f t="shared" si="25"/>
        <v>6.5764967310187147E-2</v>
      </c>
      <c r="P1612" s="2" t="s">
        <v>29</v>
      </c>
    </row>
    <row r="1613" spans="1:16" x14ac:dyDescent="0.25">
      <c r="A1613" s="6" t="s">
        <v>3295</v>
      </c>
      <c r="B1613" s="6" t="s">
        <v>3296</v>
      </c>
      <c r="C1613" s="6" t="s">
        <v>32</v>
      </c>
      <c r="D1613" s="7" t="s">
        <v>38</v>
      </c>
      <c r="E1613" s="7" t="s">
        <v>39</v>
      </c>
      <c r="F1613" s="6" t="s">
        <v>40</v>
      </c>
      <c r="G1613" s="8">
        <v>645566</v>
      </c>
      <c r="H1613" s="8">
        <v>157199</v>
      </c>
      <c r="I1613" s="8">
        <v>142580</v>
      </c>
      <c r="J1613" s="8">
        <v>11060</v>
      </c>
      <c r="K1613" s="8">
        <v>1514</v>
      </c>
      <c r="L1613" s="8">
        <v>420</v>
      </c>
      <c r="M1613" s="8">
        <v>22</v>
      </c>
      <c r="N1613" s="8">
        <v>4787</v>
      </c>
      <c r="O1613" s="9">
        <f t="shared" si="25"/>
        <v>9.1289100855659985E-2</v>
      </c>
      <c r="P1613" s="6" t="s">
        <v>22</v>
      </c>
    </row>
    <row r="1614" spans="1:16" x14ac:dyDescent="0.25">
      <c r="A1614" s="2" t="s">
        <v>3297</v>
      </c>
      <c r="B1614" s="2" t="s">
        <v>3298</v>
      </c>
      <c r="C1614" s="2" t="s">
        <v>76</v>
      </c>
      <c r="D1614" s="3" t="s">
        <v>86</v>
      </c>
      <c r="E1614" s="3" t="s">
        <v>39</v>
      </c>
      <c r="F1614" s="2" t="s">
        <v>104</v>
      </c>
      <c r="G1614" s="4">
        <v>490854</v>
      </c>
      <c r="H1614" s="4">
        <v>172256</v>
      </c>
      <c r="I1614" s="4">
        <v>130626</v>
      </c>
      <c r="J1614" s="4">
        <v>4998</v>
      </c>
      <c r="K1614" s="4">
        <v>868</v>
      </c>
      <c r="L1614" s="4">
        <v>411</v>
      </c>
      <c r="M1614" s="4">
        <v>716</v>
      </c>
      <c r="N1614" s="4">
        <v>1277</v>
      </c>
      <c r="O1614" s="5">
        <f t="shared" si="25"/>
        <v>5.3534518396031419E-2</v>
      </c>
      <c r="P1614" s="2" t="s">
        <v>22</v>
      </c>
    </row>
    <row r="1615" spans="1:16" x14ac:dyDescent="0.25">
      <c r="A1615" s="6" t="s">
        <v>3299</v>
      </c>
      <c r="B1615" s="6" t="s">
        <v>3300</v>
      </c>
      <c r="C1615" s="6" t="s">
        <v>76</v>
      </c>
      <c r="D1615" s="7" t="s">
        <v>103</v>
      </c>
      <c r="E1615" s="7" t="s">
        <v>39</v>
      </c>
      <c r="F1615" s="6" t="s">
        <v>155</v>
      </c>
      <c r="G1615" s="8">
        <v>685899</v>
      </c>
      <c r="H1615" s="8">
        <v>78093</v>
      </c>
      <c r="I1615" s="8">
        <v>55664</v>
      </c>
      <c r="J1615" s="8">
        <v>1713</v>
      </c>
      <c r="K1615" s="8">
        <v>235</v>
      </c>
      <c r="L1615" s="8">
        <v>161</v>
      </c>
      <c r="M1615" s="8">
        <v>180</v>
      </c>
      <c r="N1615" s="8">
        <v>468</v>
      </c>
      <c r="O1615" s="9">
        <f t="shared" si="25"/>
        <v>4.1121730382293761E-2</v>
      </c>
      <c r="P1615" s="6" t="s">
        <v>22</v>
      </c>
    </row>
    <row r="1616" spans="1:16" x14ac:dyDescent="0.25">
      <c r="A1616" s="2" t="s">
        <v>3301</v>
      </c>
      <c r="B1616" s="2" t="s">
        <v>3302</v>
      </c>
      <c r="C1616" s="2" t="s">
        <v>25</v>
      </c>
      <c r="D1616" s="3" t="s">
        <v>64</v>
      </c>
      <c r="E1616" s="3" t="s">
        <v>45</v>
      </c>
      <c r="F1616" s="2" t="s">
        <v>28</v>
      </c>
      <c r="G1616" s="4">
        <v>759940</v>
      </c>
      <c r="H1616" s="4">
        <v>166559</v>
      </c>
      <c r="I1616" s="4">
        <v>128812</v>
      </c>
      <c r="J1616" s="4">
        <v>9899</v>
      </c>
      <c r="K1616" s="4">
        <v>839</v>
      </c>
      <c r="L1616" s="4">
        <v>638</v>
      </c>
      <c r="M1616" s="4">
        <v>851</v>
      </c>
      <c r="N1616" s="4">
        <v>1833</v>
      </c>
      <c r="O1616" s="5">
        <f t="shared" si="25"/>
        <v>9.4921280626028628E-2</v>
      </c>
      <c r="P1616" s="2" t="s">
        <v>29</v>
      </c>
    </row>
    <row r="1617" spans="1:16" x14ac:dyDescent="0.25">
      <c r="A1617" s="6" t="s">
        <v>3303</v>
      </c>
      <c r="B1617" s="6" t="s">
        <v>3304</v>
      </c>
      <c r="C1617" s="6" t="s">
        <v>76</v>
      </c>
      <c r="D1617" s="7" t="s">
        <v>77</v>
      </c>
      <c r="E1617" s="7" t="s">
        <v>50</v>
      </c>
      <c r="F1617" s="6" t="s">
        <v>104</v>
      </c>
      <c r="G1617" s="8">
        <v>32807</v>
      </c>
      <c r="H1617" s="8">
        <v>13295</v>
      </c>
      <c r="I1617" s="8">
        <v>9511</v>
      </c>
      <c r="J1617" s="8">
        <v>852</v>
      </c>
      <c r="K1617" s="8">
        <v>129</v>
      </c>
      <c r="L1617" s="8">
        <v>81</v>
      </c>
      <c r="M1617" s="8">
        <v>170</v>
      </c>
      <c r="N1617" s="8">
        <v>210</v>
      </c>
      <c r="O1617" s="9">
        <f t="shared" si="25"/>
        <v>0.12953422353064872</v>
      </c>
      <c r="P1617" s="6" t="s">
        <v>22</v>
      </c>
    </row>
    <row r="1618" spans="1:16" x14ac:dyDescent="0.25">
      <c r="A1618" s="2" t="s">
        <v>3305</v>
      </c>
      <c r="B1618" s="2" t="s">
        <v>3306</v>
      </c>
      <c r="C1618" s="2" t="s">
        <v>43</v>
      </c>
      <c r="D1618" s="3" t="s">
        <v>172</v>
      </c>
      <c r="E1618" s="3" t="s">
        <v>27</v>
      </c>
      <c r="F1618" s="2" t="s">
        <v>107</v>
      </c>
      <c r="G1618" s="4">
        <v>773830</v>
      </c>
      <c r="H1618" s="4">
        <v>200564</v>
      </c>
      <c r="I1618" s="4">
        <v>144223</v>
      </c>
      <c r="J1618" s="4">
        <v>5236</v>
      </c>
      <c r="K1618" s="4">
        <v>853</v>
      </c>
      <c r="L1618" s="4">
        <v>446</v>
      </c>
      <c r="M1618" s="4">
        <v>47</v>
      </c>
      <c r="N1618" s="4">
        <v>6789</v>
      </c>
      <c r="O1618" s="5">
        <f t="shared" si="25"/>
        <v>4.563765834852971E-2</v>
      </c>
      <c r="P1618" s="2" t="s">
        <v>29</v>
      </c>
    </row>
    <row r="1619" spans="1:16" x14ac:dyDescent="0.25">
      <c r="A1619" s="6" t="s">
        <v>3307</v>
      </c>
      <c r="B1619" s="6" t="s">
        <v>3308</v>
      </c>
      <c r="C1619" s="6" t="s">
        <v>18</v>
      </c>
      <c r="D1619" s="7" t="s">
        <v>231</v>
      </c>
      <c r="E1619" s="7" t="s">
        <v>39</v>
      </c>
      <c r="F1619" s="6" t="s">
        <v>58</v>
      </c>
      <c r="G1619" s="8">
        <v>448197</v>
      </c>
      <c r="H1619" s="8">
        <v>166332</v>
      </c>
      <c r="I1619" s="8">
        <v>140141</v>
      </c>
      <c r="J1619" s="8">
        <v>8427</v>
      </c>
      <c r="K1619" s="8">
        <v>1098</v>
      </c>
      <c r="L1619" s="8">
        <v>476</v>
      </c>
      <c r="M1619" s="8">
        <v>1199</v>
      </c>
      <c r="N1619" s="8">
        <v>3743</v>
      </c>
      <c r="O1619" s="9">
        <f t="shared" si="25"/>
        <v>7.9919509636723021E-2</v>
      </c>
      <c r="P1619" s="6" t="s">
        <v>22</v>
      </c>
    </row>
    <row r="1620" spans="1:16" x14ac:dyDescent="0.25">
      <c r="A1620" s="2" t="s">
        <v>3309</v>
      </c>
      <c r="B1620" s="2" t="s">
        <v>3310</v>
      </c>
      <c r="C1620" s="2" t="s">
        <v>25</v>
      </c>
      <c r="D1620" s="3" t="s">
        <v>61</v>
      </c>
      <c r="E1620" s="3" t="s">
        <v>34</v>
      </c>
      <c r="F1620" s="2" t="s">
        <v>28</v>
      </c>
      <c r="G1620" s="4">
        <v>749101</v>
      </c>
      <c r="H1620" s="4">
        <v>232480</v>
      </c>
      <c r="I1620" s="4">
        <v>192715</v>
      </c>
      <c r="J1620" s="4">
        <v>4883</v>
      </c>
      <c r="K1620" s="4">
        <v>616</v>
      </c>
      <c r="L1620" s="4">
        <v>140</v>
      </c>
      <c r="M1620" s="4">
        <v>945</v>
      </c>
      <c r="N1620" s="4">
        <v>6054</v>
      </c>
      <c r="O1620" s="5">
        <f t="shared" si="25"/>
        <v>3.4164439716680074E-2</v>
      </c>
      <c r="P1620" s="2" t="s">
        <v>29</v>
      </c>
    </row>
    <row r="1621" spans="1:16" x14ac:dyDescent="0.25">
      <c r="A1621" s="6" t="s">
        <v>3311</v>
      </c>
      <c r="B1621" s="6" t="s">
        <v>3312</v>
      </c>
      <c r="C1621" s="6" t="s">
        <v>25</v>
      </c>
      <c r="D1621" s="7" t="s">
        <v>26</v>
      </c>
      <c r="E1621" s="7" t="s">
        <v>39</v>
      </c>
      <c r="F1621" s="6" t="s">
        <v>28</v>
      </c>
      <c r="G1621" s="8">
        <v>20691</v>
      </c>
      <c r="H1621" s="8">
        <v>11540</v>
      </c>
      <c r="I1621" s="8">
        <v>8692</v>
      </c>
      <c r="J1621" s="8">
        <v>601</v>
      </c>
      <c r="K1621" s="8">
        <v>33</v>
      </c>
      <c r="L1621" s="8">
        <v>24</v>
      </c>
      <c r="M1621" s="8">
        <v>60</v>
      </c>
      <c r="N1621" s="8">
        <v>180</v>
      </c>
      <c r="O1621" s="9">
        <f t="shared" si="25"/>
        <v>8.260469397146801E-2</v>
      </c>
      <c r="P1621" s="6" t="s">
        <v>22</v>
      </c>
    </row>
    <row r="1622" spans="1:16" x14ac:dyDescent="0.25">
      <c r="A1622" s="2" t="s">
        <v>3313</v>
      </c>
      <c r="B1622" s="2" t="s">
        <v>3314</v>
      </c>
      <c r="C1622" s="2" t="s">
        <v>76</v>
      </c>
      <c r="D1622" s="3" t="s">
        <v>103</v>
      </c>
      <c r="E1622" s="3" t="s">
        <v>39</v>
      </c>
      <c r="F1622" s="2" t="s">
        <v>78</v>
      </c>
      <c r="G1622" s="4">
        <v>475478</v>
      </c>
      <c r="H1622" s="4">
        <v>95824</v>
      </c>
      <c r="I1622" s="4">
        <v>84743</v>
      </c>
      <c r="J1622" s="4">
        <v>3372</v>
      </c>
      <c r="K1622" s="4">
        <v>472</v>
      </c>
      <c r="L1622" s="4">
        <v>286</v>
      </c>
      <c r="M1622" s="4">
        <v>281</v>
      </c>
      <c r="N1622" s="4">
        <v>1787</v>
      </c>
      <c r="O1622" s="5">
        <f t="shared" si="25"/>
        <v>5.2051496878798252E-2</v>
      </c>
      <c r="P1622" s="2" t="s">
        <v>29</v>
      </c>
    </row>
    <row r="1623" spans="1:16" x14ac:dyDescent="0.25">
      <c r="A1623" s="6" t="s">
        <v>3315</v>
      </c>
      <c r="B1623" s="6" t="s">
        <v>3316</v>
      </c>
      <c r="C1623" s="6" t="s">
        <v>18</v>
      </c>
      <c r="D1623" s="7" t="s">
        <v>92</v>
      </c>
      <c r="E1623" s="7" t="s">
        <v>50</v>
      </c>
      <c r="F1623" s="6" t="s">
        <v>58</v>
      </c>
      <c r="G1623" s="8">
        <v>110620</v>
      </c>
      <c r="H1623" s="8">
        <v>612542</v>
      </c>
      <c r="I1623" s="8">
        <v>451214</v>
      </c>
      <c r="J1623" s="8">
        <v>38786</v>
      </c>
      <c r="K1623" s="8">
        <v>5719</v>
      </c>
      <c r="L1623" s="8">
        <v>3200</v>
      </c>
      <c r="M1623" s="8">
        <v>3689</v>
      </c>
      <c r="N1623" s="8">
        <v>9629</v>
      </c>
      <c r="O1623" s="9">
        <f t="shared" si="25"/>
        <v>0.11390160766288281</v>
      </c>
      <c r="P1623" s="6" t="s">
        <v>22</v>
      </c>
    </row>
    <row r="1624" spans="1:16" x14ac:dyDescent="0.25">
      <c r="A1624" s="2" t="s">
        <v>3317</v>
      </c>
      <c r="B1624" s="2" t="s">
        <v>3318</v>
      </c>
      <c r="C1624" s="2" t="s">
        <v>32</v>
      </c>
      <c r="D1624" s="3" t="s">
        <v>121</v>
      </c>
      <c r="E1624" s="3" t="s">
        <v>50</v>
      </c>
      <c r="F1624" s="2" t="s">
        <v>35</v>
      </c>
      <c r="G1624" s="4">
        <v>504837</v>
      </c>
      <c r="H1624" s="4">
        <v>99028</v>
      </c>
      <c r="I1624" s="4">
        <v>89333</v>
      </c>
      <c r="J1624" s="4">
        <v>2434</v>
      </c>
      <c r="K1624" s="4">
        <v>319</v>
      </c>
      <c r="L1624" s="4">
        <v>51</v>
      </c>
      <c r="M1624" s="4">
        <v>22</v>
      </c>
      <c r="N1624" s="4">
        <v>2022</v>
      </c>
      <c r="O1624" s="5">
        <f t="shared" si="25"/>
        <v>3.163444639718805E-2</v>
      </c>
      <c r="P1624" s="2" t="s">
        <v>22</v>
      </c>
    </row>
    <row r="1625" spans="1:16" x14ac:dyDescent="0.25">
      <c r="A1625" s="6" t="s">
        <v>3319</v>
      </c>
      <c r="B1625" s="6" t="s">
        <v>3320</v>
      </c>
      <c r="C1625" s="6" t="s">
        <v>43</v>
      </c>
      <c r="D1625" s="7" t="s">
        <v>81</v>
      </c>
      <c r="E1625" s="7" t="s">
        <v>50</v>
      </c>
      <c r="F1625" s="6" t="s">
        <v>70</v>
      </c>
      <c r="G1625" s="8">
        <v>654715</v>
      </c>
      <c r="H1625" s="8">
        <v>341903</v>
      </c>
      <c r="I1625" s="8">
        <v>287298</v>
      </c>
      <c r="J1625" s="8">
        <v>21070</v>
      </c>
      <c r="K1625" s="8">
        <v>2177</v>
      </c>
      <c r="L1625" s="8">
        <v>2071</v>
      </c>
      <c r="M1625" s="8">
        <v>21</v>
      </c>
      <c r="N1625" s="8">
        <v>10703</v>
      </c>
      <c r="O1625" s="9">
        <f t="shared" si="25"/>
        <v>8.8197620589074766E-2</v>
      </c>
      <c r="P1625" s="6" t="s">
        <v>29</v>
      </c>
    </row>
    <row r="1626" spans="1:16" x14ac:dyDescent="0.25">
      <c r="A1626" s="2" t="s">
        <v>3321</v>
      </c>
      <c r="B1626" s="2" t="s">
        <v>3322</v>
      </c>
      <c r="C1626" s="2" t="s">
        <v>76</v>
      </c>
      <c r="D1626" s="3" t="s">
        <v>86</v>
      </c>
      <c r="E1626" s="3" t="s">
        <v>27</v>
      </c>
      <c r="F1626" s="2" t="s">
        <v>104</v>
      </c>
      <c r="G1626" s="4">
        <v>348836</v>
      </c>
      <c r="H1626" s="4">
        <v>131069</v>
      </c>
      <c r="I1626" s="4">
        <v>102613</v>
      </c>
      <c r="J1626" s="4">
        <v>5335</v>
      </c>
      <c r="K1626" s="4">
        <v>656</v>
      </c>
      <c r="L1626" s="4">
        <v>255</v>
      </c>
      <c r="M1626" s="4">
        <v>486</v>
      </c>
      <c r="N1626" s="4">
        <v>4012</v>
      </c>
      <c r="O1626" s="5">
        <f t="shared" si="25"/>
        <v>6.5605722471811567E-2</v>
      </c>
      <c r="P1626" s="2" t="s">
        <v>22</v>
      </c>
    </row>
    <row r="1627" spans="1:16" x14ac:dyDescent="0.25">
      <c r="A1627" s="6" t="s">
        <v>3323</v>
      </c>
      <c r="B1627" s="6" t="s">
        <v>3324</v>
      </c>
      <c r="C1627" s="6" t="s">
        <v>76</v>
      </c>
      <c r="D1627" s="7" t="s">
        <v>189</v>
      </c>
      <c r="E1627" s="7" t="s">
        <v>45</v>
      </c>
      <c r="F1627" s="6" t="s">
        <v>87</v>
      </c>
      <c r="G1627" s="8">
        <v>770413</v>
      </c>
      <c r="H1627" s="8">
        <v>147737</v>
      </c>
      <c r="I1627" s="8">
        <v>105529</v>
      </c>
      <c r="J1627" s="8">
        <v>5243</v>
      </c>
      <c r="K1627" s="8">
        <v>460</v>
      </c>
      <c r="L1627" s="8">
        <v>281</v>
      </c>
      <c r="M1627" s="8">
        <v>999</v>
      </c>
      <c r="N1627" s="8">
        <v>5091</v>
      </c>
      <c r="O1627" s="9">
        <f t="shared" si="25"/>
        <v>6.6171384169280478E-2</v>
      </c>
      <c r="P1627" s="6" t="s">
        <v>22</v>
      </c>
    </row>
    <row r="1628" spans="1:16" x14ac:dyDescent="0.25">
      <c r="A1628" s="2" t="s">
        <v>3325</v>
      </c>
      <c r="B1628" s="2" t="s">
        <v>3326</v>
      </c>
      <c r="C1628" s="2" t="s">
        <v>18</v>
      </c>
      <c r="D1628" s="3" t="s">
        <v>92</v>
      </c>
      <c r="E1628" s="3" t="s">
        <v>39</v>
      </c>
      <c r="F1628" s="2" t="s">
        <v>73</v>
      </c>
      <c r="G1628" s="4">
        <v>256425</v>
      </c>
      <c r="H1628" s="4">
        <v>144312</v>
      </c>
      <c r="I1628" s="4">
        <v>124369</v>
      </c>
      <c r="J1628" s="4">
        <v>3766</v>
      </c>
      <c r="K1628" s="4">
        <v>148</v>
      </c>
      <c r="L1628" s="4">
        <v>229</v>
      </c>
      <c r="M1628" s="4">
        <v>543</v>
      </c>
      <c r="N1628" s="4">
        <v>1557</v>
      </c>
      <c r="O1628" s="5">
        <f t="shared" si="25"/>
        <v>3.767819955133514E-2</v>
      </c>
      <c r="P1628" s="2" t="s">
        <v>22</v>
      </c>
    </row>
    <row r="1629" spans="1:16" x14ac:dyDescent="0.25">
      <c r="A1629" s="6" t="s">
        <v>3327</v>
      </c>
      <c r="B1629" s="6" t="s">
        <v>3328</v>
      </c>
      <c r="C1629" s="6" t="s">
        <v>76</v>
      </c>
      <c r="D1629" s="7" t="s">
        <v>86</v>
      </c>
      <c r="E1629" s="7" t="s">
        <v>20</v>
      </c>
      <c r="F1629" s="6" t="s">
        <v>87</v>
      </c>
      <c r="G1629" s="8">
        <v>350983</v>
      </c>
      <c r="H1629" s="8">
        <v>99371</v>
      </c>
      <c r="I1629" s="8">
        <v>88119</v>
      </c>
      <c r="J1629" s="8">
        <v>7665</v>
      </c>
      <c r="K1629" s="8">
        <v>598</v>
      </c>
      <c r="L1629" s="8">
        <v>192</v>
      </c>
      <c r="M1629" s="8">
        <v>473</v>
      </c>
      <c r="N1629" s="8">
        <v>1412</v>
      </c>
      <c r="O1629" s="9">
        <f t="shared" si="25"/>
        <v>0.10131753651312429</v>
      </c>
      <c r="P1629" s="6" t="s">
        <v>22</v>
      </c>
    </row>
    <row r="1630" spans="1:16" x14ac:dyDescent="0.25">
      <c r="A1630" s="2" t="s">
        <v>3329</v>
      </c>
      <c r="B1630" s="2" t="s">
        <v>3330</v>
      </c>
      <c r="C1630" s="2" t="s">
        <v>76</v>
      </c>
      <c r="D1630" s="3" t="s">
        <v>77</v>
      </c>
      <c r="E1630" s="3" t="s">
        <v>27</v>
      </c>
      <c r="F1630" s="2" t="s">
        <v>104</v>
      </c>
      <c r="G1630" s="4">
        <v>380577</v>
      </c>
      <c r="H1630" s="4">
        <v>96192</v>
      </c>
      <c r="I1630" s="4">
        <v>73955</v>
      </c>
      <c r="J1630" s="4">
        <v>4559</v>
      </c>
      <c r="K1630" s="4">
        <v>643</v>
      </c>
      <c r="L1630" s="4">
        <v>510</v>
      </c>
      <c r="M1630" s="4">
        <v>444</v>
      </c>
      <c r="N1630" s="4">
        <v>2790</v>
      </c>
      <c r="O1630" s="5">
        <f t="shared" si="25"/>
        <v>8.3239807991346088E-2</v>
      </c>
      <c r="P1630" s="2" t="s">
        <v>22</v>
      </c>
    </row>
    <row r="1631" spans="1:16" x14ac:dyDescent="0.25">
      <c r="A1631" s="6" t="s">
        <v>3331</v>
      </c>
      <c r="B1631" s="6" t="s">
        <v>3332</v>
      </c>
      <c r="C1631" s="6" t="s">
        <v>43</v>
      </c>
      <c r="D1631" s="7" t="s">
        <v>44</v>
      </c>
      <c r="E1631" s="7" t="s">
        <v>27</v>
      </c>
      <c r="F1631" s="6" t="s">
        <v>107</v>
      </c>
      <c r="G1631" s="8">
        <v>105554</v>
      </c>
      <c r="H1631" s="8">
        <v>64925</v>
      </c>
      <c r="I1631" s="8">
        <v>49259</v>
      </c>
      <c r="J1631" s="8">
        <v>1893</v>
      </c>
      <c r="K1631" s="8">
        <v>175</v>
      </c>
      <c r="L1631" s="8">
        <v>206</v>
      </c>
      <c r="M1631" s="8">
        <v>39</v>
      </c>
      <c r="N1631" s="8">
        <v>2111</v>
      </c>
      <c r="O1631" s="9">
        <f t="shared" si="25"/>
        <v>4.69558862339877E-2</v>
      </c>
      <c r="P1631" s="6" t="s">
        <v>29</v>
      </c>
    </row>
    <row r="1632" spans="1:16" x14ac:dyDescent="0.25">
      <c r="A1632" s="2" t="s">
        <v>3333</v>
      </c>
      <c r="B1632" s="2" t="s">
        <v>3334</v>
      </c>
      <c r="C1632" s="2" t="s">
        <v>32</v>
      </c>
      <c r="D1632" s="3" t="s">
        <v>121</v>
      </c>
      <c r="E1632" s="3" t="s">
        <v>45</v>
      </c>
      <c r="F1632" s="2" t="s">
        <v>128</v>
      </c>
      <c r="G1632" s="4">
        <v>20608</v>
      </c>
      <c r="H1632" s="4">
        <v>10502</v>
      </c>
      <c r="I1632" s="4">
        <v>9030</v>
      </c>
      <c r="J1632" s="4">
        <v>611</v>
      </c>
      <c r="K1632" s="4">
        <v>32</v>
      </c>
      <c r="L1632" s="4">
        <v>32</v>
      </c>
      <c r="M1632" s="4">
        <v>47</v>
      </c>
      <c r="N1632" s="4">
        <v>91</v>
      </c>
      <c r="O1632" s="5">
        <f t="shared" si="25"/>
        <v>7.9955703211517168E-2</v>
      </c>
      <c r="P1632" s="2" t="s">
        <v>22</v>
      </c>
    </row>
    <row r="1633" spans="1:16" x14ac:dyDescent="0.25">
      <c r="A1633" s="6" t="s">
        <v>3335</v>
      </c>
      <c r="B1633" s="6" t="s">
        <v>3336</v>
      </c>
      <c r="C1633" s="6" t="s">
        <v>25</v>
      </c>
      <c r="D1633" s="7" t="s">
        <v>145</v>
      </c>
      <c r="E1633" s="7" t="s">
        <v>45</v>
      </c>
      <c r="F1633" s="6" t="s">
        <v>65</v>
      </c>
      <c r="G1633" s="8">
        <v>375624</v>
      </c>
      <c r="H1633" s="8">
        <v>116143</v>
      </c>
      <c r="I1633" s="8">
        <v>101285</v>
      </c>
      <c r="J1633" s="8">
        <v>8146</v>
      </c>
      <c r="K1633" s="8">
        <v>939</v>
      </c>
      <c r="L1633" s="8">
        <v>566</v>
      </c>
      <c r="M1633" s="8">
        <v>645</v>
      </c>
      <c r="N1633" s="8">
        <v>2424</v>
      </c>
      <c r="O1633" s="9">
        <f t="shared" si="25"/>
        <v>0.1016537493212223</v>
      </c>
      <c r="P1633" s="6" t="s">
        <v>29</v>
      </c>
    </row>
    <row r="1634" spans="1:16" x14ac:dyDescent="0.25">
      <c r="A1634" s="2" t="s">
        <v>3337</v>
      </c>
      <c r="B1634" s="2" t="s">
        <v>3338</v>
      </c>
      <c r="C1634" s="2" t="s">
        <v>76</v>
      </c>
      <c r="D1634" s="3" t="s">
        <v>77</v>
      </c>
      <c r="E1634" s="3" t="s">
        <v>34</v>
      </c>
      <c r="F1634" s="2" t="s">
        <v>78</v>
      </c>
      <c r="G1634" s="4">
        <v>598828</v>
      </c>
      <c r="H1634" s="4">
        <v>273884</v>
      </c>
      <c r="I1634" s="4">
        <v>229881</v>
      </c>
      <c r="J1634" s="4">
        <v>20875</v>
      </c>
      <c r="K1634" s="4">
        <v>2610</v>
      </c>
      <c r="L1634" s="4">
        <v>1753</v>
      </c>
      <c r="M1634" s="4">
        <v>4217</v>
      </c>
      <c r="N1634" s="4">
        <v>5898</v>
      </c>
      <c r="O1634" s="5">
        <f t="shared" si="25"/>
        <v>0.12813151152117835</v>
      </c>
      <c r="P1634" s="2" t="s">
        <v>22</v>
      </c>
    </row>
    <row r="1635" spans="1:16" x14ac:dyDescent="0.25">
      <c r="A1635" s="6" t="s">
        <v>3339</v>
      </c>
      <c r="B1635" s="6" t="s">
        <v>3340</v>
      </c>
      <c r="C1635" s="6" t="s">
        <v>76</v>
      </c>
      <c r="D1635" s="7" t="s">
        <v>77</v>
      </c>
      <c r="E1635" s="7" t="s">
        <v>45</v>
      </c>
      <c r="F1635" s="6" t="s">
        <v>104</v>
      </c>
      <c r="G1635" s="8">
        <v>282817</v>
      </c>
      <c r="H1635" s="8">
        <v>121877</v>
      </c>
      <c r="I1635" s="8">
        <v>88767</v>
      </c>
      <c r="J1635" s="8">
        <v>8324</v>
      </c>
      <c r="K1635" s="8">
        <v>944</v>
      </c>
      <c r="L1635" s="8">
        <v>1182</v>
      </c>
      <c r="M1635" s="8">
        <v>657</v>
      </c>
      <c r="N1635" s="8">
        <v>1887</v>
      </c>
      <c r="O1635" s="9">
        <f t="shared" si="25"/>
        <v>0.12512532810616558</v>
      </c>
      <c r="P1635" s="6" t="s">
        <v>22</v>
      </c>
    </row>
    <row r="1636" spans="1:16" x14ac:dyDescent="0.25">
      <c r="A1636" s="2" t="s">
        <v>3341</v>
      </c>
      <c r="B1636" s="2" t="s">
        <v>3342</v>
      </c>
      <c r="C1636" s="2" t="s">
        <v>18</v>
      </c>
      <c r="D1636" s="3" t="s">
        <v>92</v>
      </c>
      <c r="E1636" s="3" t="s">
        <v>45</v>
      </c>
      <c r="F1636" s="2" t="s">
        <v>21</v>
      </c>
      <c r="G1636" s="4">
        <v>743315</v>
      </c>
      <c r="H1636" s="4">
        <v>446517</v>
      </c>
      <c r="I1636" s="4">
        <v>351799</v>
      </c>
      <c r="J1636" s="4">
        <v>30524</v>
      </c>
      <c r="K1636" s="4">
        <v>1116</v>
      </c>
      <c r="L1636" s="4">
        <v>2802</v>
      </c>
      <c r="M1636" s="4">
        <v>2585</v>
      </c>
      <c r="N1636" s="4">
        <v>14761</v>
      </c>
      <c r="O1636" s="5">
        <f t="shared" si="25"/>
        <v>0.10525044130313048</v>
      </c>
      <c r="P1636" s="2" t="s">
        <v>22</v>
      </c>
    </row>
    <row r="1637" spans="1:16" x14ac:dyDescent="0.25">
      <c r="A1637" s="6" t="s">
        <v>3343</v>
      </c>
      <c r="B1637" s="6" t="s">
        <v>3344</v>
      </c>
      <c r="C1637" s="6" t="s">
        <v>18</v>
      </c>
      <c r="D1637" s="7" t="s">
        <v>57</v>
      </c>
      <c r="E1637" s="7" t="s">
        <v>50</v>
      </c>
      <c r="F1637" s="6" t="s">
        <v>58</v>
      </c>
      <c r="G1637" s="8">
        <v>846229</v>
      </c>
      <c r="H1637" s="8">
        <v>540271</v>
      </c>
      <c r="I1637" s="8">
        <v>383141</v>
      </c>
      <c r="J1637" s="8">
        <v>29592</v>
      </c>
      <c r="K1637" s="8">
        <v>2029</v>
      </c>
      <c r="L1637" s="8">
        <v>912</v>
      </c>
      <c r="M1637" s="8">
        <v>4454</v>
      </c>
      <c r="N1637" s="8">
        <v>14511</v>
      </c>
      <c r="O1637" s="9">
        <f t="shared" si="25"/>
        <v>9.6536262107161597E-2</v>
      </c>
      <c r="P1637" s="6" t="s">
        <v>22</v>
      </c>
    </row>
    <row r="1638" spans="1:16" x14ac:dyDescent="0.25">
      <c r="A1638" s="2" t="s">
        <v>3345</v>
      </c>
      <c r="B1638" s="2" t="s">
        <v>3346</v>
      </c>
      <c r="C1638" s="2" t="s">
        <v>25</v>
      </c>
      <c r="D1638" s="3" t="s">
        <v>145</v>
      </c>
      <c r="E1638" s="3" t="s">
        <v>34</v>
      </c>
      <c r="F1638" s="2" t="s">
        <v>65</v>
      </c>
      <c r="G1638" s="4">
        <v>347721</v>
      </c>
      <c r="H1638" s="4">
        <v>98063</v>
      </c>
      <c r="I1638" s="4">
        <v>71546</v>
      </c>
      <c r="J1638" s="4">
        <v>4990</v>
      </c>
      <c r="K1638" s="4">
        <v>518</v>
      </c>
      <c r="L1638" s="4">
        <v>429</v>
      </c>
      <c r="M1638" s="4">
        <v>758</v>
      </c>
      <c r="N1638" s="4">
        <v>2632</v>
      </c>
      <c r="O1638" s="5">
        <f t="shared" si="25"/>
        <v>9.3576160791658508E-2</v>
      </c>
      <c r="P1638" s="2" t="s">
        <v>22</v>
      </c>
    </row>
    <row r="1639" spans="1:16" x14ac:dyDescent="0.25">
      <c r="A1639" s="6" t="s">
        <v>3347</v>
      </c>
      <c r="B1639" s="6" t="s">
        <v>3348</v>
      </c>
      <c r="C1639" s="6" t="s">
        <v>43</v>
      </c>
      <c r="D1639" s="7" t="s">
        <v>44</v>
      </c>
      <c r="E1639" s="7" t="s">
        <v>34</v>
      </c>
      <c r="F1639" s="6" t="s">
        <v>70</v>
      </c>
      <c r="G1639" s="8">
        <v>410766</v>
      </c>
      <c r="H1639" s="8">
        <v>45145</v>
      </c>
      <c r="I1639" s="8">
        <v>32872</v>
      </c>
      <c r="J1639" s="8">
        <v>3415</v>
      </c>
      <c r="K1639" s="8">
        <v>534</v>
      </c>
      <c r="L1639" s="8">
        <v>78</v>
      </c>
      <c r="M1639" s="8">
        <v>5</v>
      </c>
      <c r="N1639" s="8">
        <v>1569</v>
      </c>
      <c r="O1639" s="9">
        <f t="shared" si="25"/>
        <v>0.12265758091993186</v>
      </c>
      <c r="P1639" s="6" t="s">
        <v>29</v>
      </c>
    </row>
    <row r="1640" spans="1:16" x14ac:dyDescent="0.25">
      <c r="A1640" s="2" t="s">
        <v>3349</v>
      </c>
      <c r="B1640" s="2" t="s">
        <v>3350</v>
      </c>
      <c r="C1640" s="2" t="s">
        <v>76</v>
      </c>
      <c r="D1640" s="3" t="s">
        <v>103</v>
      </c>
      <c r="E1640" s="3" t="s">
        <v>39</v>
      </c>
      <c r="F1640" s="2" t="s">
        <v>78</v>
      </c>
      <c r="G1640" s="4">
        <v>700232</v>
      </c>
      <c r="H1640" s="4">
        <v>416255</v>
      </c>
      <c r="I1640" s="4">
        <v>360396</v>
      </c>
      <c r="J1640" s="4">
        <v>23694</v>
      </c>
      <c r="K1640" s="4">
        <v>1472</v>
      </c>
      <c r="L1640" s="4">
        <v>525</v>
      </c>
      <c r="M1640" s="4">
        <v>2745</v>
      </c>
      <c r="N1640" s="4">
        <v>11570</v>
      </c>
      <c r="O1640" s="5">
        <f t="shared" si="25"/>
        <v>7.8902096582647976E-2</v>
      </c>
      <c r="P1640" s="2" t="s">
        <v>29</v>
      </c>
    </row>
    <row r="1641" spans="1:16" x14ac:dyDescent="0.25">
      <c r="A1641" s="6" t="s">
        <v>3351</v>
      </c>
      <c r="B1641" s="6" t="s">
        <v>3352</v>
      </c>
      <c r="C1641" s="6" t="s">
        <v>18</v>
      </c>
      <c r="D1641" s="7" t="s">
        <v>19</v>
      </c>
      <c r="E1641" s="7" t="s">
        <v>27</v>
      </c>
      <c r="F1641" s="6" t="s">
        <v>21</v>
      </c>
      <c r="G1641" s="8">
        <v>755648</v>
      </c>
      <c r="H1641" s="8">
        <v>193130</v>
      </c>
      <c r="I1641" s="8">
        <v>165413</v>
      </c>
      <c r="J1641" s="8">
        <v>5276</v>
      </c>
      <c r="K1641" s="8">
        <v>522</v>
      </c>
      <c r="L1641" s="8">
        <v>491</v>
      </c>
      <c r="M1641" s="8">
        <v>314</v>
      </c>
      <c r="N1641" s="8">
        <v>3061</v>
      </c>
      <c r="O1641" s="9">
        <f t="shared" si="25"/>
        <v>3.9918265190764933E-2</v>
      </c>
      <c r="P1641" s="6" t="s">
        <v>22</v>
      </c>
    </row>
    <row r="1642" spans="1:16" x14ac:dyDescent="0.25">
      <c r="A1642" s="2" t="s">
        <v>3353</v>
      </c>
      <c r="B1642" s="2" t="s">
        <v>3354</v>
      </c>
      <c r="C1642" s="2" t="s">
        <v>18</v>
      </c>
      <c r="D1642" s="3" t="s">
        <v>226</v>
      </c>
      <c r="E1642" s="3" t="s">
        <v>45</v>
      </c>
      <c r="F1642" s="2" t="s">
        <v>58</v>
      </c>
      <c r="G1642" s="4">
        <v>499768</v>
      </c>
      <c r="H1642" s="4">
        <v>56018</v>
      </c>
      <c r="I1642" s="4">
        <v>43296</v>
      </c>
      <c r="J1642" s="4">
        <v>1863</v>
      </c>
      <c r="K1642" s="4">
        <v>239</v>
      </c>
      <c r="L1642" s="4">
        <v>132</v>
      </c>
      <c r="M1642" s="4">
        <v>96</v>
      </c>
      <c r="N1642" s="4">
        <v>1215</v>
      </c>
      <c r="O1642" s="5">
        <f t="shared" si="25"/>
        <v>5.3815594974131561E-2</v>
      </c>
      <c r="P1642" s="2" t="s">
        <v>29</v>
      </c>
    </row>
    <row r="1643" spans="1:16" x14ac:dyDescent="0.25">
      <c r="A1643" s="6" t="s">
        <v>3355</v>
      </c>
      <c r="B1643" s="6" t="s">
        <v>3356</v>
      </c>
      <c r="C1643" s="6" t="s">
        <v>43</v>
      </c>
      <c r="D1643" s="7" t="s">
        <v>69</v>
      </c>
      <c r="E1643" s="7" t="s">
        <v>50</v>
      </c>
      <c r="F1643" s="6" t="s">
        <v>46</v>
      </c>
      <c r="G1643" s="8">
        <v>724724</v>
      </c>
      <c r="H1643" s="8">
        <v>302942</v>
      </c>
      <c r="I1643" s="8">
        <v>236556</v>
      </c>
      <c r="J1643" s="8">
        <v>18119</v>
      </c>
      <c r="K1643" s="8">
        <v>2343</v>
      </c>
      <c r="L1643" s="8">
        <v>1925</v>
      </c>
      <c r="M1643" s="8">
        <v>10</v>
      </c>
      <c r="N1643" s="8">
        <v>6290</v>
      </c>
      <c r="O1643" s="9">
        <f t="shared" si="25"/>
        <v>9.4679483927695762E-2</v>
      </c>
      <c r="P1643" s="6" t="s">
        <v>22</v>
      </c>
    </row>
    <row r="1644" spans="1:16" x14ac:dyDescent="0.25">
      <c r="A1644" s="2" t="s">
        <v>3357</v>
      </c>
      <c r="B1644" s="2" t="s">
        <v>3358</v>
      </c>
      <c r="C1644" s="2" t="s">
        <v>76</v>
      </c>
      <c r="D1644" s="3" t="s">
        <v>189</v>
      </c>
      <c r="E1644" s="3" t="s">
        <v>20</v>
      </c>
      <c r="F1644" s="2" t="s">
        <v>155</v>
      </c>
      <c r="G1644" s="4">
        <v>259893</v>
      </c>
      <c r="H1644" s="4">
        <v>26973</v>
      </c>
      <c r="I1644" s="4">
        <v>21932</v>
      </c>
      <c r="J1644" s="4">
        <v>1230</v>
      </c>
      <c r="K1644" s="4">
        <v>171</v>
      </c>
      <c r="L1644" s="4">
        <v>133</v>
      </c>
      <c r="M1644" s="4">
        <v>266</v>
      </c>
      <c r="N1644" s="4">
        <v>527</v>
      </c>
      <c r="O1644" s="5">
        <f t="shared" si="25"/>
        <v>8.2071858471639614E-2</v>
      </c>
      <c r="P1644" s="2" t="s">
        <v>22</v>
      </c>
    </row>
    <row r="1645" spans="1:16" x14ac:dyDescent="0.25">
      <c r="A1645" s="6" t="s">
        <v>3359</v>
      </c>
      <c r="B1645" s="6" t="s">
        <v>3360</v>
      </c>
      <c r="C1645" s="6" t="s">
        <v>32</v>
      </c>
      <c r="D1645" s="7" t="s">
        <v>38</v>
      </c>
      <c r="E1645" s="7" t="s">
        <v>50</v>
      </c>
      <c r="F1645" s="6" t="s">
        <v>51</v>
      </c>
      <c r="G1645" s="8">
        <v>505428</v>
      </c>
      <c r="H1645" s="8">
        <v>251914</v>
      </c>
      <c r="I1645" s="8">
        <v>194376</v>
      </c>
      <c r="J1645" s="8">
        <v>13726</v>
      </c>
      <c r="K1645" s="8">
        <v>1100</v>
      </c>
      <c r="L1645" s="8">
        <v>416</v>
      </c>
      <c r="M1645" s="8">
        <v>22</v>
      </c>
      <c r="N1645" s="8">
        <v>6067</v>
      </c>
      <c r="O1645" s="9">
        <f t="shared" si="25"/>
        <v>7.852821335967404E-2</v>
      </c>
      <c r="P1645" s="6" t="s">
        <v>22</v>
      </c>
    </row>
    <row r="1646" spans="1:16" x14ac:dyDescent="0.25">
      <c r="A1646" s="2" t="s">
        <v>3361</v>
      </c>
      <c r="B1646" s="2" t="s">
        <v>3362</v>
      </c>
      <c r="C1646" s="2" t="s">
        <v>18</v>
      </c>
      <c r="D1646" s="3" t="s">
        <v>92</v>
      </c>
      <c r="E1646" s="3" t="s">
        <v>45</v>
      </c>
      <c r="F1646" s="2" t="s">
        <v>21</v>
      </c>
      <c r="G1646" s="4">
        <v>529877</v>
      </c>
      <c r="H1646" s="4">
        <v>189945</v>
      </c>
      <c r="I1646" s="4">
        <v>162569</v>
      </c>
      <c r="J1646" s="4">
        <v>14800</v>
      </c>
      <c r="K1646" s="4">
        <v>637</v>
      </c>
      <c r="L1646" s="4">
        <v>1615</v>
      </c>
      <c r="M1646" s="4">
        <v>2829</v>
      </c>
      <c r="N1646" s="4">
        <v>2608</v>
      </c>
      <c r="O1646" s="5">
        <f t="shared" si="25"/>
        <v>0.12229268802785279</v>
      </c>
      <c r="P1646" s="2" t="s">
        <v>22</v>
      </c>
    </row>
    <row r="1647" spans="1:16" x14ac:dyDescent="0.25">
      <c r="A1647" s="6" t="s">
        <v>3363</v>
      </c>
      <c r="B1647" s="6" t="s">
        <v>3364</v>
      </c>
      <c r="C1647" s="6" t="s">
        <v>18</v>
      </c>
      <c r="D1647" s="7" t="s">
        <v>226</v>
      </c>
      <c r="E1647" s="7" t="s">
        <v>45</v>
      </c>
      <c r="F1647" s="6" t="s">
        <v>73</v>
      </c>
      <c r="G1647" s="8">
        <v>126039</v>
      </c>
      <c r="H1647" s="8">
        <v>54540</v>
      </c>
      <c r="I1647" s="8">
        <v>41263</v>
      </c>
      <c r="J1647" s="8">
        <v>1823</v>
      </c>
      <c r="K1647" s="8">
        <v>222</v>
      </c>
      <c r="L1647" s="8">
        <v>120</v>
      </c>
      <c r="M1647" s="8">
        <v>207</v>
      </c>
      <c r="N1647" s="8">
        <v>1528</v>
      </c>
      <c r="O1647" s="9">
        <f t="shared" si="25"/>
        <v>5.7484913845333593E-2</v>
      </c>
      <c r="P1647" s="6" t="s">
        <v>29</v>
      </c>
    </row>
    <row r="1648" spans="1:16" x14ac:dyDescent="0.25">
      <c r="A1648" s="2" t="s">
        <v>3365</v>
      </c>
      <c r="B1648" s="2" t="s">
        <v>3366</v>
      </c>
      <c r="C1648" s="2" t="s">
        <v>43</v>
      </c>
      <c r="D1648" s="3" t="s">
        <v>69</v>
      </c>
      <c r="E1648" s="3" t="s">
        <v>39</v>
      </c>
      <c r="F1648" s="2" t="s">
        <v>107</v>
      </c>
      <c r="G1648" s="4">
        <v>630441</v>
      </c>
      <c r="H1648" s="4">
        <v>386560</v>
      </c>
      <c r="I1648" s="4">
        <v>348280</v>
      </c>
      <c r="J1648" s="4">
        <v>8886</v>
      </c>
      <c r="K1648" s="4">
        <v>1540</v>
      </c>
      <c r="L1648" s="4">
        <v>583</v>
      </c>
      <c r="M1648" s="4">
        <v>32</v>
      </c>
      <c r="N1648" s="4">
        <v>11421</v>
      </c>
      <c r="O1648" s="5">
        <f t="shared" si="25"/>
        <v>3.1701504536579765E-2</v>
      </c>
      <c r="P1648" s="2" t="s">
        <v>22</v>
      </c>
    </row>
    <row r="1649" spans="1:16" x14ac:dyDescent="0.25">
      <c r="A1649" s="6" t="s">
        <v>3367</v>
      </c>
      <c r="B1649" s="6" t="s">
        <v>3368</v>
      </c>
      <c r="C1649" s="6" t="s">
        <v>76</v>
      </c>
      <c r="D1649" s="7" t="s">
        <v>77</v>
      </c>
      <c r="E1649" s="7" t="s">
        <v>45</v>
      </c>
      <c r="F1649" s="6" t="s">
        <v>78</v>
      </c>
      <c r="G1649" s="8">
        <v>606067</v>
      </c>
      <c r="H1649" s="8">
        <v>269337</v>
      </c>
      <c r="I1649" s="8">
        <v>243166</v>
      </c>
      <c r="J1649" s="8">
        <v>7723</v>
      </c>
      <c r="K1649" s="8">
        <v>839</v>
      </c>
      <c r="L1649" s="8">
        <v>916</v>
      </c>
      <c r="M1649" s="8">
        <v>1609</v>
      </c>
      <c r="N1649" s="8">
        <v>3083</v>
      </c>
      <c r="O1649" s="9">
        <f t="shared" si="25"/>
        <v>4.559436763363299E-2</v>
      </c>
      <c r="P1649" s="6" t="s">
        <v>29</v>
      </c>
    </row>
    <row r="1650" spans="1:16" x14ac:dyDescent="0.25">
      <c r="A1650" s="2" t="s">
        <v>3369</v>
      </c>
      <c r="B1650" s="2" t="s">
        <v>3370</v>
      </c>
      <c r="C1650" s="2" t="s">
        <v>32</v>
      </c>
      <c r="D1650" s="3" t="s">
        <v>33</v>
      </c>
      <c r="E1650" s="3" t="s">
        <v>34</v>
      </c>
      <c r="F1650" s="2" t="s">
        <v>40</v>
      </c>
      <c r="G1650" s="4">
        <v>459567</v>
      </c>
      <c r="H1650" s="4">
        <v>49683</v>
      </c>
      <c r="I1650" s="4">
        <v>43571</v>
      </c>
      <c r="J1650" s="4">
        <v>3599</v>
      </c>
      <c r="K1650" s="4">
        <v>632</v>
      </c>
      <c r="L1650" s="4">
        <v>200</v>
      </c>
      <c r="M1650" s="4">
        <v>50</v>
      </c>
      <c r="N1650" s="4">
        <v>552</v>
      </c>
      <c r="O1650" s="5">
        <f t="shared" si="25"/>
        <v>0.10284363452755273</v>
      </c>
      <c r="P1650" s="2" t="s">
        <v>66</v>
      </c>
    </row>
    <row r="1651" spans="1:16" x14ac:dyDescent="0.25">
      <c r="A1651" s="6" t="s">
        <v>3371</v>
      </c>
      <c r="B1651" s="6" t="s">
        <v>3372</v>
      </c>
      <c r="C1651" s="6" t="s">
        <v>18</v>
      </c>
      <c r="D1651" s="7" t="s">
        <v>19</v>
      </c>
      <c r="E1651" s="7" t="s">
        <v>39</v>
      </c>
      <c r="F1651" s="6" t="s">
        <v>73</v>
      </c>
      <c r="G1651" s="8">
        <v>256266</v>
      </c>
      <c r="H1651" s="8">
        <v>149211</v>
      </c>
      <c r="I1651" s="8">
        <v>117586</v>
      </c>
      <c r="J1651" s="8">
        <v>9670</v>
      </c>
      <c r="K1651" s="8">
        <v>441</v>
      </c>
      <c r="L1651" s="8">
        <v>628</v>
      </c>
      <c r="M1651" s="8">
        <v>988</v>
      </c>
      <c r="N1651" s="8">
        <v>2611</v>
      </c>
      <c r="O1651" s="9">
        <f t="shared" si="25"/>
        <v>9.9731260524212065E-2</v>
      </c>
      <c r="P1651" s="6" t="s">
        <v>22</v>
      </c>
    </row>
    <row r="1652" spans="1:16" x14ac:dyDescent="0.25">
      <c r="A1652" s="2" t="s">
        <v>3373</v>
      </c>
      <c r="B1652" s="2" t="s">
        <v>3374</v>
      </c>
      <c r="C1652" s="2" t="s">
        <v>32</v>
      </c>
      <c r="D1652" s="3" t="s">
        <v>175</v>
      </c>
      <c r="E1652" s="3" t="s">
        <v>27</v>
      </c>
      <c r="F1652" s="2" t="s">
        <v>35</v>
      </c>
      <c r="G1652" s="4">
        <v>510593</v>
      </c>
      <c r="H1652" s="4">
        <v>311918</v>
      </c>
      <c r="I1652" s="4">
        <v>286316</v>
      </c>
      <c r="J1652" s="4">
        <v>18084</v>
      </c>
      <c r="K1652" s="4">
        <v>916</v>
      </c>
      <c r="L1652" s="4">
        <v>681</v>
      </c>
      <c r="M1652" s="4">
        <v>40</v>
      </c>
      <c r="N1652" s="4">
        <v>4673</v>
      </c>
      <c r="O1652" s="5">
        <f t="shared" si="25"/>
        <v>6.8878442001145582E-2</v>
      </c>
      <c r="P1652" s="2" t="s">
        <v>22</v>
      </c>
    </row>
    <row r="1653" spans="1:16" x14ac:dyDescent="0.25">
      <c r="A1653" s="6" t="s">
        <v>3375</v>
      </c>
      <c r="B1653" s="6" t="s">
        <v>3376</v>
      </c>
      <c r="C1653" s="6" t="s">
        <v>76</v>
      </c>
      <c r="D1653" s="7" t="s">
        <v>77</v>
      </c>
      <c r="E1653" s="7" t="s">
        <v>27</v>
      </c>
      <c r="F1653" s="6" t="s">
        <v>155</v>
      </c>
      <c r="G1653" s="8">
        <v>747615</v>
      </c>
      <c r="H1653" s="8">
        <v>478052</v>
      </c>
      <c r="I1653" s="8">
        <v>381379</v>
      </c>
      <c r="J1653" s="8">
        <v>27532</v>
      </c>
      <c r="K1653" s="8">
        <v>3645</v>
      </c>
      <c r="L1653" s="8">
        <v>3424</v>
      </c>
      <c r="M1653" s="8">
        <v>3383</v>
      </c>
      <c r="N1653" s="8">
        <v>3000</v>
      </c>
      <c r="O1653" s="9">
        <f t="shared" si="25"/>
        <v>9.9596464409419508E-2</v>
      </c>
      <c r="P1653" s="6" t="s">
        <v>66</v>
      </c>
    </row>
    <row r="1654" spans="1:16" x14ac:dyDescent="0.25">
      <c r="A1654" s="2" t="s">
        <v>3377</v>
      </c>
      <c r="B1654" s="2" t="s">
        <v>3378</v>
      </c>
      <c r="C1654" s="2" t="s">
        <v>25</v>
      </c>
      <c r="D1654" s="3" t="s">
        <v>61</v>
      </c>
      <c r="E1654" s="3" t="s">
        <v>20</v>
      </c>
      <c r="F1654" s="2" t="s">
        <v>54</v>
      </c>
      <c r="G1654" s="4">
        <v>708797</v>
      </c>
      <c r="H1654" s="4">
        <v>194143</v>
      </c>
      <c r="I1654" s="4">
        <v>159349</v>
      </c>
      <c r="J1654" s="4">
        <v>4923</v>
      </c>
      <c r="K1654" s="4">
        <v>264</v>
      </c>
      <c r="L1654" s="4">
        <v>215</v>
      </c>
      <c r="M1654" s="4">
        <v>501</v>
      </c>
      <c r="N1654" s="4">
        <v>6459</v>
      </c>
      <c r="O1654" s="5">
        <f t="shared" si="25"/>
        <v>3.7044474706461918E-2</v>
      </c>
      <c r="P1654" s="2" t="s">
        <v>22</v>
      </c>
    </row>
    <row r="1655" spans="1:16" x14ac:dyDescent="0.25">
      <c r="A1655" s="6" t="s">
        <v>3379</v>
      </c>
      <c r="B1655" s="6" t="s">
        <v>3380</v>
      </c>
      <c r="C1655" s="6" t="s">
        <v>18</v>
      </c>
      <c r="D1655" s="7" t="s">
        <v>57</v>
      </c>
      <c r="E1655" s="7" t="s">
        <v>34</v>
      </c>
      <c r="F1655" s="6" t="s">
        <v>58</v>
      </c>
      <c r="G1655" s="8">
        <v>590938</v>
      </c>
      <c r="H1655" s="8">
        <v>327587</v>
      </c>
      <c r="I1655" s="8">
        <v>289138</v>
      </c>
      <c r="J1655" s="8">
        <v>8167</v>
      </c>
      <c r="K1655" s="8">
        <v>1202</v>
      </c>
      <c r="L1655" s="8">
        <v>760</v>
      </c>
      <c r="M1655" s="8">
        <v>1338</v>
      </c>
      <c r="N1655" s="8">
        <v>2621</v>
      </c>
      <c r="O1655" s="9">
        <f t="shared" si="25"/>
        <v>3.9659263050861523E-2</v>
      </c>
      <c r="P1655" s="6" t="s">
        <v>22</v>
      </c>
    </row>
    <row r="1656" spans="1:16" x14ac:dyDescent="0.25">
      <c r="A1656" s="2" t="s">
        <v>3381</v>
      </c>
      <c r="B1656" s="2" t="s">
        <v>3382</v>
      </c>
      <c r="C1656" s="2" t="s">
        <v>76</v>
      </c>
      <c r="D1656" s="3" t="s">
        <v>86</v>
      </c>
      <c r="E1656" s="3" t="s">
        <v>27</v>
      </c>
      <c r="F1656" s="2" t="s">
        <v>78</v>
      </c>
      <c r="G1656" s="4">
        <v>315956</v>
      </c>
      <c r="H1656" s="4">
        <v>80533</v>
      </c>
      <c r="I1656" s="4">
        <v>59300</v>
      </c>
      <c r="J1656" s="4">
        <v>2606</v>
      </c>
      <c r="K1656" s="4">
        <v>117</v>
      </c>
      <c r="L1656" s="4">
        <v>363</v>
      </c>
      <c r="M1656" s="4">
        <v>453</v>
      </c>
      <c r="N1656" s="4">
        <v>832</v>
      </c>
      <c r="O1656" s="5">
        <f t="shared" si="25"/>
        <v>5.9679595278246206E-2</v>
      </c>
      <c r="P1656" s="2" t="s">
        <v>29</v>
      </c>
    </row>
    <row r="1657" spans="1:16" x14ac:dyDescent="0.25">
      <c r="A1657" s="6" t="s">
        <v>3383</v>
      </c>
      <c r="B1657" s="6" t="s">
        <v>3384</v>
      </c>
      <c r="C1657" s="6" t="s">
        <v>18</v>
      </c>
      <c r="D1657" s="7" t="s">
        <v>92</v>
      </c>
      <c r="E1657" s="7" t="s">
        <v>39</v>
      </c>
      <c r="F1657" s="6" t="s">
        <v>58</v>
      </c>
      <c r="G1657" s="8">
        <v>463847</v>
      </c>
      <c r="H1657" s="8">
        <v>129778</v>
      </c>
      <c r="I1657" s="8">
        <v>99959</v>
      </c>
      <c r="J1657" s="8">
        <v>9587</v>
      </c>
      <c r="K1657" s="8">
        <v>979</v>
      </c>
      <c r="L1657" s="8">
        <v>642</v>
      </c>
      <c r="M1657" s="8">
        <v>1060</v>
      </c>
      <c r="N1657" s="8">
        <v>3034</v>
      </c>
      <c r="O1657" s="9">
        <f t="shared" si="25"/>
        <v>0.1227303194309667</v>
      </c>
      <c r="P1657" s="6" t="s">
        <v>29</v>
      </c>
    </row>
    <row r="1658" spans="1:16" x14ac:dyDescent="0.25">
      <c r="A1658" s="2" t="s">
        <v>3385</v>
      </c>
      <c r="B1658" s="2" t="s">
        <v>3386</v>
      </c>
      <c r="C1658" s="2" t="s">
        <v>18</v>
      </c>
      <c r="D1658" s="3" t="s">
        <v>19</v>
      </c>
      <c r="E1658" s="3" t="s">
        <v>39</v>
      </c>
      <c r="F1658" s="2" t="s">
        <v>73</v>
      </c>
      <c r="G1658" s="4">
        <v>496117</v>
      </c>
      <c r="H1658" s="4">
        <v>68490</v>
      </c>
      <c r="I1658" s="4">
        <v>60007</v>
      </c>
      <c r="J1658" s="4">
        <v>2087</v>
      </c>
      <c r="K1658" s="4">
        <v>106</v>
      </c>
      <c r="L1658" s="4">
        <v>42</v>
      </c>
      <c r="M1658" s="4">
        <v>347</v>
      </c>
      <c r="N1658" s="4">
        <v>1919</v>
      </c>
      <c r="O1658" s="5">
        <f t="shared" si="25"/>
        <v>4.3028313363440929E-2</v>
      </c>
      <c r="P1658" s="2" t="s">
        <v>29</v>
      </c>
    </row>
    <row r="1659" spans="1:16" x14ac:dyDescent="0.25">
      <c r="A1659" s="6" t="s">
        <v>3387</v>
      </c>
      <c r="B1659" s="6" t="s">
        <v>3388</v>
      </c>
      <c r="C1659" s="6" t="s">
        <v>25</v>
      </c>
      <c r="D1659" s="7" t="s">
        <v>244</v>
      </c>
      <c r="E1659" s="7" t="s">
        <v>34</v>
      </c>
      <c r="F1659" s="6" t="s">
        <v>28</v>
      </c>
      <c r="G1659" s="8">
        <v>223234</v>
      </c>
      <c r="H1659" s="8">
        <v>76875</v>
      </c>
      <c r="I1659" s="8">
        <v>70625</v>
      </c>
      <c r="J1659" s="8">
        <v>4600</v>
      </c>
      <c r="K1659" s="8">
        <v>213</v>
      </c>
      <c r="L1659" s="8">
        <v>659</v>
      </c>
      <c r="M1659" s="8">
        <v>821</v>
      </c>
      <c r="N1659" s="8">
        <v>1450</v>
      </c>
      <c r="O1659" s="9">
        <f t="shared" si="25"/>
        <v>8.9104424778761057E-2</v>
      </c>
      <c r="P1659" s="6" t="s">
        <v>29</v>
      </c>
    </row>
    <row r="1660" spans="1:16" x14ac:dyDescent="0.25">
      <c r="A1660" s="2" t="s">
        <v>3389</v>
      </c>
      <c r="B1660" s="2" t="s">
        <v>3390</v>
      </c>
      <c r="C1660" s="2" t="s">
        <v>25</v>
      </c>
      <c r="D1660" s="3" t="s">
        <v>145</v>
      </c>
      <c r="E1660" s="3" t="s">
        <v>45</v>
      </c>
      <c r="F1660" s="2" t="s">
        <v>28</v>
      </c>
      <c r="G1660" s="4">
        <v>730457</v>
      </c>
      <c r="H1660" s="4">
        <v>114017</v>
      </c>
      <c r="I1660" s="4">
        <v>103455</v>
      </c>
      <c r="J1660" s="4">
        <v>5483</v>
      </c>
      <c r="K1660" s="4">
        <v>576</v>
      </c>
      <c r="L1660" s="4">
        <v>395</v>
      </c>
      <c r="M1660" s="4">
        <v>388</v>
      </c>
      <c r="N1660" s="4">
        <v>1741</v>
      </c>
      <c r="O1660" s="5">
        <f t="shared" si="25"/>
        <v>6.6135034556087186E-2</v>
      </c>
      <c r="P1660" s="2" t="s">
        <v>29</v>
      </c>
    </row>
    <row r="1661" spans="1:16" x14ac:dyDescent="0.25">
      <c r="A1661" s="6" t="s">
        <v>3391</v>
      </c>
      <c r="B1661" s="6" t="s">
        <v>3392</v>
      </c>
      <c r="C1661" s="6" t="s">
        <v>76</v>
      </c>
      <c r="D1661" s="7" t="s">
        <v>182</v>
      </c>
      <c r="E1661" s="7" t="s">
        <v>27</v>
      </c>
      <c r="F1661" s="6" t="s">
        <v>78</v>
      </c>
      <c r="G1661" s="8">
        <v>682712</v>
      </c>
      <c r="H1661" s="8">
        <v>137892</v>
      </c>
      <c r="I1661" s="8">
        <v>106052</v>
      </c>
      <c r="J1661" s="8">
        <v>4725</v>
      </c>
      <c r="K1661" s="8">
        <v>244</v>
      </c>
      <c r="L1661" s="8">
        <v>319</v>
      </c>
      <c r="M1661" s="8">
        <v>588</v>
      </c>
      <c r="N1661" s="8">
        <v>2975</v>
      </c>
      <c r="O1661" s="9">
        <f t="shared" si="25"/>
        <v>5.5406781578848111E-2</v>
      </c>
      <c r="P1661" s="6" t="s">
        <v>29</v>
      </c>
    </row>
    <row r="1662" spans="1:16" x14ac:dyDescent="0.25">
      <c r="A1662" s="2" t="s">
        <v>3393</v>
      </c>
      <c r="B1662" s="2" t="s">
        <v>3394</v>
      </c>
      <c r="C1662" s="2" t="s">
        <v>18</v>
      </c>
      <c r="D1662" s="3" t="s">
        <v>57</v>
      </c>
      <c r="E1662" s="3" t="s">
        <v>45</v>
      </c>
      <c r="F1662" s="2" t="s">
        <v>73</v>
      </c>
      <c r="G1662" s="4">
        <v>318553</v>
      </c>
      <c r="H1662" s="4">
        <v>91237</v>
      </c>
      <c r="I1662" s="4">
        <v>65827</v>
      </c>
      <c r="J1662" s="4">
        <v>4062</v>
      </c>
      <c r="K1662" s="4">
        <v>148</v>
      </c>
      <c r="L1662" s="4">
        <v>497</v>
      </c>
      <c r="M1662" s="4">
        <v>942</v>
      </c>
      <c r="N1662" s="4">
        <v>2573</v>
      </c>
      <c r="O1662" s="5">
        <f t="shared" si="25"/>
        <v>8.5815850638795627E-2</v>
      </c>
      <c r="P1662" s="2" t="s">
        <v>22</v>
      </c>
    </row>
    <row r="1663" spans="1:16" x14ac:dyDescent="0.25">
      <c r="A1663" s="6" t="s">
        <v>3395</v>
      </c>
      <c r="B1663" s="6" t="s">
        <v>3396</v>
      </c>
      <c r="C1663" s="6" t="s">
        <v>32</v>
      </c>
      <c r="D1663" s="7" t="s">
        <v>49</v>
      </c>
      <c r="E1663" s="7" t="s">
        <v>20</v>
      </c>
      <c r="F1663" s="6" t="s">
        <v>51</v>
      </c>
      <c r="G1663" s="8">
        <v>780190</v>
      </c>
      <c r="H1663" s="8">
        <v>412444</v>
      </c>
      <c r="I1663" s="8">
        <v>316109</v>
      </c>
      <c r="J1663" s="8">
        <v>8295</v>
      </c>
      <c r="K1663" s="8">
        <v>271</v>
      </c>
      <c r="L1663" s="8">
        <v>275</v>
      </c>
      <c r="M1663" s="8">
        <v>25</v>
      </c>
      <c r="N1663" s="8">
        <v>12045</v>
      </c>
      <c r="O1663" s="9">
        <f t="shared" si="25"/>
        <v>2.8047287486278466E-2</v>
      </c>
      <c r="P1663" s="6" t="s">
        <v>66</v>
      </c>
    </row>
    <row r="1664" spans="1:16" x14ac:dyDescent="0.25">
      <c r="A1664" s="2" t="s">
        <v>3397</v>
      </c>
      <c r="B1664" s="2" t="s">
        <v>3398</v>
      </c>
      <c r="C1664" s="2" t="s">
        <v>18</v>
      </c>
      <c r="D1664" s="3" t="s">
        <v>57</v>
      </c>
      <c r="E1664" s="3" t="s">
        <v>45</v>
      </c>
      <c r="F1664" s="2" t="s">
        <v>73</v>
      </c>
      <c r="G1664" s="4">
        <v>515400</v>
      </c>
      <c r="H1664" s="4">
        <v>278204</v>
      </c>
      <c r="I1664" s="4">
        <v>209772</v>
      </c>
      <c r="J1664" s="4">
        <v>10418</v>
      </c>
      <c r="K1664" s="4">
        <v>1181</v>
      </c>
      <c r="L1664" s="4">
        <v>1174</v>
      </c>
      <c r="M1664" s="4">
        <v>1712</v>
      </c>
      <c r="N1664" s="4">
        <v>9692</v>
      </c>
      <c r="O1664" s="5">
        <f t="shared" si="25"/>
        <v>6.9051160307381343E-2</v>
      </c>
      <c r="P1664" s="2" t="s">
        <v>22</v>
      </c>
    </row>
    <row r="1665" spans="1:16" x14ac:dyDescent="0.25">
      <c r="A1665" s="6" t="s">
        <v>3399</v>
      </c>
      <c r="B1665" s="6" t="s">
        <v>3400</v>
      </c>
      <c r="C1665" s="6" t="s">
        <v>32</v>
      </c>
      <c r="D1665" s="7" t="s">
        <v>175</v>
      </c>
      <c r="E1665" s="7" t="s">
        <v>34</v>
      </c>
      <c r="F1665" s="6" t="s">
        <v>35</v>
      </c>
      <c r="G1665" s="8">
        <v>29132</v>
      </c>
      <c r="H1665" s="8">
        <v>16023</v>
      </c>
      <c r="I1665" s="8">
        <v>11284</v>
      </c>
      <c r="J1665" s="8">
        <v>762</v>
      </c>
      <c r="K1665" s="8">
        <v>93</v>
      </c>
      <c r="L1665" s="8">
        <v>18</v>
      </c>
      <c r="M1665" s="8">
        <v>2</v>
      </c>
      <c r="N1665" s="8">
        <v>444</v>
      </c>
      <c r="O1665" s="9">
        <f t="shared" si="25"/>
        <v>7.7543424317617862E-2</v>
      </c>
      <c r="P1665" s="6" t="s">
        <v>22</v>
      </c>
    </row>
    <row r="1666" spans="1:16" x14ac:dyDescent="0.25">
      <c r="A1666" s="2" t="s">
        <v>3401</v>
      </c>
      <c r="B1666" s="2" t="s">
        <v>3402</v>
      </c>
      <c r="C1666" s="2" t="s">
        <v>18</v>
      </c>
      <c r="D1666" s="3" t="s">
        <v>92</v>
      </c>
      <c r="E1666" s="3" t="s">
        <v>34</v>
      </c>
      <c r="F1666" s="2" t="s">
        <v>58</v>
      </c>
      <c r="G1666" s="4">
        <v>571872</v>
      </c>
      <c r="H1666" s="4">
        <v>240476</v>
      </c>
      <c r="I1666" s="4">
        <v>184871</v>
      </c>
      <c r="J1666" s="4">
        <v>14619</v>
      </c>
      <c r="K1666" s="4">
        <v>1311</v>
      </c>
      <c r="L1666" s="4">
        <v>1629</v>
      </c>
      <c r="M1666" s="4">
        <v>1052</v>
      </c>
      <c r="N1666" s="4">
        <v>6960</v>
      </c>
      <c r="O1666" s="5">
        <f t="shared" ref="O1666:O1729" si="26">IF(I1666&gt;0, (J1666+K1666+L1666+M1666)/I1666, 0)</f>
        <v>0.10067019705632577</v>
      </c>
      <c r="P1666" s="2" t="s">
        <v>22</v>
      </c>
    </row>
    <row r="1667" spans="1:16" x14ac:dyDescent="0.25">
      <c r="A1667" s="6" t="s">
        <v>3403</v>
      </c>
      <c r="B1667" s="6" t="s">
        <v>3404</v>
      </c>
      <c r="C1667" s="6" t="s">
        <v>43</v>
      </c>
      <c r="D1667" s="7" t="s">
        <v>69</v>
      </c>
      <c r="E1667" s="7" t="s">
        <v>39</v>
      </c>
      <c r="F1667" s="6" t="s">
        <v>46</v>
      </c>
      <c r="G1667" s="8">
        <v>712234</v>
      </c>
      <c r="H1667" s="8">
        <v>462227</v>
      </c>
      <c r="I1667" s="8">
        <v>367126</v>
      </c>
      <c r="J1667" s="8">
        <v>36974</v>
      </c>
      <c r="K1667" s="8">
        <v>3150</v>
      </c>
      <c r="L1667" s="8">
        <v>3978</v>
      </c>
      <c r="M1667" s="8">
        <v>22</v>
      </c>
      <c r="N1667" s="8">
        <v>12062</v>
      </c>
      <c r="O1667" s="9">
        <f t="shared" si="26"/>
        <v>0.12018761950937826</v>
      </c>
      <c r="P1667" s="6" t="s">
        <v>22</v>
      </c>
    </row>
    <row r="1668" spans="1:16" x14ac:dyDescent="0.25">
      <c r="A1668" s="2" t="s">
        <v>3405</v>
      </c>
      <c r="B1668" s="2" t="s">
        <v>3406</v>
      </c>
      <c r="C1668" s="2" t="s">
        <v>25</v>
      </c>
      <c r="D1668" s="3" t="s">
        <v>64</v>
      </c>
      <c r="E1668" s="3" t="s">
        <v>27</v>
      </c>
      <c r="F1668" s="2" t="s">
        <v>146</v>
      </c>
      <c r="G1668" s="4">
        <v>285710</v>
      </c>
      <c r="H1668" s="4">
        <v>180343</v>
      </c>
      <c r="I1668" s="4">
        <v>158014</v>
      </c>
      <c r="J1668" s="4">
        <v>12482</v>
      </c>
      <c r="K1668" s="4">
        <v>1784</v>
      </c>
      <c r="L1668" s="4">
        <v>1242</v>
      </c>
      <c r="M1668" s="4">
        <v>809</v>
      </c>
      <c r="N1668" s="4">
        <v>1927</v>
      </c>
      <c r="O1668" s="5">
        <f t="shared" si="26"/>
        <v>0.10326300201247991</v>
      </c>
      <c r="P1668" s="2" t="s">
        <v>29</v>
      </c>
    </row>
    <row r="1669" spans="1:16" x14ac:dyDescent="0.25">
      <c r="A1669" s="6" t="s">
        <v>3407</v>
      </c>
      <c r="B1669" s="6" t="s">
        <v>3408</v>
      </c>
      <c r="C1669" s="6" t="s">
        <v>18</v>
      </c>
      <c r="D1669" s="7" t="s">
        <v>92</v>
      </c>
      <c r="E1669" s="7" t="s">
        <v>20</v>
      </c>
      <c r="F1669" s="6" t="s">
        <v>58</v>
      </c>
      <c r="G1669" s="8">
        <v>427371</v>
      </c>
      <c r="H1669" s="8">
        <v>259005</v>
      </c>
      <c r="I1669" s="8">
        <v>208642</v>
      </c>
      <c r="J1669" s="8">
        <v>17175</v>
      </c>
      <c r="K1669" s="8">
        <v>1977</v>
      </c>
      <c r="L1669" s="8">
        <v>1329</v>
      </c>
      <c r="M1669" s="8">
        <v>3676</v>
      </c>
      <c r="N1669" s="8">
        <v>1781</v>
      </c>
      <c r="O1669" s="9">
        <f t="shared" si="26"/>
        <v>0.11578205730389854</v>
      </c>
      <c r="P1669" s="6" t="s">
        <v>29</v>
      </c>
    </row>
    <row r="1670" spans="1:16" x14ac:dyDescent="0.25">
      <c r="A1670" s="2" t="s">
        <v>3409</v>
      </c>
      <c r="B1670" s="2" t="s">
        <v>3410</v>
      </c>
      <c r="C1670" s="2" t="s">
        <v>76</v>
      </c>
      <c r="D1670" s="3" t="s">
        <v>77</v>
      </c>
      <c r="E1670" s="3" t="s">
        <v>39</v>
      </c>
      <c r="F1670" s="2" t="s">
        <v>155</v>
      </c>
      <c r="G1670" s="4">
        <v>846176</v>
      </c>
      <c r="H1670" s="4">
        <v>371020</v>
      </c>
      <c r="I1670" s="4">
        <v>305482</v>
      </c>
      <c r="J1670" s="4">
        <v>10834</v>
      </c>
      <c r="K1670" s="4">
        <v>1664</v>
      </c>
      <c r="L1670" s="4">
        <v>940</v>
      </c>
      <c r="M1670" s="4">
        <v>2652</v>
      </c>
      <c r="N1670" s="4">
        <v>5669</v>
      </c>
      <c r="O1670" s="5">
        <f t="shared" si="26"/>
        <v>5.2670861130934062E-2</v>
      </c>
      <c r="P1670" s="2" t="s">
        <v>66</v>
      </c>
    </row>
    <row r="1671" spans="1:16" x14ac:dyDescent="0.25">
      <c r="A1671" s="6" t="s">
        <v>3411</v>
      </c>
      <c r="B1671" s="6" t="s">
        <v>3412</v>
      </c>
      <c r="C1671" s="6" t="s">
        <v>32</v>
      </c>
      <c r="D1671" s="7" t="s">
        <v>33</v>
      </c>
      <c r="E1671" s="7" t="s">
        <v>50</v>
      </c>
      <c r="F1671" s="6" t="s">
        <v>128</v>
      </c>
      <c r="G1671" s="8">
        <v>150863</v>
      </c>
      <c r="H1671" s="8">
        <v>86364</v>
      </c>
      <c r="I1671" s="8">
        <v>67871</v>
      </c>
      <c r="J1671" s="8">
        <v>6592</v>
      </c>
      <c r="K1671" s="8">
        <v>300</v>
      </c>
      <c r="L1671" s="8">
        <v>826</v>
      </c>
      <c r="M1671" s="8">
        <v>43</v>
      </c>
      <c r="N1671" s="8">
        <v>764</v>
      </c>
      <c r="O1671" s="9">
        <f t="shared" si="26"/>
        <v>0.11434928025224322</v>
      </c>
      <c r="P1671" s="6" t="s">
        <v>22</v>
      </c>
    </row>
    <row r="1672" spans="1:16" x14ac:dyDescent="0.25">
      <c r="A1672" s="2" t="s">
        <v>3413</v>
      </c>
      <c r="B1672" s="2" t="s">
        <v>3414</v>
      </c>
      <c r="C1672" s="2" t="s">
        <v>25</v>
      </c>
      <c r="D1672" s="3" t="s">
        <v>244</v>
      </c>
      <c r="E1672" s="3" t="s">
        <v>20</v>
      </c>
      <c r="F1672" s="2" t="s">
        <v>65</v>
      </c>
      <c r="G1672" s="4">
        <v>89121</v>
      </c>
      <c r="H1672" s="4">
        <v>36876</v>
      </c>
      <c r="I1672" s="4">
        <v>31020</v>
      </c>
      <c r="J1672" s="4">
        <v>1993</v>
      </c>
      <c r="K1672" s="4">
        <v>352</v>
      </c>
      <c r="L1672" s="4">
        <v>258</v>
      </c>
      <c r="M1672" s="4">
        <v>422</v>
      </c>
      <c r="N1672" s="4">
        <v>1141</v>
      </c>
      <c r="O1672" s="5">
        <f t="shared" si="26"/>
        <v>9.7517730496453903E-2</v>
      </c>
      <c r="P1672" s="2" t="s">
        <v>22</v>
      </c>
    </row>
    <row r="1673" spans="1:16" x14ac:dyDescent="0.25">
      <c r="A1673" s="6" t="s">
        <v>3415</v>
      </c>
      <c r="B1673" s="6" t="s">
        <v>3416</v>
      </c>
      <c r="C1673" s="6" t="s">
        <v>18</v>
      </c>
      <c r="D1673" s="7" t="s">
        <v>57</v>
      </c>
      <c r="E1673" s="7" t="s">
        <v>50</v>
      </c>
      <c r="F1673" s="6" t="s">
        <v>73</v>
      </c>
      <c r="G1673" s="8">
        <v>227702</v>
      </c>
      <c r="H1673" s="8">
        <v>107309</v>
      </c>
      <c r="I1673" s="8">
        <v>81730</v>
      </c>
      <c r="J1673" s="8">
        <v>8098</v>
      </c>
      <c r="K1673" s="8">
        <v>375</v>
      </c>
      <c r="L1673" s="8">
        <v>264</v>
      </c>
      <c r="M1673" s="8">
        <v>1655</v>
      </c>
      <c r="N1673" s="8">
        <v>2250</v>
      </c>
      <c r="O1673" s="9">
        <f t="shared" si="26"/>
        <v>0.12715037317998287</v>
      </c>
      <c r="P1673" s="6" t="s">
        <v>29</v>
      </c>
    </row>
    <row r="1674" spans="1:16" x14ac:dyDescent="0.25">
      <c r="A1674" s="2" t="s">
        <v>3417</v>
      </c>
      <c r="B1674" s="2" t="s">
        <v>3418</v>
      </c>
      <c r="C1674" s="2" t="s">
        <v>32</v>
      </c>
      <c r="D1674" s="3" t="s">
        <v>121</v>
      </c>
      <c r="E1674" s="3" t="s">
        <v>20</v>
      </c>
      <c r="F1674" s="2" t="s">
        <v>128</v>
      </c>
      <c r="G1674" s="4">
        <v>723028</v>
      </c>
      <c r="H1674" s="4">
        <v>81720</v>
      </c>
      <c r="I1674" s="4">
        <v>72045</v>
      </c>
      <c r="J1674" s="4">
        <v>4789</v>
      </c>
      <c r="K1674" s="4">
        <v>215</v>
      </c>
      <c r="L1674" s="4">
        <v>465</v>
      </c>
      <c r="M1674" s="4">
        <v>28</v>
      </c>
      <c r="N1674" s="4">
        <v>2461</v>
      </c>
      <c r="O1674" s="5">
        <f t="shared" si="26"/>
        <v>7.6299535012839204E-2</v>
      </c>
      <c r="P1674" s="2" t="s">
        <v>29</v>
      </c>
    </row>
    <row r="1675" spans="1:16" x14ac:dyDescent="0.25">
      <c r="A1675" s="6" t="s">
        <v>3419</v>
      </c>
      <c r="B1675" s="6" t="s">
        <v>3420</v>
      </c>
      <c r="C1675" s="6" t="s">
        <v>43</v>
      </c>
      <c r="D1675" s="7" t="s">
        <v>110</v>
      </c>
      <c r="E1675" s="7" t="s">
        <v>39</v>
      </c>
      <c r="F1675" s="6" t="s">
        <v>70</v>
      </c>
      <c r="G1675" s="8">
        <v>275308</v>
      </c>
      <c r="H1675" s="8">
        <v>43143</v>
      </c>
      <c r="I1675" s="8">
        <v>39180</v>
      </c>
      <c r="J1675" s="8">
        <v>1538</v>
      </c>
      <c r="K1675" s="8">
        <v>166</v>
      </c>
      <c r="L1675" s="8">
        <v>70</v>
      </c>
      <c r="M1675" s="8">
        <v>20</v>
      </c>
      <c r="N1675" s="8">
        <v>561</v>
      </c>
      <c r="O1675" s="9">
        <f t="shared" si="26"/>
        <v>4.5788667687595715E-2</v>
      </c>
      <c r="P1675" s="6" t="s">
        <v>22</v>
      </c>
    </row>
    <row r="1676" spans="1:16" x14ac:dyDescent="0.25">
      <c r="A1676" s="2" t="s">
        <v>3421</v>
      </c>
      <c r="B1676" s="2" t="s">
        <v>3422</v>
      </c>
      <c r="C1676" s="2" t="s">
        <v>25</v>
      </c>
      <c r="D1676" s="3" t="s">
        <v>61</v>
      </c>
      <c r="E1676" s="3" t="s">
        <v>20</v>
      </c>
      <c r="F1676" s="2" t="s">
        <v>65</v>
      </c>
      <c r="G1676" s="4">
        <v>14472</v>
      </c>
      <c r="H1676" s="4">
        <v>5349</v>
      </c>
      <c r="I1676" s="4">
        <v>4209</v>
      </c>
      <c r="J1676" s="4">
        <v>200</v>
      </c>
      <c r="K1676" s="4">
        <v>33</v>
      </c>
      <c r="L1676" s="4">
        <v>5</v>
      </c>
      <c r="M1676" s="4">
        <v>32</v>
      </c>
      <c r="N1676" s="4">
        <v>185</v>
      </c>
      <c r="O1676" s="5">
        <f t="shared" si="26"/>
        <v>6.4148253741981465E-2</v>
      </c>
      <c r="P1676" s="2" t="s">
        <v>29</v>
      </c>
    </row>
    <row r="1677" spans="1:16" x14ac:dyDescent="0.25">
      <c r="A1677" s="6" t="s">
        <v>3423</v>
      </c>
      <c r="B1677" s="6" t="s">
        <v>3424</v>
      </c>
      <c r="C1677" s="6" t="s">
        <v>25</v>
      </c>
      <c r="D1677" s="7" t="s">
        <v>26</v>
      </c>
      <c r="E1677" s="7" t="s">
        <v>39</v>
      </c>
      <c r="F1677" s="6" t="s">
        <v>146</v>
      </c>
      <c r="G1677" s="8">
        <v>778931</v>
      </c>
      <c r="H1677" s="8">
        <v>63461</v>
      </c>
      <c r="I1677" s="8">
        <v>53556</v>
      </c>
      <c r="J1677" s="8">
        <v>3892</v>
      </c>
      <c r="K1677" s="8">
        <v>155</v>
      </c>
      <c r="L1677" s="8">
        <v>288</v>
      </c>
      <c r="M1677" s="8">
        <v>940</v>
      </c>
      <c r="N1677" s="8">
        <v>1267</v>
      </c>
      <c r="O1677" s="9">
        <f t="shared" si="26"/>
        <v>9.8495033236238705E-2</v>
      </c>
      <c r="P1677" s="6" t="s">
        <v>22</v>
      </c>
    </row>
    <row r="1678" spans="1:16" x14ac:dyDescent="0.25">
      <c r="A1678" s="2" t="s">
        <v>3425</v>
      </c>
      <c r="B1678" s="2" t="s">
        <v>3426</v>
      </c>
      <c r="C1678" s="2" t="s">
        <v>32</v>
      </c>
      <c r="D1678" s="3" t="s">
        <v>33</v>
      </c>
      <c r="E1678" s="3" t="s">
        <v>34</v>
      </c>
      <c r="F1678" s="2" t="s">
        <v>40</v>
      </c>
      <c r="G1678" s="4">
        <v>110480</v>
      </c>
      <c r="H1678" s="4">
        <v>60094</v>
      </c>
      <c r="I1678" s="4">
        <v>42656</v>
      </c>
      <c r="J1678" s="4">
        <v>4396</v>
      </c>
      <c r="K1678" s="4">
        <v>574</v>
      </c>
      <c r="L1678" s="4">
        <v>309</v>
      </c>
      <c r="M1678" s="4">
        <v>19</v>
      </c>
      <c r="N1678" s="4">
        <v>1480</v>
      </c>
      <c r="O1678" s="5">
        <f t="shared" si="26"/>
        <v>0.12420292573143286</v>
      </c>
      <c r="P1678" s="2" t="s">
        <v>29</v>
      </c>
    </row>
    <row r="1679" spans="1:16" x14ac:dyDescent="0.25">
      <c r="A1679" s="6" t="s">
        <v>3427</v>
      </c>
      <c r="B1679" s="6" t="s">
        <v>3428</v>
      </c>
      <c r="C1679" s="6" t="s">
        <v>18</v>
      </c>
      <c r="D1679" s="7" t="s">
        <v>226</v>
      </c>
      <c r="E1679" s="7" t="s">
        <v>27</v>
      </c>
      <c r="F1679" s="6" t="s">
        <v>73</v>
      </c>
      <c r="G1679" s="8">
        <v>89861</v>
      </c>
      <c r="H1679" s="8">
        <v>23728</v>
      </c>
      <c r="I1679" s="8">
        <v>20538</v>
      </c>
      <c r="J1679" s="8">
        <v>1341</v>
      </c>
      <c r="K1679" s="8">
        <v>44</v>
      </c>
      <c r="L1679" s="8">
        <v>163</v>
      </c>
      <c r="M1679" s="8">
        <v>134</v>
      </c>
      <c r="N1679" s="8">
        <v>686</v>
      </c>
      <c r="O1679" s="9">
        <f t="shared" si="26"/>
        <v>8.1896971467523616E-2</v>
      </c>
      <c r="P1679" s="6" t="s">
        <v>22</v>
      </c>
    </row>
    <row r="1680" spans="1:16" x14ac:dyDescent="0.25">
      <c r="A1680" s="2" t="s">
        <v>3429</v>
      </c>
      <c r="B1680" s="2" t="s">
        <v>3430</v>
      </c>
      <c r="C1680" s="2" t="s">
        <v>32</v>
      </c>
      <c r="D1680" s="3" t="s">
        <v>175</v>
      </c>
      <c r="E1680" s="3" t="s">
        <v>20</v>
      </c>
      <c r="F1680" s="2" t="s">
        <v>40</v>
      </c>
      <c r="G1680" s="4">
        <v>139536</v>
      </c>
      <c r="H1680" s="4">
        <v>63815</v>
      </c>
      <c r="I1680" s="4">
        <v>54570</v>
      </c>
      <c r="J1680" s="4">
        <v>3559</v>
      </c>
      <c r="K1680" s="4">
        <v>471</v>
      </c>
      <c r="L1680" s="4">
        <v>128</v>
      </c>
      <c r="M1680" s="4">
        <v>4</v>
      </c>
      <c r="N1680" s="4">
        <v>1730</v>
      </c>
      <c r="O1680" s="5">
        <f t="shared" si="26"/>
        <v>7.6269012277808315E-2</v>
      </c>
      <c r="P1680" s="2" t="s">
        <v>22</v>
      </c>
    </row>
    <row r="1681" spans="1:16" x14ac:dyDescent="0.25">
      <c r="A1681" s="6" t="s">
        <v>3431</v>
      </c>
      <c r="B1681" s="6" t="s">
        <v>3432</v>
      </c>
      <c r="C1681" s="6" t="s">
        <v>43</v>
      </c>
      <c r="D1681" s="7" t="s">
        <v>44</v>
      </c>
      <c r="E1681" s="7" t="s">
        <v>27</v>
      </c>
      <c r="F1681" s="6" t="s">
        <v>46</v>
      </c>
      <c r="G1681" s="8">
        <v>489612</v>
      </c>
      <c r="H1681" s="8">
        <v>168207</v>
      </c>
      <c r="I1681" s="8">
        <v>122106</v>
      </c>
      <c r="J1681" s="8">
        <v>6715</v>
      </c>
      <c r="K1681" s="8">
        <v>449</v>
      </c>
      <c r="L1681" s="8">
        <v>656</v>
      </c>
      <c r="M1681" s="8">
        <v>40</v>
      </c>
      <c r="N1681" s="8">
        <v>5389</v>
      </c>
      <c r="O1681" s="9">
        <f t="shared" si="26"/>
        <v>6.4370301213699577E-2</v>
      </c>
      <c r="P1681" s="6" t="s">
        <v>29</v>
      </c>
    </row>
    <row r="1682" spans="1:16" x14ac:dyDescent="0.25">
      <c r="A1682" s="2" t="s">
        <v>3433</v>
      </c>
      <c r="B1682" s="2" t="s">
        <v>3434</v>
      </c>
      <c r="C1682" s="2" t="s">
        <v>76</v>
      </c>
      <c r="D1682" s="3" t="s">
        <v>86</v>
      </c>
      <c r="E1682" s="3" t="s">
        <v>20</v>
      </c>
      <c r="F1682" s="2" t="s">
        <v>87</v>
      </c>
      <c r="G1682" s="4">
        <v>446512</v>
      </c>
      <c r="H1682" s="4">
        <v>272219</v>
      </c>
      <c r="I1682" s="4">
        <v>223515</v>
      </c>
      <c r="J1682" s="4">
        <v>13775</v>
      </c>
      <c r="K1682" s="4">
        <v>1171</v>
      </c>
      <c r="L1682" s="4">
        <v>770</v>
      </c>
      <c r="M1682" s="4">
        <v>717</v>
      </c>
      <c r="N1682" s="4">
        <v>8423</v>
      </c>
      <c r="O1682" s="5">
        <f t="shared" si="26"/>
        <v>7.3520792787956063E-2</v>
      </c>
      <c r="P1682" s="2" t="s">
        <v>66</v>
      </c>
    </row>
    <row r="1683" spans="1:16" x14ac:dyDescent="0.25">
      <c r="A1683" s="6" t="s">
        <v>3435</v>
      </c>
      <c r="B1683" s="6" t="s">
        <v>3436</v>
      </c>
      <c r="C1683" s="6" t="s">
        <v>43</v>
      </c>
      <c r="D1683" s="7" t="s">
        <v>44</v>
      </c>
      <c r="E1683" s="7" t="s">
        <v>27</v>
      </c>
      <c r="F1683" s="6" t="s">
        <v>46</v>
      </c>
      <c r="G1683" s="8">
        <v>203956</v>
      </c>
      <c r="H1683" s="8">
        <v>88575</v>
      </c>
      <c r="I1683" s="8">
        <v>62085</v>
      </c>
      <c r="J1683" s="8">
        <v>3695</v>
      </c>
      <c r="K1683" s="8">
        <v>243</v>
      </c>
      <c r="L1683" s="8">
        <v>459</v>
      </c>
      <c r="M1683" s="8">
        <v>5</v>
      </c>
      <c r="N1683" s="8">
        <v>1718</v>
      </c>
      <c r="O1683" s="9">
        <f t="shared" si="26"/>
        <v>7.0902794555850857E-2</v>
      </c>
      <c r="P1683" s="6" t="s">
        <v>22</v>
      </c>
    </row>
    <row r="1684" spans="1:16" x14ac:dyDescent="0.25">
      <c r="A1684" s="2" t="s">
        <v>3437</v>
      </c>
      <c r="B1684" s="2" t="s">
        <v>3438</v>
      </c>
      <c r="C1684" s="2" t="s">
        <v>18</v>
      </c>
      <c r="D1684" s="3" t="s">
        <v>226</v>
      </c>
      <c r="E1684" s="3" t="s">
        <v>34</v>
      </c>
      <c r="F1684" s="2" t="s">
        <v>21</v>
      </c>
      <c r="G1684" s="4">
        <v>772579</v>
      </c>
      <c r="H1684" s="4">
        <v>82541</v>
      </c>
      <c r="I1684" s="4">
        <v>71673</v>
      </c>
      <c r="J1684" s="4">
        <v>2396</v>
      </c>
      <c r="K1684" s="4">
        <v>267</v>
      </c>
      <c r="L1684" s="4">
        <v>106</v>
      </c>
      <c r="M1684" s="4">
        <v>393</v>
      </c>
      <c r="N1684" s="4">
        <v>1323</v>
      </c>
      <c r="O1684" s="5">
        <f t="shared" si="26"/>
        <v>4.411703151814491E-2</v>
      </c>
      <c r="P1684" s="2" t="s">
        <v>66</v>
      </c>
    </row>
    <row r="1685" spans="1:16" x14ac:dyDescent="0.25">
      <c r="A1685" s="6" t="s">
        <v>3439</v>
      </c>
      <c r="B1685" s="6" t="s">
        <v>3440</v>
      </c>
      <c r="C1685" s="6" t="s">
        <v>43</v>
      </c>
      <c r="D1685" s="7" t="s">
        <v>81</v>
      </c>
      <c r="E1685" s="7" t="s">
        <v>20</v>
      </c>
      <c r="F1685" s="6" t="s">
        <v>46</v>
      </c>
      <c r="G1685" s="8">
        <v>849776</v>
      </c>
      <c r="H1685" s="8">
        <v>360009</v>
      </c>
      <c r="I1685" s="8">
        <v>291035</v>
      </c>
      <c r="J1685" s="8">
        <v>17848</v>
      </c>
      <c r="K1685" s="8">
        <v>2829</v>
      </c>
      <c r="L1685" s="8">
        <v>1979</v>
      </c>
      <c r="M1685" s="8">
        <v>12</v>
      </c>
      <c r="N1685" s="8">
        <v>2152</v>
      </c>
      <c r="O1685" s="9">
        <f t="shared" si="26"/>
        <v>7.7887539299396985E-2</v>
      </c>
      <c r="P1685" s="6" t="s">
        <v>22</v>
      </c>
    </row>
    <row r="1686" spans="1:16" x14ac:dyDescent="0.25">
      <c r="A1686" s="2" t="s">
        <v>3441</v>
      </c>
      <c r="B1686" s="2" t="s">
        <v>3442</v>
      </c>
      <c r="C1686" s="2" t="s">
        <v>18</v>
      </c>
      <c r="D1686" s="3" t="s">
        <v>226</v>
      </c>
      <c r="E1686" s="3" t="s">
        <v>20</v>
      </c>
      <c r="F1686" s="2" t="s">
        <v>58</v>
      </c>
      <c r="G1686" s="4">
        <v>735084</v>
      </c>
      <c r="H1686" s="4">
        <v>197059</v>
      </c>
      <c r="I1686" s="4">
        <v>148925</v>
      </c>
      <c r="J1686" s="4">
        <v>13508</v>
      </c>
      <c r="K1686" s="4">
        <v>1946</v>
      </c>
      <c r="L1686" s="4">
        <v>1378</v>
      </c>
      <c r="M1686" s="4">
        <v>2270</v>
      </c>
      <c r="N1686" s="4">
        <v>2219</v>
      </c>
      <c r="O1686" s="5">
        <f t="shared" si="26"/>
        <v>0.12826590565720999</v>
      </c>
      <c r="P1686" s="2" t="s">
        <v>22</v>
      </c>
    </row>
    <row r="1687" spans="1:16" x14ac:dyDescent="0.25">
      <c r="A1687" s="6" t="s">
        <v>3443</v>
      </c>
      <c r="B1687" s="6" t="s">
        <v>3444</v>
      </c>
      <c r="C1687" s="6" t="s">
        <v>43</v>
      </c>
      <c r="D1687" s="7" t="s">
        <v>69</v>
      </c>
      <c r="E1687" s="7" t="s">
        <v>39</v>
      </c>
      <c r="F1687" s="6" t="s">
        <v>46</v>
      </c>
      <c r="G1687" s="8">
        <v>489865</v>
      </c>
      <c r="H1687" s="8">
        <v>160814</v>
      </c>
      <c r="I1687" s="8">
        <v>112902</v>
      </c>
      <c r="J1687" s="8">
        <v>5916</v>
      </c>
      <c r="K1687" s="8">
        <v>452</v>
      </c>
      <c r="L1687" s="8">
        <v>842</v>
      </c>
      <c r="M1687" s="8">
        <v>41</v>
      </c>
      <c r="N1687" s="8">
        <v>4870</v>
      </c>
      <c r="O1687" s="9">
        <f t="shared" si="26"/>
        <v>6.422384014455014E-2</v>
      </c>
      <c r="P1687" s="6" t="s">
        <v>66</v>
      </c>
    </row>
    <row r="1688" spans="1:16" x14ac:dyDescent="0.25">
      <c r="A1688" s="2" t="s">
        <v>3445</v>
      </c>
      <c r="B1688" s="2" t="s">
        <v>3446</v>
      </c>
      <c r="C1688" s="2" t="s">
        <v>25</v>
      </c>
      <c r="D1688" s="3" t="s">
        <v>145</v>
      </c>
      <c r="E1688" s="3" t="s">
        <v>45</v>
      </c>
      <c r="F1688" s="2" t="s">
        <v>65</v>
      </c>
      <c r="G1688" s="4">
        <v>799736</v>
      </c>
      <c r="H1688" s="4">
        <v>167751</v>
      </c>
      <c r="I1688" s="4">
        <v>127175</v>
      </c>
      <c r="J1688" s="4">
        <v>11318</v>
      </c>
      <c r="K1688" s="4">
        <v>1610</v>
      </c>
      <c r="L1688" s="4">
        <v>1289</v>
      </c>
      <c r="M1688" s="4">
        <v>1587</v>
      </c>
      <c r="N1688" s="4">
        <v>5430</v>
      </c>
      <c r="O1688" s="5">
        <f t="shared" si="26"/>
        <v>0.12426970709652055</v>
      </c>
      <c r="P1688" s="2" t="s">
        <v>66</v>
      </c>
    </row>
    <row r="1689" spans="1:16" x14ac:dyDescent="0.25">
      <c r="A1689" s="6" t="s">
        <v>3447</v>
      </c>
      <c r="B1689" s="6" t="s">
        <v>3448</v>
      </c>
      <c r="C1689" s="6" t="s">
        <v>76</v>
      </c>
      <c r="D1689" s="7" t="s">
        <v>77</v>
      </c>
      <c r="E1689" s="7" t="s">
        <v>50</v>
      </c>
      <c r="F1689" s="6" t="s">
        <v>78</v>
      </c>
      <c r="G1689" s="8">
        <v>561736</v>
      </c>
      <c r="H1689" s="8">
        <v>232777</v>
      </c>
      <c r="I1689" s="8">
        <v>207663</v>
      </c>
      <c r="J1689" s="8">
        <v>10783</v>
      </c>
      <c r="K1689" s="8">
        <v>1620</v>
      </c>
      <c r="L1689" s="8">
        <v>1398</v>
      </c>
      <c r="M1689" s="8">
        <v>1706</v>
      </c>
      <c r="N1689" s="8">
        <v>8083</v>
      </c>
      <c r="O1689" s="9">
        <f t="shared" si="26"/>
        <v>7.4673870646191187E-2</v>
      </c>
      <c r="P1689" s="6" t="s">
        <v>22</v>
      </c>
    </row>
    <row r="1690" spans="1:16" x14ac:dyDescent="0.25">
      <c r="A1690" s="2" t="s">
        <v>3449</v>
      </c>
      <c r="B1690" s="2" t="s">
        <v>3450</v>
      </c>
      <c r="C1690" s="2" t="s">
        <v>25</v>
      </c>
      <c r="D1690" s="3" t="s">
        <v>26</v>
      </c>
      <c r="E1690" s="3" t="s">
        <v>34</v>
      </c>
      <c r="F1690" s="2" t="s">
        <v>65</v>
      </c>
      <c r="G1690" s="4">
        <v>625722</v>
      </c>
      <c r="H1690" s="4">
        <v>258232</v>
      </c>
      <c r="I1690" s="4">
        <v>227212</v>
      </c>
      <c r="J1690" s="4">
        <v>16291</v>
      </c>
      <c r="K1690" s="4">
        <v>1219</v>
      </c>
      <c r="L1690" s="4">
        <v>1336</v>
      </c>
      <c r="M1690" s="4">
        <v>3525</v>
      </c>
      <c r="N1690" s="4">
        <v>2106</v>
      </c>
      <c r="O1690" s="5">
        <f t="shared" si="26"/>
        <v>9.8458708166822173E-2</v>
      </c>
      <c r="P1690" s="2" t="s">
        <v>22</v>
      </c>
    </row>
    <row r="1691" spans="1:16" x14ac:dyDescent="0.25">
      <c r="A1691" s="6" t="s">
        <v>3451</v>
      </c>
      <c r="B1691" s="6" t="s">
        <v>3452</v>
      </c>
      <c r="C1691" s="6" t="s">
        <v>32</v>
      </c>
      <c r="D1691" s="7" t="s">
        <v>38</v>
      </c>
      <c r="E1691" s="7" t="s">
        <v>50</v>
      </c>
      <c r="F1691" s="6" t="s">
        <v>40</v>
      </c>
      <c r="G1691" s="8">
        <v>441148</v>
      </c>
      <c r="H1691" s="8">
        <v>72974</v>
      </c>
      <c r="I1691" s="8">
        <v>63768</v>
      </c>
      <c r="J1691" s="8">
        <v>2123</v>
      </c>
      <c r="K1691" s="8">
        <v>187</v>
      </c>
      <c r="L1691" s="8">
        <v>201</v>
      </c>
      <c r="M1691" s="8">
        <v>18</v>
      </c>
      <c r="N1691" s="8">
        <v>1474</v>
      </c>
      <c r="O1691" s="9">
        <f t="shared" si="26"/>
        <v>3.9659390289800527E-2</v>
      </c>
      <c r="P1691" s="6" t="s">
        <v>22</v>
      </c>
    </row>
    <row r="1692" spans="1:16" x14ac:dyDescent="0.25">
      <c r="A1692" s="2" t="s">
        <v>3453</v>
      </c>
      <c r="B1692" s="2" t="s">
        <v>3454</v>
      </c>
      <c r="C1692" s="2" t="s">
        <v>43</v>
      </c>
      <c r="D1692" s="3" t="s">
        <v>81</v>
      </c>
      <c r="E1692" s="3" t="s">
        <v>27</v>
      </c>
      <c r="F1692" s="2" t="s">
        <v>107</v>
      </c>
      <c r="G1692" s="4">
        <v>272845</v>
      </c>
      <c r="H1692" s="4">
        <v>80960</v>
      </c>
      <c r="I1692" s="4">
        <v>69881</v>
      </c>
      <c r="J1692" s="4">
        <v>1674</v>
      </c>
      <c r="K1692" s="4">
        <v>159</v>
      </c>
      <c r="L1692" s="4">
        <v>190</v>
      </c>
      <c r="M1692" s="4">
        <v>46</v>
      </c>
      <c r="N1692" s="4">
        <v>1855</v>
      </c>
      <c r="O1692" s="5">
        <f t="shared" si="26"/>
        <v>2.9607475565604384E-2</v>
      </c>
      <c r="P1692" s="2" t="s">
        <v>66</v>
      </c>
    </row>
    <row r="1693" spans="1:16" x14ac:dyDescent="0.25">
      <c r="A1693" s="6" t="s">
        <v>3455</v>
      </c>
      <c r="B1693" s="6" t="s">
        <v>3456</v>
      </c>
      <c r="C1693" s="6" t="s">
        <v>76</v>
      </c>
      <c r="D1693" s="7" t="s">
        <v>86</v>
      </c>
      <c r="E1693" s="7" t="s">
        <v>27</v>
      </c>
      <c r="F1693" s="6" t="s">
        <v>155</v>
      </c>
      <c r="G1693" s="8">
        <v>432171</v>
      </c>
      <c r="H1693" s="8">
        <v>151918</v>
      </c>
      <c r="I1693" s="8">
        <v>131994</v>
      </c>
      <c r="J1693" s="8">
        <v>7075</v>
      </c>
      <c r="K1693" s="8">
        <v>679</v>
      </c>
      <c r="L1693" s="8">
        <v>561</v>
      </c>
      <c r="M1693" s="8">
        <v>1197</v>
      </c>
      <c r="N1693" s="8">
        <v>2894</v>
      </c>
      <c r="O1693" s="9">
        <f t="shared" si="26"/>
        <v>7.2063881691592044E-2</v>
      </c>
      <c r="P1693" s="6" t="s">
        <v>29</v>
      </c>
    </row>
    <row r="1694" spans="1:16" x14ac:dyDescent="0.25">
      <c r="A1694" s="2" t="s">
        <v>3457</v>
      </c>
      <c r="B1694" s="2" t="s">
        <v>3458</v>
      </c>
      <c r="C1694" s="2" t="s">
        <v>32</v>
      </c>
      <c r="D1694" s="3" t="s">
        <v>49</v>
      </c>
      <c r="E1694" s="3" t="s">
        <v>39</v>
      </c>
      <c r="F1694" s="2" t="s">
        <v>51</v>
      </c>
      <c r="G1694" s="4">
        <v>523644</v>
      </c>
      <c r="H1694" s="4">
        <v>96732</v>
      </c>
      <c r="I1694" s="4">
        <v>84905</v>
      </c>
      <c r="J1694" s="4">
        <v>7290</v>
      </c>
      <c r="K1694" s="4">
        <v>294</v>
      </c>
      <c r="L1694" s="4">
        <v>890</v>
      </c>
      <c r="M1694" s="4">
        <v>3</v>
      </c>
      <c r="N1694" s="4">
        <v>3229</v>
      </c>
      <c r="O1694" s="5">
        <f t="shared" si="26"/>
        <v>9.984099876332371E-2</v>
      </c>
      <c r="P1694" s="2" t="s">
        <v>29</v>
      </c>
    </row>
    <row r="1695" spans="1:16" x14ac:dyDescent="0.25">
      <c r="A1695" s="6" t="s">
        <v>3459</v>
      </c>
      <c r="B1695" s="6" t="s">
        <v>3460</v>
      </c>
      <c r="C1695" s="6" t="s">
        <v>43</v>
      </c>
      <c r="D1695" s="7" t="s">
        <v>69</v>
      </c>
      <c r="E1695" s="7" t="s">
        <v>20</v>
      </c>
      <c r="F1695" s="6" t="s">
        <v>70</v>
      </c>
      <c r="G1695" s="8">
        <v>695282</v>
      </c>
      <c r="H1695" s="8">
        <v>216868</v>
      </c>
      <c r="I1695" s="8">
        <v>195524</v>
      </c>
      <c r="J1695" s="8">
        <v>8077</v>
      </c>
      <c r="K1695" s="8">
        <v>440</v>
      </c>
      <c r="L1695" s="8">
        <v>363</v>
      </c>
      <c r="M1695" s="8">
        <v>49</v>
      </c>
      <c r="N1695" s="8">
        <v>2657</v>
      </c>
      <c r="O1695" s="9">
        <f t="shared" si="26"/>
        <v>4.5667028088623392E-2</v>
      </c>
      <c r="P1695" s="6" t="s">
        <v>29</v>
      </c>
    </row>
    <row r="1696" spans="1:16" x14ac:dyDescent="0.25">
      <c r="A1696" s="2" t="s">
        <v>3461</v>
      </c>
      <c r="B1696" s="2" t="s">
        <v>3462</v>
      </c>
      <c r="C1696" s="2" t="s">
        <v>25</v>
      </c>
      <c r="D1696" s="3" t="s">
        <v>244</v>
      </c>
      <c r="E1696" s="3" t="s">
        <v>50</v>
      </c>
      <c r="F1696" s="2" t="s">
        <v>65</v>
      </c>
      <c r="G1696" s="4">
        <v>26153</v>
      </c>
      <c r="H1696" s="4">
        <v>14232</v>
      </c>
      <c r="I1696" s="4">
        <v>12575</v>
      </c>
      <c r="J1696" s="4">
        <v>1097</v>
      </c>
      <c r="K1696" s="4">
        <v>95</v>
      </c>
      <c r="L1696" s="4">
        <v>162</v>
      </c>
      <c r="M1696" s="4">
        <v>111</v>
      </c>
      <c r="N1696" s="4">
        <v>167</v>
      </c>
      <c r="O1696" s="5">
        <f t="shared" si="26"/>
        <v>0.11650099403578529</v>
      </c>
      <c r="P1696" s="2" t="s">
        <v>66</v>
      </c>
    </row>
    <row r="1697" spans="1:16" x14ac:dyDescent="0.25">
      <c r="A1697" s="6" t="s">
        <v>3463</v>
      </c>
      <c r="B1697" s="6" t="s">
        <v>3464</v>
      </c>
      <c r="C1697" s="6" t="s">
        <v>25</v>
      </c>
      <c r="D1697" s="7" t="s">
        <v>64</v>
      </c>
      <c r="E1697" s="7" t="s">
        <v>50</v>
      </c>
      <c r="F1697" s="6" t="s">
        <v>65</v>
      </c>
      <c r="G1697" s="8">
        <v>566304</v>
      </c>
      <c r="H1697" s="8">
        <v>149604</v>
      </c>
      <c r="I1697" s="8">
        <v>124430</v>
      </c>
      <c r="J1697" s="8">
        <v>3803</v>
      </c>
      <c r="K1697" s="8">
        <v>402</v>
      </c>
      <c r="L1697" s="8">
        <v>195</v>
      </c>
      <c r="M1697" s="8">
        <v>734</v>
      </c>
      <c r="N1697" s="8">
        <v>965</v>
      </c>
      <c r="O1697" s="9">
        <f t="shared" si="26"/>
        <v>4.1260146266977417E-2</v>
      </c>
      <c r="P1697" s="6" t="s">
        <v>29</v>
      </c>
    </row>
    <row r="1698" spans="1:16" x14ac:dyDescent="0.25">
      <c r="A1698" s="2" t="s">
        <v>3465</v>
      </c>
      <c r="B1698" s="2" t="s">
        <v>3466</v>
      </c>
      <c r="C1698" s="2" t="s">
        <v>43</v>
      </c>
      <c r="D1698" s="3" t="s">
        <v>110</v>
      </c>
      <c r="E1698" s="3" t="s">
        <v>50</v>
      </c>
      <c r="F1698" s="2" t="s">
        <v>107</v>
      </c>
      <c r="G1698" s="4">
        <v>504638</v>
      </c>
      <c r="H1698" s="4">
        <v>138354</v>
      </c>
      <c r="I1698" s="4">
        <v>100392</v>
      </c>
      <c r="J1698" s="4">
        <v>7570</v>
      </c>
      <c r="K1698" s="4">
        <v>1082</v>
      </c>
      <c r="L1698" s="4">
        <v>938</v>
      </c>
      <c r="M1698" s="4">
        <v>50</v>
      </c>
      <c r="N1698" s="4">
        <v>732</v>
      </c>
      <c r="O1698" s="5">
        <f t="shared" si="26"/>
        <v>9.6023587536855526E-2</v>
      </c>
      <c r="P1698" s="2" t="s">
        <v>22</v>
      </c>
    </row>
    <row r="1699" spans="1:16" x14ac:dyDescent="0.25">
      <c r="A1699" s="6" t="s">
        <v>3467</v>
      </c>
      <c r="B1699" s="6" t="s">
        <v>3468</v>
      </c>
      <c r="C1699" s="6" t="s">
        <v>43</v>
      </c>
      <c r="D1699" s="7" t="s">
        <v>81</v>
      </c>
      <c r="E1699" s="7" t="s">
        <v>50</v>
      </c>
      <c r="F1699" s="6" t="s">
        <v>70</v>
      </c>
      <c r="G1699" s="8">
        <v>468137</v>
      </c>
      <c r="H1699" s="8">
        <v>302516</v>
      </c>
      <c r="I1699" s="8">
        <v>236064</v>
      </c>
      <c r="J1699" s="8">
        <v>20584</v>
      </c>
      <c r="K1699" s="8">
        <v>2098</v>
      </c>
      <c r="L1699" s="8">
        <v>2712</v>
      </c>
      <c r="M1699" s="8">
        <v>27</v>
      </c>
      <c r="N1699" s="8">
        <v>6509</v>
      </c>
      <c r="O1699" s="9">
        <f t="shared" si="26"/>
        <v>0.10768689846821201</v>
      </c>
      <c r="P1699" s="6" t="s">
        <v>29</v>
      </c>
    </row>
    <row r="1700" spans="1:16" x14ac:dyDescent="0.25">
      <c r="A1700" s="2" t="s">
        <v>3469</v>
      </c>
      <c r="B1700" s="2" t="s">
        <v>3470</v>
      </c>
      <c r="C1700" s="2" t="s">
        <v>25</v>
      </c>
      <c r="D1700" s="3" t="s">
        <v>145</v>
      </c>
      <c r="E1700" s="3" t="s">
        <v>20</v>
      </c>
      <c r="F1700" s="2" t="s">
        <v>146</v>
      </c>
      <c r="G1700" s="4">
        <v>179482</v>
      </c>
      <c r="H1700" s="4">
        <v>105175</v>
      </c>
      <c r="I1700" s="4">
        <v>74413</v>
      </c>
      <c r="J1700" s="4">
        <v>7778</v>
      </c>
      <c r="K1700" s="4">
        <v>958</v>
      </c>
      <c r="L1700" s="4">
        <v>880</v>
      </c>
      <c r="M1700" s="4">
        <v>896</v>
      </c>
      <c r="N1700" s="4">
        <v>1792</v>
      </c>
      <c r="O1700" s="5">
        <f t="shared" si="26"/>
        <v>0.14126563906844233</v>
      </c>
      <c r="P1700" s="2" t="s">
        <v>22</v>
      </c>
    </row>
    <row r="1701" spans="1:16" x14ac:dyDescent="0.25">
      <c r="A1701" s="6" t="s">
        <v>3471</v>
      </c>
      <c r="B1701" s="6" t="s">
        <v>3472</v>
      </c>
      <c r="C1701" s="6" t="s">
        <v>25</v>
      </c>
      <c r="D1701" s="7" t="s">
        <v>61</v>
      </c>
      <c r="E1701" s="7" t="s">
        <v>39</v>
      </c>
      <c r="F1701" s="6" t="s">
        <v>65</v>
      </c>
      <c r="G1701" s="8">
        <v>169726</v>
      </c>
      <c r="H1701" s="8">
        <v>63826</v>
      </c>
      <c r="I1701" s="8">
        <v>56281</v>
      </c>
      <c r="J1701" s="8">
        <v>3955</v>
      </c>
      <c r="K1701" s="8">
        <v>267</v>
      </c>
      <c r="L1701" s="8">
        <v>160</v>
      </c>
      <c r="M1701" s="8">
        <v>442</v>
      </c>
      <c r="N1701" s="8">
        <v>1012</v>
      </c>
      <c r="O1701" s="9">
        <f t="shared" si="26"/>
        <v>8.5712762744087706E-2</v>
      </c>
      <c r="P1701" s="6" t="s">
        <v>22</v>
      </c>
    </row>
    <row r="1702" spans="1:16" x14ac:dyDescent="0.25">
      <c r="A1702" s="2" t="s">
        <v>3473</v>
      </c>
      <c r="B1702" s="2" t="s">
        <v>3474</v>
      </c>
      <c r="C1702" s="2" t="s">
        <v>43</v>
      </c>
      <c r="D1702" s="3" t="s">
        <v>69</v>
      </c>
      <c r="E1702" s="3" t="s">
        <v>50</v>
      </c>
      <c r="F1702" s="2" t="s">
        <v>46</v>
      </c>
      <c r="G1702" s="4">
        <v>122934</v>
      </c>
      <c r="H1702" s="4">
        <v>26263</v>
      </c>
      <c r="I1702" s="4">
        <v>19440</v>
      </c>
      <c r="J1702" s="4">
        <v>1402</v>
      </c>
      <c r="K1702" s="4">
        <v>43</v>
      </c>
      <c r="L1702" s="4">
        <v>28</v>
      </c>
      <c r="M1702" s="4">
        <v>20</v>
      </c>
      <c r="N1702" s="4">
        <v>193</v>
      </c>
      <c r="O1702" s="5">
        <f t="shared" si="26"/>
        <v>7.6800411522633741E-2</v>
      </c>
      <c r="P1702" s="2" t="s">
        <v>22</v>
      </c>
    </row>
    <row r="1703" spans="1:16" x14ac:dyDescent="0.25">
      <c r="A1703" s="6" t="s">
        <v>3475</v>
      </c>
      <c r="B1703" s="6" t="s">
        <v>3476</v>
      </c>
      <c r="C1703" s="6" t="s">
        <v>76</v>
      </c>
      <c r="D1703" s="7" t="s">
        <v>86</v>
      </c>
      <c r="E1703" s="7" t="s">
        <v>34</v>
      </c>
      <c r="F1703" s="6" t="s">
        <v>155</v>
      </c>
      <c r="G1703" s="8">
        <v>716691</v>
      </c>
      <c r="H1703" s="8">
        <v>344646</v>
      </c>
      <c r="I1703" s="8">
        <v>241527</v>
      </c>
      <c r="J1703" s="8">
        <v>21846</v>
      </c>
      <c r="K1703" s="8">
        <v>2258</v>
      </c>
      <c r="L1703" s="8">
        <v>1281</v>
      </c>
      <c r="M1703" s="8">
        <v>5230</v>
      </c>
      <c r="N1703" s="8">
        <v>2414</v>
      </c>
      <c r="O1703" s="9">
        <f t="shared" si="26"/>
        <v>0.12675601485548199</v>
      </c>
      <c r="P1703" s="6" t="s">
        <v>22</v>
      </c>
    </row>
    <row r="1704" spans="1:16" x14ac:dyDescent="0.25">
      <c r="A1704" s="2" t="s">
        <v>3477</v>
      </c>
      <c r="B1704" s="2" t="s">
        <v>3478</v>
      </c>
      <c r="C1704" s="2" t="s">
        <v>76</v>
      </c>
      <c r="D1704" s="3" t="s">
        <v>77</v>
      </c>
      <c r="E1704" s="3" t="s">
        <v>50</v>
      </c>
      <c r="F1704" s="2" t="s">
        <v>104</v>
      </c>
      <c r="G1704" s="4">
        <v>437714</v>
      </c>
      <c r="H1704" s="4">
        <v>151399</v>
      </c>
      <c r="I1704" s="4">
        <v>130617</v>
      </c>
      <c r="J1704" s="4">
        <v>10112</v>
      </c>
      <c r="K1704" s="4">
        <v>842</v>
      </c>
      <c r="L1704" s="4">
        <v>735</v>
      </c>
      <c r="M1704" s="4">
        <v>1881</v>
      </c>
      <c r="N1704" s="4">
        <v>2788</v>
      </c>
      <c r="O1704" s="5">
        <f t="shared" si="26"/>
        <v>0.10389153019897869</v>
      </c>
      <c r="P1704" s="2" t="s">
        <v>22</v>
      </c>
    </row>
    <row r="1705" spans="1:16" x14ac:dyDescent="0.25">
      <c r="A1705" s="6" t="s">
        <v>3479</v>
      </c>
      <c r="B1705" s="6" t="s">
        <v>3480</v>
      </c>
      <c r="C1705" s="6" t="s">
        <v>32</v>
      </c>
      <c r="D1705" s="7" t="s">
        <v>175</v>
      </c>
      <c r="E1705" s="7" t="s">
        <v>39</v>
      </c>
      <c r="F1705" s="6" t="s">
        <v>40</v>
      </c>
      <c r="G1705" s="8">
        <v>309056</v>
      </c>
      <c r="H1705" s="8">
        <v>188908</v>
      </c>
      <c r="I1705" s="8">
        <v>140075</v>
      </c>
      <c r="J1705" s="8">
        <v>3930</v>
      </c>
      <c r="K1705" s="8">
        <v>688</v>
      </c>
      <c r="L1705" s="8">
        <v>337</v>
      </c>
      <c r="M1705" s="8">
        <v>31</v>
      </c>
      <c r="N1705" s="8">
        <v>1747</v>
      </c>
      <c r="O1705" s="9">
        <f t="shared" si="26"/>
        <v>3.5595216848117082E-2</v>
      </c>
      <c r="P1705" s="6" t="s">
        <v>22</v>
      </c>
    </row>
    <row r="1706" spans="1:16" x14ac:dyDescent="0.25">
      <c r="A1706" s="2" t="s">
        <v>3481</v>
      </c>
      <c r="B1706" s="2" t="s">
        <v>3482</v>
      </c>
      <c r="C1706" s="2" t="s">
        <v>76</v>
      </c>
      <c r="D1706" s="3" t="s">
        <v>182</v>
      </c>
      <c r="E1706" s="3" t="s">
        <v>34</v>
      </c>
      <c r="F1706" s="2" t="s">
        <v>87</v>
      </c>
      <c r="G1706" s="4">
        <v>274726</v>
      </c>
      <c r="H1706" s="4">
        <v>175099</v>
      </c>
      <c r="I1706" s="4">
        <v>131395</v>
      </c>
      <c r="J1706" s="4">
        <v>7718</v>
      </c>
      <c r="K1706" s="4">
        <v>318</v>
      </c>
      <c r="L1706" s="4">
        <v>898</v>
      </c>
      <c r="M1706" s="4">
        <v>1206</v>
      </c>
      <c r="N1706" s="4">
        <v>3502</v>
      </c>
      <c r="O1706" s="5">
        <f t="shared" si="26"/>
        <v>7.717188629704326E-2</v>
      </c>
      <c r="P1706" s="2" t="s">
        <v>22</v>
      </c>
    </row>
    <row r="1707" spans="1:16" x14ac:dyDescent="0.25">
      <c r="A1707" s="6" t="s">
        <v>3483</v>
      </c>
      <c r="B1707" s="6" t="s">
        <v>3484</v>
      </c>
      <c r="C1707" s="6" t="s">
        <v>18</v>
      </c>
      <c r="D1707" s="7" t="s">
        <v>226</v>
      </c>
      <c r="E1707" s="7" t="s">
        <v>45</v>
      </c>
      <c r="F1707" s="6" t="s">
        <v>21</v>
      </c>
      <c r="G1707" s="8">
        <v>595465</v>
      </c>
      <c r="H1707" s="8">
        <v>254444</v>
      </c>
      <c r="I1707" s="8">
        <v>215577</v>
      </c>
      <c r="J1707" s="8">
        <v>5511</v>
      </c>
      <c r="K1707" s="8">
        <v>272</v>
      </c>
      <c r="L1707" s="8">
        <v>162</v>
      </c>
      <c r="M1707" s="8">
        <v>419</v>
      </c>
      <c r="N1707" s="8">
        <v>2181</v>
      </c>
      <c r="O1707" s="9">
        <f t="shared" si="26"/>
        <v>2.9520774479652283E-2</v>
      </c>
      <c r="P1707" s="6" t="s">
        <v>22</v>
      </c>
    </row>
    <row r="1708" spans="1:16" x14ac:dyDescent="0.25">
      <c r="A1708" s="2" t="s">
        <v>3485</v>
      </c>
      <c r="B1708" s="2" t="s">
        <v>3486</v>
      </c>
      <c r="C1708" s="2" t="s">
        <v>25</v>
      </c>
      <c r="D1708" s="3" t="s">
        <v>64</v>
      </c>
      <c r="E1708" s="3" t="s">
        <v>20</v>
      </c>
      <c r="F1708" s="2" t="s">
        <v>146</v>
      </c>
      <c r="G1708" s="4">
        <v>595052</v>
      </c>
      <c r="H1708" s="4">
        <v>48876</v>
      </c>
      <c r="I1708" s="4">
        <v>40399</v>
      </c>
      <c r="J1708" s="4">
        <v>3473</v>
      </c>
      <c r="K1708" s="4">
        <v>496</v>
      </c>
      <c r="L1708" s="4">
        <v>333</v>
      </c>
      <c r="M1708" s="4">
        <v>524</v>
      </c>
      <c r="N1708" s="4">
        <v>1114</v>
      </c>
      <c r="O1708" s="5">
        <f t="shared" si="26"/>
        <v>0.11945840243570385</v>
      </c>
      <c r="P1708" s="2" t="s">
        <v>22</v>
      </c>
    </row>
    <row r="1709" spans="1:16" x14ac:dyDescent="0.25">
      <c r="A1709" s="6" t="s">
        <v>3487</v>
      </c>
      <c r="B1709" s="6" t="s">
        <v>3488</v>
      </c>
      <c r="C1709" s="6" t="s">
        <v>18</v>
      </c>
      <c r="D1709" s="7" t="s">
        <v>226</v>
      </c>
      <c r="E1709" s="7" t="s">
        <v>34</v>
      </c>
      <c r="F1709" s="6" t="s">
        <v>58</v>
      </c>
      <c r="G1709" s="8">
        <v>223762</v>
      </c>
      <c r="H1709" s="8">
        <v>100284</v>
      </c>
      <c r="I1709" s="8">
        <v>76429</v>
      </c>
      <c r="J1709" s="8">
        <v>2997</v>
      </c>
      <c r="K1709" s="8">
        <v>98</v>
      </c>
      <c r="L1709" s="8">
        <v>366</v>
      </c>
      <c r="M1709" s="8">
        <v>350</v>
      </c>
      <c r="N1709" s="8">
        <v>3318</v>
      </c>
      <c r="O1709" s="9">
        <f t="shared" si="26"/>
        <v>4.9863271794737603E-2</v>
      </c>
      <c r="P1709" s="6" t="s">
        <v>22</v>
      </c>
    </row>
    <row r="1710" spans="1:16" x14ac:dyDescent="0.25">
      <c r="A1710" s="2" t="s">
        <v>3489</v>
      </c>
      <c r="B1710" s="2" t="s">
        <v>3490</v>
      </c>
      <c r="C1710" s="2" t="s">
        <v>25</v>
      </c>
      <c r="D1710" s="3" t="s">
        <v>244</v>
      </c>
      <c r="E1710" s="3" t="s">
        <v>27</v>
      </c>
      <c r="F1710" s="2" t="s">
        <v>65</v>
      </c>
      <c r="G1710" s="4">
        <v>252295</v>
      </c>
      <c r="H1710" s="4">
        <v>42970</v>
      </c>
      <c r="I1710" s="4">
        <v>33348</v>
      </c>
      <c r="J1710" s="4">
        <v>1064</v>
      </c>
      <c r="K1710" s="4">
        <v>179</v>
      </c>
      <c r="L1710" s="4">
        <v>54</v>
      </c>
      <c r="M1710" s="4">
        <v>68</v>
      </c>
      <c r="N1710" s="4">
        <v>602</v>
      </c>
      <c r="O1710" s="5">
        <f t="shared" si="26"/>
        <v>4.0931989924433247E-2</v>
      </c>
      <c r="P1710" s="2" t="s">
        <v>22</v>
      </c>
    </row>
    <row r="1711" spans="1:16" x14ac:dyDescent="0.25">
      <c r="A1711" s="6" t="s">
        <v>3491</v>
      </c>
      <c r="B1711" s="6" t="s">
        <v>3492</v>
      </c>
      <c r="C1711" s="6" t="s">
        <v>25</v>
      </c>
      <c r="D1711" s="7" t="s">
        <v>26</v>
      </c>
      <c r="E1711" s="7" t="s">
        <v>45</v>
      </c>
      <c r="F1711" s="6" t="s">
        <v>65</v>
      </c>
      <c r="G1711" s="8">
        <v>505833</v>
      </c>
      <c r="H1711" s="8">
        <v>257141</v>
      </c>
      <c r="I1711" s="8">
        <v>190819</v>
      </c>
      <c r="J1711" s="8">
        <v>9859</v>
      </c>
      <c r="K1711" s="8">
        <v>1226</v>
      </c>
      <c r="L1711" s="8">
        <v>636</v>
      </c>
      <c r="M1711" s="8">
        <v>1092</v>
      </c>
      <c r="N1711" s="8">
        <v>8203</v>
      </c>
      <c r="O1711" s="9">
        <f t="shared" si="26"/>
        <v>6.7147401464214773E-2</v>
      </c>
      <c r="P1711" s="6" t="s">
        <v>22</v>
      </c>
    </row>
    <row r="1712" spans="1:16" x14ac:dyDescent="0.25">
      <c r="A1712" s="2" t="s">
        <v>3493</v>
      </c>
      <c r="B1712" s="2" t="s">
        <v>3494</v>
      </c>
      <c r="C1712" s="2" t="s">
        <v>18</v>
      </c>
      <c r="D1712" s="3" t="s">
        <v>57</v>
      </c>
      <c r="E1712" s="3" t="s">
        <v>34</v>
      </c>
      <c r="F1712" s="2" t="s">
        <v>58</v>
      </c>
      <c r="G1712" s="4">
        <v>428327</v>
      </c>
      <c r="H1712" s="4">
        <v>242134</v>
      </c>
      <c r="I1712" s="4">
        <v>217134</v>
      </c>
      <c r="J1712" s="4">
        <v>17431</v>
      </c>
      <c r="K1712" s="4">
        <v>2216</v>
      </c>
      <c r="L1712" s="4">
        <v>2240</v>
      </c>
      <c r="M1712" s="4">
        <v>3009</v>
      </c>
      <c r="N1712" s="4">
        <v>5360</v>
      </c>
      <c r="O1712" s="5">
        <f t="shared" si="26"/>
        <v>0.11465730839021065</v>
      </c>
      <c r="P1712" s="2" t="s">
        <v>29</v>
      </c>
    </row>
    <row r="1713" spans="1:16" x14ac:dyDescent="0.25">
      <c r="A1713" s="6" t="s">
        <v>3495</v>
      </c>
      <c r="B1713" s="6" t="s">
        <v>3496</v>
      </c>
      <c r="C1713" s="6" t="s">
        <v>76</v>
      </c>
      <c r="D1713" s="7" t="s">
        <v>103</v>
      </c>
      <c r="E1713" s="7" t="s">
        <v>20</v>
      </c>
      <c r="F1713" s="6" t="s">
        <v>78</v>
      </c>
      <c r="G1713" s="8">
        <v>496274</v>
      </c>
      <c r="H1713" s="8">
        <v>158159</v>
      </c>
      <c r="I1713" s="8">
        <v>132509</v>
      </c>
      <c r="J1713" s="8">
        <v>10005</v>
      </c>
      <c r="K1713" s="8">
        <v>1152</v>
      </c>
      <c r="L1713" s="8">
        <v>212</v>
      </c>
      <c r="M1713" s="8">
        <v>631</v>
      </c>
      <c r="N1713" s="8">
        <v>4107</v>
      </c>
      <c r="O1713" s="9">
        <f t="shared" si="26"/>
        <v>9.0559886498275594E-2</v>
      </c>
      <c r="P1713" s="6" t="s">
        <v>22</v>
      </c>
    </row>
    <row r="1714" spans="1:16" x14ac:dyDescent="0.25">
      <c r="A1714" s="2" t="s">
        <v>3497</v>
      </c>
      <c r="B1714" s="2" t="s">
        <v>3498</v>
      </c>
      <c r="C1714" s="2" t="s">
        <v>25</v>
      </c>
      <c r="D1714" s="3" t="s">
        <v>26</v>
      </c>
      <c r="E1714" s="3" t="s">
        <v>39</v>
      </c>
      <c r="F1714" s="2" t="s">
        <v>146</v>
      </c>
      <c r="G1714" s="4">
        <v>134506</v>
      </c>
      <c r="H1714" s="4">
        <v>56293</v>
      </c>
      <c r="I1714" s="4">
        <v>42139</v>
      </c>
      <c r="J1714" s="4">
        <v>3766</v>
      </c>
      <c r="K1714" s="4">
        <v>243</v>
      </c>
      <c r="L1714" s="4">
        <v>366</v>
      </c>
      <c r="M1714" s="4">
        <v>251</v>
      </c>
      <c r="N1714" s="4">
        <v>1898</v>
      </c>
      <c r="O1714" s="5">
        <f t="shared" si="26"/>
        <v>0.10977953914426065</v>
      </c>
      <c r="P1714" s="2" t="s">
        <v>66</v>
      </c>
    </row>
    <row r="1715" spans="1:16" x14ac:dyDescent="0.25">
      <c r="A1715" s="6" t="s">
        <v>3499</v>
      </c>
      <c r="B1715" s="6" t="s">
        <v>3500</v>
      </c>
      <c r="C1715" s="6" t="s">
        <v>18</v>
      </c>
      <c r="D1715" s="7" t="s">
        <v>19</v>
      </c>
      <c r="E1715" s="7" t="s">
        <v>39</v>
      </c>
      <c r="F1715" s="6" t="s">
        <v>21</v>
      </c>
      <c r="G1715" s="8">
        <v>116515</v>
      </c>
      <c r="H1715" s="8">
        <v>16869</v>
      </c>
      <c r="I1715" s="8">
        <v>12492</v>
      </c>
      <c r="J1715" s="8">
        <v>521</v>
      </c>
      <c r="K1715" s="8">
        <v>39</v>
      </c>
      <c r="L1715" s="8">
        <v>14</v>
      </c>
      <c r="M1715" s="8">
        <v>77</v>
      </c>
      <c r="N1715" s="8">
        <v>522</v>
      </c>
      <c r="O1715" s="9">
        <f t="shared" si="26"/>
        <v>5.2113352545629203E-2</v>
      </c>
      <c r="P1715" s="6" t="s">
        <v>22</v>
      </c>
    </row>
    <row r="1716" spans="1:16" x14ac:dyDescent="0.25">
      <c r="A1716" s="2" t="s">
        <v>3501</v>
      </c>
      <c r="B1716" s="2" t="s">
        <v>3502</v>
      </c>
      <c r="C1716" s="2" t="s">
        <v>76</v>
      </c>
      <c r="D1716" s="3" t="s">
        <v>189</v>
      </c>
      <c r="E1716" s="3" t="s">
        <v>50</v>
      </c>
      <c r="F1716" s="2" t="s">
        <v>155</v>
      </c>
      <c r="G1716" s="4">
        <v>642526</v>
      </c>
      <c r="H1716" s="4">
        <v>131032</v>
      </c>
      <c r="I1716" s="4">
        <v>109330</v>
      </c>
      <c r="J1716" s="4">
        <v>10365</v>
      </c>
      <c r="K1716" s="4">
        <v>735</v>
      </c>
      <c r="L1716" s="4">
        <v>1286</v>
      </c>
      <c r="M1716" s="4">
        <v>857</v>
      </c>
      <c r="N1716" s="4">
        <v>2916</v>
      </c>
      <c r="O1716" s="5">
        <f t="shared" si="26"/>
        <v>0.12112869294795572</v>
      </c>
      <c r="P1716" s="2" t="s">
        <v>29</v>
      </c>
    </row>
    <row r="1717" spans="1:16" x14ac:dyDescent="0.25">
      <c r="A1717" s="6" t="s">
        <v>3503</v>
      </c>
      <c r="B1717" s="6" t="s">
        <v>3504</v>
      </c>
      <c r="C1717" s="6" t="s">
        <v>43</v>
      </c>
      <c r="D1717" s="7" t="s">
        <v>69</v>
      </c>
      <c r="E1717" s="7" t="s">
        <v>45</v>
      </c>
      <c r="F1717" s="6" t="s">
        <v>46</v>
      </c>
      <c r="G1717" s="8">
        <v>729728</v>
      </c>
      <c r="H1717" s="8">
        <v>256645</v>
      </c>
      <c r="I1717" s="8">
        <v>235150</v>
      </c>
      <c r="J1717" s="8">
        <v>8970</v>
      </c>
      <c r="K1717" s="8">
        <v>1069</v>
      </c>
      <c r="L1717" s="8">
        <v>1100</v>
      </c>
      <c r="M1717" s="8">
        <v>10</v>
      </c>
      <c r="N1717" s="8">
        <v>4603</v>
      </c>
      <c r="O1717" s="9">
        <f t="shared" si="26"/>
        <v>4.7412290027641933E-2</v>
      </c>
      <c r="P1717" s="6" t="s">
        <v>66</v>
      </c>
    </row>
    <row r="1718" spans="1:16" x14ac:dyDescent="0.25">
      <c r="A1718" s="2" t="s">
        <v>3505</v>
      </c>
      <c r="B1718" s="2" t="s">
        <v>3506</v>
      </c>
      <c r="C1718" s="2" t="s">
        <v>25</v>
      </c>
      <c r="D1718" s="3" t="s">
        <v>26</v>
      </c>
      <c r="E1718" s="3" t="s">
        <v>50</v>
      </c>
      <c r="F1718" s="2" t="s">
        <v>54</v>
      </c>
      <c r="G1718" s="4">
        <v>47280</v>
      </c>
      <c r="H1718" s="4">
        <v>7642</v>
      </c>
      <c r="I1718" s="4">
        <v>5376</v>
      </c>
      <c r="J1718" s="4">
        <v>170</v>
      </c>
      <c r="K1718" s="4">
        <v>29</v>
      </c>
      <c r="L1718" s="4">
        <v>4</v>
      </c>
      <c r="M1718" s="4">
        <v>18</v>
      </c>
      <c r="N1718" s="4">
        <v>142</v>
      </c>
      <c r="O1718" s="5">
        <f t="shared" si="26"/>
        <v>4.1108630952380952E-2</v>
      </c>
      <c r="P1718" s="2" t="s">
        <v>22</v>
      </c>
    </row>
    <row r="1719" spans="1:16" x14ac:dyDescent="0.25">
      <c r="A1719" s="6" t="s">
        <v>3507</v>
      </c>
      <c r="B1719" s="6" t="s">
        <v>3508</v>
      </c>
      <c r="C1719" s="6" t="s">
        <v>25</v>
      </c>
      <c r="D1719" s="7" t="s">
        <v>26</v>
      </c>
      <c r="E1719" s="7" t="s">
        <v>27</v>
      </c>
      <c r="F1719" s="6" t="s">
        <v>65</v>
      </c>
      <c r="G1719" s="8">
        <v>264035</v>
      </c>
      <c r="H1719" s="8">
        <v>127325</v>
      </c>
      <c r="I1719" s="8">
        <v>96405</v>
      </c>
      <c r="J1719" s="8">
        <v>9714</v>
      </c>
      <c r="K1719" s="8">
        <v>1332</v>
      </c>
      <c r="L1719" s="8">
        <v>553</v>
      </c>
      <c r="M1719" s="8">
        <v>1731</v>
      </c>
      <c r="N1719" s="8">
        <v>1113</v>
      </c>
      <c r="O1719" s="9">
        <f t="shared" si="26"/>
        <v>0.13827083657486644</v>
      </c>
      <c r="P1719" s="6" t="s">
        <v>29</v>
      </c>
    </row>
    <row r="1720" spans="1:16" x14ac:dyDescent="0.25">
      <c r="A1720" s="2" t="s">
        <v>3509</v>
      </c>
      <c r="B1720" s="2" t="s">
        <v>3510</v>
      </c>
      <c r="C1720" s="2" t="s">
        <v>76</v>
      </c>
      <c r="D1720" s="3" t="s">
        <v>182</v>
      </c>
      <c r="E1720" s="3" t="s">
        <v>39</v>
      </c>
      <c r="F1720" s="2" t="s">
        <v>78</v>
      </c>
      <c r="G1720" s="4">
        <v>283140</v>
      </c>
      <c r="H1720" s="4">
        <v>58904</v>
      </c>
      <c r="I1720" s="4">
        <v>45195</v>
      </c>
      <c r="J1720" s="4">
        <v>1995</v>
      </c>
      <c r="K1720" s="4">
        <v>231</v>
      </c>
      <c r="L1720" s="4">
        <v>192</v>
      </c>
      <c r="M1720" s="4">
        <v>210</v>
      </c>
      <c r="N1720" s="4">
        <v>1803</v>
      </c>
      <c r="O1720" s="5">
        <f t="shared" si="26"/>
        <v>5.8148025224029204E-2</v>
      </c>
      <c r="P1720" s="2" t="s">
        <v>29</v>
      </c>
    </row>
    <row r="1721" spans="1:16" x14ac:dyDescent="0.25">
      <c r="A1721" s="6" t="s">
        <v>3511</v>
      </c>
      <c r="B1721" s="6" t="s">
        <v>3512</v>
      </c>
      <c r="C1721" s="6" t="s">
        <v>18</v>
      </c>
      <c r="D1721" s="7" t="s">
        <v>19</v>
      </c>
      <c r="E1721" s="7" t="s">
        <v>27</v>
      </c>
      <c r="F1721" s="6" t="s">
        <v>58</v>
      </c>
      <c r="G1721" s="8">
        <v>587538</v>
      </c>
      <c r="H1721" s="8">
        <v>158983</v>
      </c>
      <c r="I1721" s="8">
        <v>119966</v>
      </c>
      <c r="J1721" s="8">
        <v>10793</v>
      </c>
      <c r="K1721" s="8">
        <v>1150</v>
      </c>
      <c r="L1721" s="8">
        <v>1467</v>
      </c>
      <c r="M1721" s="8">
        <v>1071</v>
      </c>
      <c r="N1721" s="8">
        <v>5250</v>
      </c>
      <c r="O1721" s="9">
        <f t="shared" si="26"/>
        <v>0.12070920094026641</v>
      </c>
      <c r="P1721" s="6" t="s">
        <v>22</v>
      </c>
    </row>
    <row r="1722" spans="1:16" x14ac:dyDescent="0.25">
      <c r="A1722" s="2" t="s">
        <v>3513</v>
      </c>
      <c r="B1722" s="2" t="s">
        <v>3514</v>
      </c>
      <c r="C1722" s="2" t="s">
        <v>25</v>
      </c>
      <c r="D1722" s="3" t="s">
        <v>145</v>
      </c>
      <c r="E1722" s="3" t="s">
        <v>20</v>
      </c>
      <c r="F1722" s="2" t="s">
        <v>146</v>
      </c>
      <c r="G1722" s="4">
        <v>446153</v>
      </c>
      <c r="H1722" s="4">
        <v>250615</v>
      </c>
      <c r="I1722" s="4">
        <v>191591</v>
      </c>
      <c r="J1722" s="4">
        <v>12164</v>
      </c>
      <c r="K1722" s="4">
        <v>827</v>
      </c>
      <c r="L1722" s="4">
        <v>1245</v>
      </c>
      <c r="M1722" s="4">
        <v>1918</v>
      </c>
      <c r="N1722" s="4">
        <v>2688</v>
      </c>
      <c r="O1722" s="5">
        <f t="shared" si="26"/>
        <v>8.4315025236049709E-2</v>
      </c>
      <c r="P1722" s="2" t="s">
        <v>29</v>
      </c>
    </row>
    <row r="1723" spans="1:16" x14ac:dyDescent="0.25">
      <c r="A1723" s="6" t="s">
        <v>3515</v>
      </c>
      <c r="B1723" s="6" t="s">
        <v>3516</v>
      </c>
      <c r="C1723" s="6" t="s">
        <v>18</v>
      </c>
      <c r="D1723" s="7" t="s">
        <v>226</v>
      </c>
      <c r="E1723" s="7" t="s">
        <v>50</v>
      </c>
      <c r="F1723" s="6" t="s">
        <v>21</v>
      </c>
      <c r="G1723" s="8">
        <v>421679</v>
      </c>
      <c r="H1723" s="8">
        <v>93472</v>
      </c>
      <c r="I1723" s="8">
        <v>72147</v>
      </c>
      <c r="J1723" s="8">
        <v>6461</v>
      </c>
      <c r="K1723" s="8">
        <v>666</v>
      </c>
      <c r="L1723" s="8">
        <v>204</v>
      </c>
      <c r="M1723" s="8">
        <v>1547</v>
      </c>
      <c r="N1723" s="8">
        <v>1376</v>
      </c>
      <c r="O1723" s="9">
        <f t="shared" si="26"/>
        <v>0.12305431965293082</v>
      </c>
      <c r="P1723" s="6" t="s">
        <v>29</v>
      </c>
    </row>
    <row r="1724" spans="1:16" x14ac:dyDescent="0.25">
      <c r="A1724" s="2" t="s">
        <v>3517</v>
      </c>
      <c r="B1724" s="2" t="s">
        <v>3518</v>
      </c>
      <c r="C1724" s="2" t="s">
        <v>76</v>
      </c>
      <c r="D1724" s="3" t="s">
        <v>103</v>
      </c>
      <c r="E1724" s="3" t="s">
        <v>20</v>
      </c>
      <c r="F1724" s="2" t="s">
        <v>155</v>
      </c>
      <c r="G1724" s="4">
        <v>681589</v>
      </c>
      <c r="H1724" s="4">
        <v>316808</v>
      </c>
      <c r="I1724" s="4">
        <v>249175</v>
      </c>
      <c r="J1724" s="4">
        <v>7689</v>
      </c>
      <c r="K1724" s="4">
        <v>915</v>
      </c>
      <c r="L1724" s="4">
        <v>309</v>
      </c>
      <c r="M1724" s="4">
        <v>1634</v>
      </c>
      <c r="N1724" s="4">
        <v>9718</v>
      </c>
      <c r="O1724" s="5">
        <f t="shared" si="26"/>
        <v>4.2327681348449886E-2</v>
      </c>
      <c r="P1724" s="2" t="s">
        <v>22</v>
      </c>
    </row>
    <row r="1725" spans="1:16" x14ac:dyDescent="0.25">
      <c r="A1725" s="6" t="s">
        <v>3519</v>
      </c>
      <c r="B1725" s="6" t="s">
        <v>3520</v>
      </c>
      <c r="C1725" s="6" t="s">
        <v>76</v>
      </c>
      <c r="D1725" s="7" t="s">
        <v>182</v>
      </c>
      <c r="E1725" s="7" t="s">
        <v>27</v>
      </c>
      <c r="F1725" s="6" t="s">
        <v>87</v>
      </c>
      <c r="G1725" s="8">
        <v>617366</v>
      </c>
      <c r="H1725" s="8">
        <v>137176</v>
      </c>
      <c r="I1725" s="8">
        <v>125408</v>
      </c>
      <c r="J1725" s="8">
        <v>5585</v>
      </c>
      <c r="K1725" s="8">
        <v>185</v>
      </c>
      <c r="L1725" s="8">
        <v>631</v>
      </c>
      <c r="M1725" s="8">
        <v>528</v>
      </c>
      <c r="N1725" s="8">
        <v>3519</v>
      </c>
      <c r="O1725" s="9">
        <f t="shared" si="26"/>
        <v>5.5251658586374076E-2</v>
      </c>
      <c r="P1725" s="6" t="s">
        <v>29</v>
      </c>
    </row>
    <row r="1726" spans="1:16" x14ac:dyDescent="0.25">
      <c r="A1726" s="2" t="s">
        <v>3521</v>
      </c>
      <c r="B1726" s="2" t="s">
        <v>3522</v>
      </c>
      <c r="C1726" s="2" t="s">
        <v>32</v>
      </c>
      <c r="D1726" s="3" t="s">
        <v>175</v>
      </c>
      <c r="E1726" s="3" t="s">
        <v>50</v>
      </c>
      <c r="F1726" s="2" t="s">
        <v>35</v>
      </c>
      <c r="G1726" s="4">
        <v>795695</v>
      </c>
      <c r="H1726" s="4">
        <v>288695</v>
      </c>
      <c r="I1726" s="4">
        <v>258875</v>
      </c>
      <c r="J1726" s="4">
        <v>12569</v>
      </c>
      <c r="K1726" s="4">
        <v>1880</v>
      </c>
      <c r="L1726" s="4">
        <v>535</v>
      </c>
      <c r="M1726" s="4">
        <v>32</v>
      </c>
      <c r="N1726" s="4">
        <v>6915</v>
      </c>
      <c r="O1726" s="5">
        <f t="shared" si="26"/>
        <v>5.800482858522453E-2</v>
      </c>
      <c r="P1726" s="2" t="s">
        <v>22</v>
      </c>
    </row>
    <row r="1727" spans="1:16" x14ac:dyDescent="0.25">
      <c r="A1727" s="6" t="s">
        <v>3523</v>
      </c>
      <c r="B1727" s="6" t="s">
        <v>3524</v>
      </c>
      <c r="C1727" s="6" t="s">
        <v>32</v>
      </c>
      <c r="D1727" s="7" t="s">
        <v>175</v>
      </c>
      <c r="E1727" s="7" t="s">
        <v>45</v>
      </c>
      <c r="F1727" s="6" t="s">
        <v>35</v>
      </c>
      <c r="G1727" s="8">
        <v>143143</v>
      </c>
      <c r="H1727" s="8">
        <v>17524</v>
      </c>
      <c r="I1727" s="8">
        <v>15630</v>
      </c>
      <c r="J1727" s="8">
        <v>1041</v>
      </c>
      <c r="K1727" s="8">
        <v>170</v>
      </c>
      <c r="L1727" s="8">
        <v>117</v>
      </c>
      <c r="M1727" s="8">
        <v>15</v>
      </c>
      <c r="N1727" s="8">
        <v>253</v>
      </c>
      <c r="O1727" s="9">
        <f t="shared" si="26"/>
        <v>8.5924504158669229E-2</v>
      </c>
      <c r="P1727" s="6" t="s">
        <v>22</v>
      </c>
    </row>
    <row r="1728" spans="1:16" x14ac:dyDescent="0.25">
      <c r="A1728" s="2" t="s">
        <v>3525</v>
      </c>
      <c r="B1728" s="2" t="s">
        <v>3526</v>
      </c>
      <c r="C1728" s="2" t="s">
        <v>76</v>
      </c>
      <c r="D1728" s="3" t="s">
        <v>103</v>
      </c>
      <c r="E1728" s="3" t="s">
        <v>34</v>
      </c>
      <c r="F1728" s="2" t="s">
        <v>78</v>
      </c>
      <c r="G1728" s="4">
        <v>163815</v>
      </c>
      <c r="H1728" s="4">
        <v>69794</v>
      </c>
      <c r="I1728" s="4">
        <v>54773</v>
      </c>
      <c r="J1728" s="4">
        <v>4782</v>
      </c>
      <c r="K1728" s="4">
        <v>622</v>
      </c>
      <c r="L1728" s="4">
        <v>356</v>
      </c>
      <c r="M1728" s="4">
        <v>665</v>
      </c>
      <c r="N1728" s="4">
        <v>2185</v>
      </c>
      <c r="O1728" s="5">
        <f t="shared" si="26"/>
        <v>0.11730232048637103</v>
      </c>
      <c r="P1728" s="2" t="s">
        <v>22</v>
      </c>
    </row>
    <row r="1729" spans="1:16" x14ac:dyDescent="0.25">
      <c r="A1729" s="6" t="s">
        <v>3527</v>
      </c>
      <c r="B1729" s="6" t="s">
        <v>3528</v>
      </c>
      <c r="C1729" s="6" t="s">
        <v>76</v>
      </c>
      <c r="D1729" s="7" t="s">
        <v>189</v>
      </c>
      <c r="E1729" s="7" t="s">
        <v>34</v>
      </c>
      <c r="F1729" s="6" t="s">
        <v>87</v>
      </c>
      <c r="G1729" s="8">
        <v>117113</v>
      </c>
      <c r="H1729" s="8">
        <v>70546</v>
      </c>
      <c r="I1729" s="8">
        <v>61089</v>
      </c>
      <c r="J1729" s="8">
        <v>4512</v>
      </c>
      <c r="K1729" s="8">
        <v>710</v>
      </c>
      <c r="L1729" s="8">
        <v>520</v>
      </c>
      <c r="M1729" s="8">
        <v>766</v>
      </c>
      <c r="N1729" s="8">
        <v>1380</v>
      </c>
      <c r="O1729" s="9">
        <f t="shared" si="26"/>
        <v>0.10653309106385765</v>
      </c>
      <c r="P1729" s="6" t="s">
        <v>22</v>
      </c>
    </row>
    <row r="1730" spans="1:16" x14ac:dyDescent="0.25">
      <c r="A1730" s="2" t="s">
        <v>3529</v>
      </c>
      <c r="B1730" s="2" t="s">
        <v>3530</v>
      </c>
      <c r="C1730" s="2" t="s">
        <v>43</v>
      </c>
      <c r="D1730" s="3" t="s">
        <v>44</v>
      </c>
      <c r="E1730" s="3" t="s">
        <v>34</v>
      </c>
      <c r="F1730" s="2" t="s">
        <v>46</v>
      </c>
      <c r="G1730" s="4">
        <v>840572</v>
      </c>
      <c r="H1730" s="4">
        <v>254459</v>
      </c>
      <c r="I1730" s="4">
        <v>199722</v>
      </c>
      <c r="J1730" s="4">
        <v>8800</v>
      </c>
      <c r="K1730" s="4">
        <v>954</v>
      </c>
      <c r="L1730" s="4">
        <v>642</v>
      </c>
      <c r="M1730" s="4">
        <v>32</v>
      </c>
      <c r="N1730" s="4">
        <v>4884</v>
      </c>
      <c r="O1730" s="5">
        <f t="shared" ref="O1730:O1793" si="27">IF(I1730&gt;0, (J1730+K1730+L1730+M1730)/I1730, 0)</f>
        <v>5.2212575479917082E-2</v>
      </c>
      <c r="P1730" s="2" t="s">
        <v>22</v>
      </c>
    </row>
    <row r="1731" spans="1:16" x14ac:dyDescent="0.25">
      <c r="A1731" s="6" t="s">
        <v>3531</v>
      </c>
      <c r="B1731" s="6" t="s">
        <v>3532</v>
      </c>
      <c r="C1731" s="6" t="s">
        <v>18</v>
      </c>
      <c r="D1731" s="7" t="s">
        <v>57</v>
      </c>
      <c r="E1731" s="7" t="s">
        <v>27</v>
      </c>
      <c r="F1731" s="6" t="s">
        <v>21</v>
      </c>
      <c r="G1731" s="8">
        <v>370044</v>
      </c>
      <c r="H1731" s="8">
        <v>168990</v>
      </c>
      <c r="I1731" s="8">
        <v>130713</v>
      </c>
      <c r="J1731" s="8">
        <v>7438</v>
      </c>
      <c r="K1731" s="8">
        <v>844</v>
      </c>
      <c r="L1731" s="8">
        <v>882</v>
      </c>
      <c r="M1731" s="8">
        <v>937</v>
      </c>
      <c r="N1731" s="8">
        <v>1737</v>
      </c>
      <c r="O1731" s="9">
        <f t="shared" si="27"/>
        <v>7.7276169929540284E-2</v>
      </c>
      <c r="P1731" s="6" t="s">
        <v>22</v>
      </c>
    </row>
    <row r="1732" spans="1:16" x14ac:dyDescent="0.25">
      <c r="A1732" s="2" t="s">
        <v>3533</v>
      </c>
      <c r="B1732" s="2" t="s">
        <v>3534</v>
      </c>
      <c r="C1732" s="2" t="s">
        <v>25</v>
      </c>
      <c r="D1732" s="3" t="s">
        <v>145</v>
      </c>
      <c r="E1732" s="3" t="s">
        <v>45</v>
      </c>
      <c r="F1732" s="2" t="s">
        <v>54</v>
      </c>
      <c r="G1732" s="4">
        <v>708432</v>
      </c>
      <c r="H1732" s="4">
        <v>405886</v>
      </c>
      <c r="I1732" s="4">
        <v>297901</v>
      </c>
      <c r="J1732" s="4">
        <v>12821</v>
      </c>
      <c r="K1732" s="4">
        <v>789</v>
      </c>
      <c r="L1732" s="4">
        <v>956</v>
      </c>
      <c r="M1732" s="4">
        <v>686</v>
      </c>
      <c r="N1732" s="4">
        <v>8309</v>
      </c>
      <c r="O1732" s="5">
        <f t="shared" si="27"/>
        <v>5.1198216857278087E-2</v>
      </c>
      <c r="P1732" s="2" t="s">
        <v>29</v>
      </c>
    </row>
    <row r="1733" spans="1:16" x14ac:dyDescent="0.25">
      <c r="A1733" s="6" t="s">
        <v>3535</v>
      </c>
      <c r="B1733" s="6" t="s">
        <v>3536</v>
      </c>
      <c r="C1733" s="6" t="s">
        <v>76</v>
      </c>
      <c r="D1733" s="7" t="s">
        <v>182</v>
      </c>
      <c r="E1733" s="7" t="s">
        <v>27</v>
      </c>
      <c r="F1733" s="6" t="s">
        <v>104</v>
      </c>
      <c r="G1733" s="8">
        <v>548209</v>
      </c>
      <c r="H1733" s="8">
        <v>226340</v>
      </c>
      <c r="I1733" s="8">
        <v>176923</v>
      </c>
      <c r="J1733" s="8">
        <v>13239</v>
      </c>
      <c r="K1733" s="8">
        <v>1085</v>
      </c>
      <c r="L1733" s="8">
        <v>753</v>
      </c>
      <c r="M1733" s="8">
        <v>2114</v>
      </c>
      <c r="N1733" s="8">
        <v>3926</v>
      </c>
      <c r="O1733" s="9">
        <f t="shared" si="27"/>
        <v>9.7166563985462598E-2</v>
      </c>
      <c r="P1733" s="6" t="s">
        <v>66</v>
      </c>
    </row>
    <row r="1734" spans="1:16" x14ac:dyDescent="0.25">
      <c r="A1734" s="2" t="s">
        <v>3537</v>
      </c>
      <c r="B1734" s="2" t="s">
        <v>3538</v>
      </c>
      <c r="C1734" s="2" t="s">
        <v>43</v>
      </c>
      <c r="D1734" s="3" t="s">
        <v>81</v>
      </c>
      <c r="E1734" s="3" t="s">
        <v>39</v>
      </c>
      <c r="F1734" s="2" t="s">
        <v>46</v>
      </c>
      <c r="G1734" s="4">
        <v>554947</v>
      </c>
      <c r="H1734" s="4">
        <v>176571</v>
      </c>
      <c r="I1734" s="4">
        <v>126255</v>
      </c>
      <c r="J1734" s="4">
        <v>9476</v>
      </c>
      <c r="K1734" s="4">
        <v>1368</v>
      </c>
      <c r="L1734" s="4">
        <v>1289</v>
      </c>
      <c r="M1734" s="4">
        <v>5</v>
      </c>
      <c r="N1734" s="4">
        <v>3134</v>
      </c>
      <c r="O1734" s="5">
        <f t="shared" si="27"/>
        <v>9.6138766781513604E-2</v>
      </c>
      <c r="P1734" s="2" t="s">
        <v>22</v>
      </c>
    </row>
    <row r="1735" spans="1:16" x14ac:dyDescent="0.25">
      <c r="A1735" s="6" t="s">
        <v>3539</v>
      </c>
      <c r="B1735" s="6" t="s">
        <v>3540</v>
      </c>
      <c r="C1735" s="6" t="s">
        <v>18</v>
      </c>
      <c r="D1735" s="7" t="s">
        <v>57</v>
      </c>
      <c r="E1735" s="7" t="s">
        <v>20</v>
      </c>
      <c r="F1735" s="6" t="s">
        <v>58</v>
      </c>
      <c r="G1735" s="8">
        <v>263536</v>
      </c>
      <c r="H1735" s="8">
        <v>34512</v>
      </c>
      <c r="I1735" s="8">
        <v>31114</v>
      </c>
      <c r="J1735" s="8">
        <v>2048</v>
      </c>
      <c r="K1735" s="8">
        <v>125</v>
      </c>
      <c r="L1735" s="8">
        <v>289</v>
      </c>
      <c r="M1735" s="8">
        <v>109</v>
      </c>
      <c r="N1735" s="8">
        <v>206</v>
      </c>
      <c r="O1735" s="9">
        <f t="shared" si="27"/>
        <v>8.2631612778813396E-2</v>
      </c>
      <c r="P1735" s="6" t="s">
        <v>22</v>
      </c>
    </row>
    <row r="1736" spans="1:16" x14ac:dyDescent="0.25">
      <c r="A1736" s="2" t="s">
        <v>3541</v>
      </c>
      <c r="B1736" s="2" t="s">
        <v>3542</v>
      </c>
      <c r="C1736" s="2" t="s">
        <v>25</v>
      </c>
      <c r="D1736" s="3" t="s">
        <v>64</v>
      </c>
      <c r="E1736" s="3" t="s">
        <v>39</v>
      </c>
      <c r="F1736" s="2" t="s">
        <v>65</v>
      </c>
      <c r="G1736" s="4">
        <v>508029</v>
      </c>
      <c r="H1736" s="4">
        <v>45978</v>
      </c>
      <c r="I1736" s="4">
        <v>33190</v>
      </c>
      <c r="J1736" s="4">
        <v>2285</v>
      </c>
      <c r="K1736" s="4">
        <v>259</v>
      </c>
      <c r="L1736" s="4">
        <v>77</v>
      </c>
      <c r="M1736" s="4">
        <v>471</v>
      </c>
      <c r="N1736" s="4">
        <v>1388</v>
      </c>
      <c r="O1736" s="5">
        <f t="shared" si="27"/>
        <v>9.3160590539319077E-2</v>
      </c>
      <c r="P1736" s="2" t="s">
        <v>22</v>
      </c>
    </row>
    <row r="1737" spans="1:16" x14ac:dyDescent="0.25">
      <c r="A1737" s="6" t="s">
        <v>3543</v>
      </c>
      <c r="B1737" s="6" t="s">
        <v>3544</v>
      </c>
      <c r="C1737" s="6" t="s">
        <v>25</v>
      </c>
      <c r="D1737" s="7" t="s">
        <v>145</v>
      </c>
      <c r="E1737" s="7" t="s">
        <v>34</v>
      </c>
      <c r="F1737" s="6" t="s">
        <v>146</v>
      </c>
      <c r="G1737" s="8">
        <v>277878</v>
      </c>
      <c r="H1737" s="8">
        <v>44166</v>
      </c>
      <c r="I1737" s="8">
        <v>40198</v>
      </c>
      <c r="J1737" s="8">
        <v>1652</v>
      </c>
      <c r="K1737" s="8">
        <v>129</v>
      </c>
      <c r="L1737" s="8">
        <v>174</v>
      </c>
      <c r="M1737" s="8">
        <v>411</v>
      </c>
      <c r="N1737" s="8">
        <v>612</v>
      </c>
      <c r="O1737" s="9">
        <f t="shared" si="27"/>
        <v>5.8858649684063881E-2</v>
      </c>
      <c r="P1737" s="6" t="s">
        <v>66</v>
      </c>
    </row>
    <row r="1738" spans="1:16" x14ac:dyDescent="0.25">
      <c r="A1738" s="2" t="s">
        <v>3545</v>
      </c>
      <c r="B1738" s="2" t="s">
        <v>3546</v>
      </c>
      <c r="C1738" s="2" t="s">
        <v>43</v>
      </c>
      <c r="D1738" s="3" t="s">
        <v>172</v>
      </c>
      <c r="E1738" s="3" t="s">
        <v>27</v>
      </c>
      <c r="F1738" s="2" t="s">
        <v>70</v>
      </c>
      <c r="G1738" s="4">
        <v>598121</v>
      </c>
      <c r="H1738" s="4">
        <v>184719</v>
      </c>
      <c r="I1738" s="4">
        <v>138930</v>
      </c>
      <c r="J1738" s="4">
        <v>9346</v>
      </c>
      <c r="K1738" s="4">
        <v>469</v>
      </c>
      <c r="L1738" s="4">
        <v>645</v>
      </c>
      <c r="M1738" s="4">
        <v>25</v>
      </c>
      <c r="N1738" s="4">
        <v>2112</v>
      </c>
      <c r="O1738" s="5">
        <f t="shared" si="27"/>
        <v>7.5469660980349823E-2</v>
      </c>
      <c r="P1738" s="2" t="s">
        <v>22</v>
      </c>
    </row>
    <row r="1739" spans="1:16" x14ac:dyDescent="0.25">
      <c r="A1739" s="6" t="s">
        <v>3547</v>
      </c>
      <c r="B1739" s="6" t="s">
        <v>3548</v>
      </c>
      <c r="C1739" s="6" t="s">
        <v>25</v>
      </c>
      <c r="D1739" s="7" t="s">
        <v>145</v>
      </c>
      <c r="E1739" s="7" t="s">
        <v>34</v>
      </c>
      <c r="F1739" s="6" t="s">
        <v>54</v>
      </c>
      <c r="G1739" s="8">
        <v>610949</v>
      </c>
      <c r="H1739" s="8">
        <v>126673</v>
      </c>
      <c r="I1739" s="8">
        <v>105812</v>
      </c>
      <c r="J1739" s="8">
        <v>7234</v>
      </c>
      <c r="K1739" s="8">
        <v>462</v>
      </c>
      <c r="L1739" s="8">
        <v>161</v>
      </c>
      <c r="M1739" s="8">
        <v>1362</v>
      </c>
      <c r="N1739" s="8">
        <v>3346</v>
      </c>
      <c r="O1739" s="9">
        <f t="shared" si="27"/>
        <v>8.712622386874834E-2</v>
      </c>
      <c r="P1739" s="6" t="s">
        <v>22</v>
      </c>
    </row>
    <row r="1740" spans="1:16" x14ac:dyDescent="0.25">
      <c r="A1740" s="2" t="s">
        <v>3549</v>
      </c>
      <c r="B1740" s="2" t="s">
        <v>3550</v>
      </c>
      <c r="C1740" s="2" t="s">
        <v>18</v>
      </c>
      <c r="D1740" s="3" t="s">
        <v>231</v>
      </c>
      <c r="E1740" s="3" t="s">
        <v>39</v>
      </c>
      <c r="F1740" s="2" t="s">
        <v>58</v>
      </c>
      <c r="G1740" s="4">
        <v>162516</v>
      </c>
      <c r="H1740" s="4">
        <v>58996</v>
      </c>
      <c r="I1740" s="4">
        <v>45959</v>
      </c>
      <c r="J1740" s="4">
        <v>3027</v>
      </c>
      <c r="K1740" s="4">
        <v>453</v>
      </c>
      <c r="L1740" s="4">
        <v>122</v>
      </c>
      <c r="M1740" s="4">
        <v>355</v>
      </c>
      <c r="N1740" s="4">
        <v>1095</v>
      </c>
      <c r="O1740" s="5">
        <f t="shared" si="27"/>
        <v>8.6098479079179266E-2</v>
      </c>
      <c r="P1740" s="2" t="s">
        <v>22</v>
      </c>
    </row>
    <row r="1741" spans="1:16" x14ac:dyDescent="0.25">
      <c r="A1741" s="6" t="s">
        <v>3551</v>
      </c>
      <c r="B1741" s="6" t="s">
        <v>3552</v>
      </c>
      <c r="C1741" s="6" t="s">
        <v>25</v>
      </c>
      <c r="D1741" s="7" t="s">
        <v>64</v>
      </c>
      <c r="E1741" s="7" t="s">
        <v>34</v>
      </c>
      <c r="F1741" s="6" t="s">
        <v>146</v>
      </c>
      <c r="G1741" s="8">
        <v>237857</v>
      </c>
      <c r="H1741" s="8">
        <v>57935</v>
      </c>
      <c r="I1741" s="8">
        <v>45426</v>
      </c>
      <c r="J1741" s="8">
        <v>2785</v>
      </c>
      <c r="K1741" s="8">
        <v>439</v>
      </c>
      <c r="L1741" s="8">
        <v>408</v>
      </c>
      <c r="M1741" s="8">
        <v>196</v>
      </c>
      <c r="N1741" s="8">
        <v>914</v>
      </c>
      <c r="O1741" s="9">
        <f t="shared" si="27"/>
        <v>8.4268920882314094E-2</v>
      </c>
      <c r="P1741" s="6" t="s">
        <v>29</v>
      </c>
    </row>
    <row r="1742" spans="1:16" x14ac:dyDescent="0.25">
      <c r="A1742" s="2" t="s">
        <v>3553</v>
      </c>
      <c r="B1742" s="2" t="s">
        <v>3554</v>
      </c>
      <c r="C1742" s="2" t="s">
        <v>18</v>
      </c>
      <c r="D1742" s="3" t="s">
        <v>226</v>
      </c>
      <c r="E1742" s="3" t="s">
        <v>27</v>
      </c>
      <c r="F1742" s="2" t="s">
        <v>73</v>
      </c>
      <c r="G1742" s="4">
        <v>176565</v>
      </c>
      <c r="H1742" s="4">
        <v>65134</v>
      </c>
      <c r="I1742" s="4">
        <v>50420</v>
      </c>
      <c r="J1742" s="4">
        <v>2915</v>
      </c>
      <c r="K1742" s="4">
        <v>276</v>
      </c>
      <c r="L1742" s="4">
        <v>327</v>
      </c>
      <c r="M1742" s="4">
        <v>612</v>
      </c>
      <c r="N1742" s="4">
        <v>1986</v>
      </c>
      <c r="O1742" s="5">
        <f t="shared" si="27"/>
        <v>8.1911939706465695E-2</v>
      </c>
      <c r="P1742" s="2" t="s">
        <v>22</v>
      </c>
    </row>
    <row r="1743" spans="1:16" x14ac:dyDescent="0.25">
      <c r="A1743" s="6" t="s">
        <v>3555</v>
      </c>
      <c r="B1743" s="6" t="s">
        <v>3556</v>
      </c>
      <c r="C1743" s="6" t="s">
        <v>18</v>
      </c>
      <c r="D1743" s="7" t="s">
        <v>231</v>
      </c>
      <c r="E1743" s="7" t="s">
        <v>39</v>
      </c>
      <c r="F1743" s="6" t="s">
        <v>73</v>
      </c>
      <c r="G1743" s="8">
        <v>646547</v>
      </c>
      <c r="H1743" s="8">
        <v>2590023</v>
      </c>
      <c r="I1743" s="8">
        <v>1923387</v>
      </c>
      <c r="J1743" s="8">
        <v>64682</v>
      </c>
      <c r="K1743" s="8">
        <v>3303</v>
      </c>
      <c r="L1743" s="8">
        <v>4580</v>
      </c>
      <c r="M1743" s="8">
        <v>7412</v>
      </c>
      <c r="N1743" s="8">
        <v>55814</v>
      </c>
      <c r="O1743" s="9">
        <f t="shared" si="27"/>
        <v>4.1581335425475999E-2</v>
      </c>
      <c r="P1743" s="6" t="s">
        <v>29</v>
      </c>
    </row>
    <row r="1744" spans="1:16" x14ac:dyDescent="0.25">
      <c r="A1744" s="2" t="s">
        <v>3557</v>
      </c>
      <c r="B1744" s="2" t="s">
        <v>3558</v>
      </c>
      <c r="C1744" s="2" t="s">
        <v>25</v>
      </c>
      <c r="D1744" s="3" t="s">
        <v>145</v>
      </c>
      <c r="E1744" s="3" t="s">
        <v>20</v>
      </c>
      <c r="F1744" s="2" t="s">
        <v>146</v>
      </c>
      <c r="G1744" s="4">
        <v>840568</v>
      </c>
      <c r="H1744" s="4">
        <v>399795</v>
      </c>
      <c r="I1744" s="4">
        <v>301938</v>
      </c>
      <c r="J1744" s="4">
        <v>21050</v>
      </c>
      <c r="K1744" s="4">
        <v>1872</v>
      </c>
      <c r="L1744" s="4">
        <v>2402</v>
      </c>
      <c r="M1744" s="4">
        <v>2081</v>
      </c>
      <c r="N1744" s="4">
        <v>7534</v>
      </c>
      <c r="O1744" s="5">
        <f t="shared" si="27"/>
        <v>9.0763666713033805E-2</v>
      </c>
      <c r="P1744" s="2" t="s">
        <v>22</v>
      </c>
    </row>
    <row r="1745" spans="1:16" x14ac:dyDescent="0.25">
      <c r="A1745" s="6" t="s">
        <v>3559</v>
      </c>
      <c r="B1745" s="6" t="s">
        <v>3560</v>
      </c>
      <c r="C1745" s="6" t="s">
        <v>76</v>
      </c>
      <c r="D1745" s="7" t="s">
        <v>77</v>
      </c>
      <c r="E1745" s="7" t="s">
        <v>27</v>
      </c>
      <c r="F1745" s="6" t="s">
        <v>87</v>
      </c>
      <c r="G1745" s="8">
        <v>731732</v>
      </c>
      <c r="H1745" s="8">
        <v>341757</v>
      </c>
      <c r="I1745" s="8">
        <v>283376</v>
      </c>
      <c r="J1745" s="8">
        <v>9332</v>
      </c>
      <c r="K1745" s="8">
        <v>648</v>
      </c>
      <c r="L1745" s="8">
        <v>334</v>
      </c>
      <c r="M1745" s="8">
        <v>1889</v>
      </c>
      <c r="N1745" s="8">
        <v>8573</v>
      </c>
      <c r="O1745" s="9">
        <f t="shared" si="27"/>
        <v>4.306292699452318E-2</v>
      </c>
      <c r="P1745" s="6" t="s">
        <v>22</v>
      </c>
    </row>
    <row r="1746" spans="1:16" x14ac:dyDescent="0.25">
      <c r="A1746" s="2" t="s">
        <v>3561</v>
      </c>
      <c r="B1746" s="2" t="s">
        <v>3562</v>
      </c>
      <c r="C1746" s="2" t="s">
        <v>32</v>
      </c>
      <c r="D1746" s="3" t="s">
        <v>175</v>
      </c>
      <c r="E1746" s="3" t="s">
        <v>27</v>
      </c>
      <c r="F1746" s="2" t="s">
        <v>128</v>
      </c>
      <c r="G1746" s="4">
        <v>109387</v>
      </c>
      <c r="H1746" s="4">
        <v>58895</v>
      </c>
      <c r="I1746" s="4">
        <v>42848</v>
      </c>
      <c r="J1746" s="4">
        <v>2292</v>
      </c>
      <c r="K1746" s="4">
        <v>394</v>
      </c>
      <c r="L1746" s="4">
        <v>330</v>
      </c>
      <c r="M1746" s="4">
        <v>43</v>
      </c>
      <c r="N1746" s="4">
        <v>1353</v>
      </c>
      <c r="O1746" s="5">
        <f t="shared" si="27"/>
        <v>7.1391896938013441E-2</v>
      </c>
      <c r="P1746" s="2" t="s">
        <v>66</v>
      </c>
    </row>
    <row r="1747" spans="1:16" x14ac:dyDescent="0.25">
      <c r="A1747" s="6" t="s">
        <v>3563</v>
      </c>
      <c r="B1747" s="6" t="s">
        <v>3564</v>
      </c>
      <c r="C1747" s="6" t="s">
        <v>43</v>
      </c>
      <c r="D1747" s="7" t="s">
        <v>44</v>
      </c>
      <c r="E1747" s="7" t="s">
        <v>50</v>
      </c>
      <c r="F1747" s="6" t="s">
        <v>70</v>
      </c>
      <c r="G1747" s="8">
        <v>49965</v>
      </c>
      <c r="H1747" s="8">
        <v>6232</v>
      </c>
      <c r="I1747" s="8">
        <v>4633</v>
      </c>
      <c r="J1747" s="8">
        <v>150</v>
      </c>
      <c r="K1747" s="8">
        <v>6</v>
      </c>
      <c r="L1747" s="8">
        <v>21</v>
      </c>
      <c r="M1747" s="8">
        <v>35</v>
      </c>
      <c r="N1747" s="8">
        <v>149</v>
      </c>
      <c r="O1747" s="9">
        <f t="shared" si="27"/>
        <v>4.5758687675372327E-2</v>
      </c>
      <c r="P1747" s="6" t="s">
        <v>22</v>
      </c>
    </row>
    <row r="1748" spans="1:16" x14ac:dyDescent="0.25">
      <c r="A1748" s="2" t="s">
        <v>3565</v>
      </c>
      <c r="B1748" s="2" t="s">
        <v>3566</v>
      </c>
      <c r="C1748" s="2" t="s">
        <v>25</v>
      </c>
      <c r="D1748" s="3" t="s">
        <v>64</v>
      </c>
      <c r="E1748" s="3" t="s">
        <v>50</v>
      </c>
      <c r="F1748" s="2" t="s">
        <v>54</v>
      </c>
      <c r="G1748" s="4">
        <v>469047</v>
      </c>
      <c r="H1748" s="4">
        <v>216256</v>
      </c>
      <c r="I1748" s="4">
        <v>166214</v>
      </c>
      <c r="J1748" s="4">
        <v>4825</v>
      </c>
      <c r="K1748" s="4">
        <v>406</v>
      </c>
      <c r="L1748" s="4">
        <v>97</v>
      </c>
      <c r="M1748" s="4">
        <v>960</v>
      </c>
      <c r="N1748" s="4">
        <v>6222</v>
      </c>
      <c r="O1748" s="5">
        <f t="shared" si="27"/>
        <v>3.7830748312416521E-2</v>
      </c>
      <c r="P1748" s="2" t="s">
        <v>29</v>
      </c>
    </row>
    <row r="1749" spans="1:16" x14ac:dyDescent="0.25">
      <c r="A1749" s="6" t="s">
        <v>3567</v>
      </c>
      <c r="B1749" s="6" t="s">
        <v>3568</v>
      </c>
      <c r="C1749" s="6" t="s">
        <v>43</v>
      </c>
      <c r="D1749" s="7" t="s">
        <v>69</v>
      </c>
      <c r="E1749" s="7" t="s">
        <v>27</v>
      </c>
      <c r="F1749" s="6" t="s">
        <v>70</v>
      </c>
      <c r="G1749" s="8">
        <v>75070</v>
      </c>
      <c r="H1749" s="8">
        <v>147929</v>
      </c>
      <c r="I1749" s="8">
        <v>129821</v>
      </c>
      <c r="J1749" s="8">
        <v>9730</v>
      </c>
      <c r="K1749" s="8">
        <v>860</v>
      </c>
      <c r="L1749" s="8">
        <v>592</v>
      </c>
      <c r="M1749" s="8">
        <v>8</v>
      </c>
      <c r="N1749" s="8">
        <v>4939</v>
      </c>
      <c r="O1749" s="9">
        <f t="shared" si="27"/>
        <v>8.6195607798430149E-2</v>
      </c>
      <c r="P1749" s="6" t="s">
        <v>22</v>
      </c>
    </row>
    <row r="1750" spans="1:16" x14ac:dyDescent="0.25">
      <c r="A1750" s="2" t="s">
        <v>3569</v>
      </c>
      <c r="B1750" s="2" t="s">
        <v>3570</v>
      </c>
      <c r="C1750" s="2" t="s">
        <v>18</v>
      </c>
      <c r="D1750" s="3" t="s">
        <v>226</v>
      </c>
      <c r="E1750" s="3" t="s">
        <v>39</v>
      </c>
      <c r="F1750" s="2" t="s">
        <v>73</v>
      </c>
      <c r="G1750" s="4">
        <v>283234</v>
      </c>
      <c r="H1750" s="4">
        <v>698618</v>
      </c>
      <c r="I1750" s="4">
        <v>529842</v>
      </c>
      <c r="J1750" s="4">
        <v>39887</v>
      </c>
      <c r="K1750" s="4">
        <v>4670</v>
      </c>
      <c r="L1750" s="4">
        <v>5573</v>
      </c>
      <c r="M1750" s="4">
        <v>6184</v>
      </c>
      <c r="N1750" s="4">
        <v>3570</v>
      </c>
      <c r="O1750" s="5">
        <f t="shared" si="27"/>
        <v>0.10628451500636038</v>
      </c>
      <c r="P1750" s="2" t="s">
        <v>66</v>
      </c>
    </row>
    <row r="1751" spans="1:16" x14ac:dyDescent="0.25">
      <c r="A1751" s="6" t="s">
        <v>3571</v>
      </c>
      <c r="B1751" s="6" t="s">
        <v>3572</v>
      </c>
      <c r="C1751" s="6" t="s">
        <v>25</v>
      </c>
      <c r="D1751" s="7" t="s">
        <v>26</v>
      </c>
      <c r="E1751" s="7" t="s">
        <v>45</v>
      </c>
      <c r="F1751" s="6" t="s">
        <v>28</v>
      </c>
      <c r="G1751" s="8">
        <v>95782</v>
      </c>
      <c r="H1751" s="8">
        <v>42061</v>
      </c>
      <c r="I1751" s="8">
        <v>30097</v>
      </c>
      <c r="J1751" s="8">
        <v>2944</v>
      </c>
      <c r="K1751" s="8">
        <v>95</v>
      </c>
      <c r="L1751" s="8">
        <v>123</v>
      </c>
      <c r="M1751" s="8">
        <v>594</v>
      </c>
      <c r="N1751" s="8">
        <v>779</v>
      </c>
      <c r="O1751" s="9">
        <f t="shared" si="27"/>
        <v>0.12479649134465229</v>
      </c>
      <c r="P1751" s="6" t="s">
        <v>22</v>
      </c>
    </row>
    <row r="1752" spans="1:16" x14ac:dyDescent="0.25">
      <c r="A1752" s="2" t="s">
        <v>3573</v>
      </c>
      <c r="B1752" s="2" t="s">
        <v>3574</v>
      </c>
      <c r="C1752" s="2" t="s">
        <v>76</v>
      </c>
      <c r="D1752" s="3" t="s">
        <v>103</v>
      </c>
      <c r="E1752" s="3" t="s">
        <v>39</v>
      </c>
      <c r="F1752" s="2" t="s">
        <v>104</v>
      </c>
      <c r="G1752" s="4">
        <v>255663</v>
      </c>
      <c r="H1752" s="4">
        <v>142356</v>
      </c>
      <c r="I1752" s="4">
        <v>100487</v>
      </c>
      <c r="J1752" s="4">
        <v>7406</v>
      </c>
      <c r="K1752" s="4">
        <v>673</v>
      </c>
      <c r="L1752" s="4">
        <v>468</v>
      </c>
      <c r="M1752" s="4">
        <v>973</v>
      </c>
      <c r="N1752" s="4">
        <v>1115</v>
      </c>
      <c r="O1752" s="5">
        <f t="shared" si="27"/>
        <v>9.4738622906445608E-2</v>
      </c>
      <c r="P1752" s="2" t="s">
        <v>22</v>
      </c>
    </row>
    <row r="1753" spans="1:16" x14ac:dyDescent="0.25">
      <c r="A1753" s="6" t="s">
        <v>3575</v>
      </c>
      <c r="B1753" s="6" t="s">
        <v>3576</v>
      </c>
      <c r="C1753" s="6" t="s">
        <v>18</v>
      </c>
      <c r="D1753" s="7" t="s">
        <v>226</v>
      </c>
      <c r="E1753" s="7" t="s">
        <v>34</v>
      </c>
      <c r="F1753" s="6" t="s">
        <v>58</v>
      </c>
      <c r="G1753" s="8">
        <v>464725</v>
      </c>
      <c r="H1753" s="8">
        <v>175201</v>
      </c>
      <c r="I1753" s="8">
        <v>145745</v>
      </c>
      <c r="J1753" s="8">
        <v>12721</v>
      </c>
      <c r="K1753" s="8">
        <v>1104</v>
      </c>
      <c r="L1753" s="8">
        <v>1305</v>
      </c>
      <c r="M1753" s="8">
        <v>2121</v>
      </c>
      <c r="N1753" s="8">
        <v>3602</v>
      </c>
      <c r="O1753" s="9">
        <f t="shared" si="27"/>
        <v>0.11836426635562113</v>
      </c>
      <c r="P1753" s="6" t="s">
        <v>22</v>
      </c>
    </row>
    <row r="1754" spans="1:16" x14ac:dyDescent="0.25">
      <c r="A1754" s="2" t="s">
        <v>3577</v>
      </c>
      <c r="B1754" s="2" t="s">
        <v>3578</v>
      </c>
      <c r="C1754" s="2" t="s">
        <v>76</v>
      </c>
      <c r="D1754" s="3" t="s">
        <v>86</v>
      </c>
      <c r="E1754" s="3" t="s">
        <v>39</v>
      </c>
      <c r="F1754" s="2" t="s">
        <v>87</v>
      </c>
      <c r="G1754" s="4">
        <v>29084</v>
      </c>
      <c r="H1754" s="4">
        <v>17600</v>
      </c>
      <c r="I1754" s="4">
        <v>15409</v>
      </c>
      <c r="J1754" s="4">
        <v>356</v>
      </c>
      <c r="K1754" s="4">
        <v>14</v>
      </c>
      <c r="L1754" s="4">
        <v>29</v>
      </c>
      <c r="M1754" s="4">
        <v>85</v>
      </c>
      <c r="N1754" s="4">
        <v>542</v>
      </c>
      <c r="O1754" s="5">
        <f t="shared" si="27"/>
        <v>3.1410214809526903E-2</v>
      </c>
      <c r="P1754" s="2" t="s">
        <v>29</v>
      </c>
    </row>
    <row r="1755" spans="1:16" x14ac:dyDescent="0.25">
      <c r="A1755" s="6" t="s">
        <v>3579</v>
      </c>
      <c r="B1755" s="6" t="s">
        <v>3580</v>
      </c>
      <c r="C1755" s="6" t="s">
        <v>43</v>
      </c>
      <c r="D1755" s="7" t="s">
        <v>44</v>
      </c>
      <c r="E1755" s="7" t="s">
        <v>20</v>
      </c>
      <c r="F1755" s="6" t="s">
        <v>70</v>
      </c>
      <c r="G1755" s="8">
        <v>468226</v>
      </c>
      <c r="H1755" s="8">
        <v>66988</v>
      </c>
      <c r="I1755" s="8">
        <v>53410</v>
      </c>
      <c r="J1755" s="8">
        <v>3645</v>
      </c>
      <c r="K1755" s="8">
        <v>524</v>
      </c>
      <c r="L1755" s="8">
        <v>467</v>
      </c>
      <c r="M1755" s="8">
        <v>2</v>
      </c>
      <c r="N1755" s="8">
        <v>893</v>
      </c>
      <c r="O1755" s="9">
        <f t="shared" si="27"/>
        <v>8.6837670848155774E-2</v>
      </c>
      <c r="P1755" s="6" t="s">
        <v>22</v>
      </c>
    </row>
    <row r="1756" spans="1:16" x14ac:dyDescent="0.25">
      <c r="A1756" s="2" t="s">
        <v>3581</v>
      </c>
      <c r="B1756" s="2" t="s">
        <v>3582</v>
      </c>
      <c r="C1756" s="2" t="s">
        <v>76</v>
      </c>
      <c r="D1756" s="3" t="s">
        <v>103</v>
      </c>
      <c r="E1756" s="3" t="s">
        <v>50</v>
      </c>
      <c r="F1756" s="2" t="s">
        <v>104</v>
      </c>
      <c r="G1756" s="4">
        <v>471988</v>
      </c>
      <c r="H1756" s="4">
        <v>100272</v>
      </c>
      <c r="I1756" s="4">
        <v>84793</v>
      </c>
      <c r="J1756" s="4">
        <v>3828</v>
      </c>
      <c r="K1756" s="4">
        <v>439</v>
      </c>
      <c r="L1756" s="4">
        <v>279</v>
      </c>
      <c r="M1756" s="4">
        <v>728</v>
      </c>
      <c r="N1756" s="4">
        <v>1531</v>
      </c>
      <c r="O1756" s="5">
        <f t="shared" si="27"/>
        <v>6.2198530539077521E-2</v>
      </c>
      <c r="P1756" s="2" t="s">
        <v>66</v>
      </c>
    </row>
    <row r="1757" spans="1:16" x14ac:dyDescent="0.25">
      <c r="A1757" s="6" t="s">
        <v>3583</v>
      </c>
      <c r="B1757" s="6" t="s">
        <v>3584</v>
      </c>
      <c r="C1757" s="6" t="s">
        <v>76</v>
      </c>
      <c r="D1757" s="7" t="s">
        <v>86</v>
      </c>
      <c r="E1757" s="7" t="s">
        <v>45</v>
      </c>
      <c r="F1757" s="6" t="s">
        <v>155</v>
      </c>
      <c r="G1757" s="8">
        <v>380189</v>
      </c>
      <c r="H1757" s="8">
        <v>30688</v>
      </c>
      <c r="I1757" s="8">
        <v>21855</v>
      </c>
      <c r="J1757" s="8">
        <v>1750</v>
      </c>
      <c r="K1757" s="8">
        <v>261</v>
      </c>
      <c r="L1757" s="8">
        <v>167</v>
      </c>
      <c r="M1757" s="8">
        <v>222</v>
      </c>
      <c r="N1757" s="8">
        <v>525</v>
      </c>
      <c r="O1757" s="9">
        <f t="shared" si="27"/>
        <v>0.10981468771448182</v>
      </c>
      <c r="P1757" s="6" t="s">
        <v>22</v>
      </c>
    </row>
    <row r="1758" spans="1:16" x14ac:dyDescent="0.25">
      <c r="A1758" s="2" t="s">
        <v>3585</v>
      </c>
      <c r="B1758" s="2" t="s">
        <v>3586</v>
      </c>
      <c r="C1758" s="2" t="s">
        <v>43</v>
      </c>
      <c r="D1758" s="3" t="s">
        <v>69</v>
      </c>
      <c r="E1758" s="3" t="s">
        <v>45</v>
      </c>
      <c r="F1758" s="2" t="s">
        <v>46</v>
      </c>
      <c r="G1758" s="4">
        <v>249290</v>
      </c>
      <c r="H1758" s="4">
        <v>84515</v>
      </c>
      <c r="I1758" s="4">
        <v>75319</v>
      </c>
      <c r="J1758" s="4">
        <v>5561</v>
      </c>
      <c r="K1758" s="4">
        <v>746</v>
      </c>
      <c r="L1758" s="4">
        <v>223</v>
      </c>
      <c r="M1758" s="4">
        <v>32</v>
      </c>
      <c r="N1758" s="4">
        <v>1678</v>
      </c>
      <c r="O1758" s="5">
        <f t="shared" si="27"/>
        <v>8.7122771146722608E-2</v>
      </c>
      <c r="P1758" s="2" t="s">
        <v>29</v>
      </c>
    </row>
    <row r="1759" spans="1:16" x14ac:dyDescent="0.25">
      <c r="A1759" s="6" t="s">
        <v>3587</v>
      </c>
      <c r="B1759" s="6" t="s">
        <v>3588</v>
      </c>
      <c r="C1759" s="6" t="s">
        <v>18</v>
      </c>
      <c r="D1759" s="7" t="s">
        <v>92</v>
      </c>
      <c r="E1759" s="7" t="s">
        <v>39</v>
      </c>
      <c r="F1759" s="6" t="s">
        <v>58</v>
      </c>
      <c r="G1759" s="8">
        <v>695875</v>
      </c>
      <c r="H1759" s="8">
        <v>302280</v>
      </c>
      <c r="I1759" s="8">
        <v>255410</v>
      </c>
      <c r="J1759" s="8">
        <v>13083</v>
      </c>
      <c r="K1759" s="8">
        <v>1281</v>
      </c>
      <c r="L1759" s="8">
        <v>418</v>
      </c>
      <c r="M1759" s="8">
        <v>2489</v>
      </c>
      <c r="N1759" s="8">
        <v>10498</v>
      </c>
      <c r="O1759" s="9">
        <f t="shared" si="27"/>
        <v>6.7620688305078114E-2</v>
      </c>
      <c r="P1759" s="6" t="s">
        <v>66</v>
      </c>
    </row>
    <row r="1760" spans="1:16" x14ac:dyDescent="0.25">
      <c r="A1760" s="2" t="s">
        <v>3589</v>
      </c>
      <c r="B1760" s="2" t="s">
        <v>3590</v>
      </c>
      <c r="C1760" s="2" t="s">
        <v>76</v>
      </c>
      <c r="D1760" s="3" t="s">
        <v>182</v>
      </c>
      <c r="E1760" s="3" t="s">
        <v>27</v>
      </c>
      <c r="F1760" s="2" t="s">
        <v>104</v>
      </c>
      <c r="G1760" s="4">
        <v>464207</v>
      </c>
      <c r="H1760" s="4">
        <v>151025</v>
      </c>
      <c r="I1760" s="4">
        <v>117806</v>
      </c>
      <c r="J1760" s="4">
        <v>8829</v>
      </c>
      <c r="K1760" s="4">
        <v>897</v>
      </c>
      <c r="L1760" s="4">
        <v>439</v>
      </c>
      <c r="M1760" s="4">
        <v>1005</v>
      </c>
      <c r="N1760" s="4">
        <v>3507</v>
      </c>
      <c r="O1760" s="5">
        <f t="shared" si="27"/>
        <v>9.4816902364905017E-2</v>
      </c>
      <c r="P1760" s="2" t="s">
        <v>22</v>
      </c>
    </row>
    <row r="1761" spans="1:16" x14ac:dyDescent="0.25">
      <c r="A1761" s="6" t="s">
        <v>3591</v>
      </c>
      <c r="B1761" s="6" t="s">
        <v>3592</v>
      </c>
      <c r="C1761" s="6" t="s">
        <v>18</v>
      </c>
      <c r="D1761" s="7" t="s">
        <v>226</v>
      </c>
      <c r="E1761" s="7" t="s">
        <v>39</v>
      </c>
      <c r="F1761" s="6" t="s">
        <v>73</v>
      </c>
      <c r="G1761" s="8">
        <v>618483</v>
      </c>
      <c r="H1761" s="8">
        <v>115747</v>
      </c>
      <c r="I1761" s="8">
        <v>100124</v>
      </c>
      <c r="J1761" s="8">
        <v>5045</v>
      </c>
      <c r="K1761" s="8">
        <v>454</v>
      </c>
      <c r="L1761" s="8">
        <v>638</v>
      </c>
      <c r="M1761" s="8">
        <v>792</v>
      </c>
      <c r="N1761" s="8">
        <v>2648</v>
      </c>
      <c r="O1761" s="9">
        <f t="shared" si="27"/>
        <v>6.9204186808357632E-2</v>
      </c>
      <c r="P1761" s="6" t="s">
        <v>22</v>
      </c>
    </row>
    <row r="1762" spans="1:16" x14ac:dyDescent="0.25">
      <c r="A1762" s="2" t="s">
        <v>3593</v>
      </c>
      <c r="B1762" s="2" t="s">
        <v>3594</v>
      </c>
      <c r="C1762" s="2" t="s">
        <v>18</v>
      </c>
      <c r="D1762" s="3" t="s">
        <v>231</v>
      </c>
      <c r="E1762" s="3" t="s">
        <v>39</v>
      </c>
      <c r="F1762" s="2" t="s">
        <v>21</v>
      </c>
      <c r="G1762" s="4">
        <v>244486</v>
      </c>
      <c r="H1762" s="4">
        <v>52633</v>
      </c>
      <c r="I1762" s="4">
        <v>38375</v>
      </c>
      <c r="J1762" s="4">
        <v>3249</v>
      </c>
      <c r="K1762" s="4">
        <v>576</v>
      </c>
      <c r="L1762" s="4">
        <v>370</v>
      </c>
      <c r="M1762" s="4">
        <v>802</v>
      </c>
      <c r="N1762" s="4">
        <v>890</v>
      </c>
      <c r="O1762" s="5">
        <f t="shared" si="27"/>
        <v>0.13021498371335505</v>
      </c>
      <c r="P1762" s="2" t="s">
        <v>29</v>
      </c>
    </row>
    <row r="1763" spans="1:16" x14ac:dyDescent="0.25">
      <c r="A1763" s="6" t="s">
        <v>3595</v>
      </c>
      <c r="B1763" s="6" t="s">
        <v>3596</v>
      </c>
      <c r="C1763" s="6" t="s">
        <v>43</v>
      </c>
      <c r="D1763" s="7" t="s">
        <v>81</v>
      </c>
      <c r="E1763" s="7" t="s">
        <v>50</v>
      </c>
      <c r="F1763" s="6" t="s">
        <v>70</v>
      </c>
      <c r="G1763" s="8">
        <v>653810</v>
      </c>
      <c r="H1763" s="8">
        <v>197434</v>
      </c>
      <c r="I1763" s="8">
        <v>138511</v>
      </c>
      <c r="J1763" s="8">
        <v>11847</v>
      </c>
      <c r="K1763" s="8">
        <v>1748</v>
      </c>
      <c r="L1763" s="8">
        <v>1463</v>
      </c>
      <c r="M1763" s="8">
        <v>7</v>
      </c>
      <c r="N1763" s="8">
        <v>4939</v>
      </c>
      <c r="O1763" s="9">
        <f t="shared" si="27"/>
        <v>0.10876392488683209</v>
      </c>
      <c r="P1763" s="6" t="s">
        <v>29</v>
      </c>
    </row>
    <row r="1764" spans="1:16" x14ac:dyDescent="0.25">
      <c r="A1764" s="2" t="s">
        <v>3597</v>
      </c>
      <c r="B1764" s="2" t="s">
        <v>3598</v>
      </c>
      <c r="C1764" s="2" t="s">
        <v>32</v>
      </c>
      <c r="D1764" s="3" t="s">
        <v>175</v>
      </c>
      <c r="E1764" s="3" t="s">
        <v>27</v>
      </c>
      <c r="F1764" s="2" t="s">
        <v>35</v>
      </c>
      <c r="G1764" s="4">
        <v>204378</v>
      </c>
      <c r="H1764" s="4">
        <v>108123</v>
      </c>
      <c r="I1764" s="4">
        <v>93454</v>
      </c>
      <c r="J1764" s="4">
        <v>6228</v>
      </c>
      <c r="K1764" s="4">
        <v>263</v>
      </c>
      <c r="L1764" s="4">
        <v>891</v>
      </c>
      <c r="M1764" s="4">
        <v>14</v>
      </c>
      <c r="N1764" s="4">
        <v>544</v>
      </c>
      <c r="O1764" s="5">
        <f t="shared" si="27"/>
        <v>7.9140539730776643E-2</v>
      </c>
      <c r="P1764" s="2" t="s">
        <v>29</v>
      </c>
    </row>
    <row r="1765" spans="1:16" x14ac:dyDescent="0.25">
      <c r="A1765" s="6" t="s">
        <v>3599</v>
      </c>
      <c r="B1765" s="6" t="s">
        <v>3600</v>
      </c>
      <c r="C1765" s="6" t="s">
        <v>25</v>
      </c>
      <c r="D1765" s="7" t="s">
        <v>61</v>
      </c>
      <c r="E1765" s="7" t="s">
        <v>50</v>
      </c>
      <c r="F1765" s="6" t="s">
        <v>65</v>
      </c>
      <c r="G1765" s="8">
        <v>603292</v>
      </c>
      <c r="H1765" s="8">
        <v>311040</v>
      </c>
      <c r="I1765" s="8">
        <v>282743</v>
      </c>
      <c r="J1765" s="8">
        <v>23263</v>
      </c>
      <c r="K1765" s="8">
        <v>3558</v>
      </c>
      <c r="L1765" s="8">
        <v>3043</v>
      </c>
      <c r="M1765" s="8">
        <v>3387</v>
      </c>
      <c r="N1765" s="8">
        <v>3390</v>
      </c>
      <c r="O1765" s="9">
        <f t="shared" si="27"/>
        <v>0.117601496765614</v>
      </c>
      <c r="P1765" s="6" t="s">
        <v>66</v>
      </c>
    </row>
    <row r="1766" spans="1:16" x14ac:dyDescent="0.25">
      <c r="A1766" s="2" t="s">
        <v>3601</v>
      </c>
      <c r="B1766" s="2" t="s">
        <v>3602</v>
      </c>
      <c r="C1766" s="2" t="s">
        <v>18</v>
      </c>
      <c r="D1766" s="3" t="s">
        <v>92</v>
      </c>
      <c r="E1766" s="3" t="s">
        <v>34</v>
      </c>
      <c r="F1766" s="2" t="s">
        <v>58</v>
      </c>
      <c r="G1766" s="4">
        <v>711619</v>
      </c>
      <c r="H1766" s="4">
        <v>454043</v>
      </c>
      <c r="I1766" s="4">
        <v>342304</v>
      </c>
      <c r="J1766" s="4">
        <v>36101</v>
      </c>
      <c r="K1766" s="4">
        <v>5718</v>
      </c>
      <c r="L1766" s="4">
        <v>5127</v>
      </c>
      <c r="M1766" s="4">
        <v>8804</v>
      </c>
      <c r="N1766" s="4">
        <v>12140</v>
      </c>
      <c r="O1766" s="5">
        <f t="shared" si="27"/>
        <v>0.16286692530616059</v>
      </c>
      <c r="P1766" s="2" t="s">
        <v>22</v>
      </c>
    </row>
    <row r="1767" spans="1:16" x14ac:dyDescent="0.25">
      <c r="A1767" s="6" t="s">
        <v>3603</v>
      </c>
      <c r="B1767" s="6" t="s">
        <v>3604</v>
      </c>
      <c r="C1767" s="6" t="s">
        <v>43</v>
      </c>
      <c r="D1767" s="7" t="s">
        <v>172</v>
      </c>
      <c r="E1767" s="7" t="s">
        <v>20</v>
      </c>
      <c r="F1767" s="6" t="s">
        <v>70</v>
      </c>
      <c r="G1767" s="8">
        <v>24510</v>
      </c>
      <c r="H1767" s="8">
        <v>12447</v>
      </c>
      <c r="I1767" s="8">
        <v>10704</v>
      </c>
      <c r="J1767" s="8">
        <v>545</v>
      </c>
      <c r="K1767" s="8">
        <v>39</v>
      </c>
      <c r="L1767" s="8">
        <v>44</v>
      </c>
      <c r="M1767" s="8">
        <v>4</v>
      </c>
      <c r="N1767" s="8">
        <v>300</v>
      </c>
      <c r="O1767" s="9">
        <f t="shared" si="27"/>
        <v>5.9043348281016442E-2</v>
      </c>
      <c r="P1767" s="6" t="s">
        <v>29</v>
      </c>
    </row>
    <row r="1768" spans="1:16" x14ac:dyDescent="0.25">
      <c r="A1768" s="2" t="s">
        <v>3605</v>
      </c>
      <c r="B1768" s="2" t="s">
        <v>3606</v>
      </c>
      <c r="C1768" s="2" t="s">
        <v>25</v>
      </c>
      <c r="D1768" s="3" t="s">
        <v>64</v>
      </c>
      <c r="E1768" s="3" t="s">
        <v>39</v>
      </c>
      <c r="F1768" s="2" t="s">
        <v>28</v>
      </c>
      <c r="G1768" s="4">
        <v>804217</v>
      </c>
      <c r="H1768" s="4">
        <v>352119</v>
      </c>
      <c r="I1768" s="4">
        <v>264977</v>
      </c>
      <c r="J1768" s="4">
        <v>17748</v>
      </c>
      <c r="K1768" s="4">
        <v>1375</v>
      </c>
      <c r="L1768" s="4">
        <v>1798</v>
      </c>
      <c r="M1768" s="4">
        <v>2985</v>
      </c>
      <c r="N1768" s="4">
        <v>6132</v>
      </c>
      <c r="O1768" s="5">
        <f t="shared" si="27"/>
        <v>9.0219151096132877E-2</v>
      </c>
      <c r="P1768" s="2" t="s">
        <v>22</v>
      </c>
    </row>
    <row r="1769" spans="1:16" x14ac:dyDescent="0.25">
      <c r="A1769" s="6" t="s">
        <v>3607</v>
      </c>
      <c r="B1769" s="6" t="s">
        <v>3608</v>
      </c>
      <c r="C1769" s="6" t="s">
        <v>25</v>
      </c>
      <c r="D1769" s="7" t="s">
        <v>64</v>
      </c>
      <c r="E1769" s="7" t="s">
        <v>27</v>
      </c>
      <c r="F1769" s="6" t="s">
        <v>54</v>
      </c>
      <c r="G1769" s="8">
        <v>750152</v>
      </c>
      <c r="H1769" s="8">
        <v>157551</v>
      </c>
      <c r="I1769" s="8">
        <v>144167</v>
      </c>
      <c r="J1769" s="8">
        <v>4473</v>
      </c>
      <c r="K1769" s="8">
        <v>737</v>
      </c>
      <c r="L1769" s="8">
        <v>176</v>
      </c>
      <c r="M1769" s="8">
        <v>1017</v>
      </c>
      <c r="N1769" s="8">
        <v>4592</v>
      </c>
      <c r="O1769" s="9">
        <f t="shared" si="27"/>
        <v>4.4413770141571926E-2</v>
      </c>
      <c r="P1769" s="6" t="s">
        <v>29</v>
      </c>
    </row>
    <row r="1770" spans="1:16" x14ac:dyDescent="0.25">
      <c r="A1770" s="2" t="s">
        <v>3609</v>
      </c>
      <c r="B1770" s="2" t="s">
        <v>3610</v>
      </c>
      <c r="C1770" s="2" t="s">
        <v>43</v>
      </c>
      <c r="D1770" s="3" t="s">
        <v>44</v>
      </c>
      <c r="E1770" s="3" t="s">
        <v>39</v>
      </c>
      <c r="F1770" s="2" t="s">
        <v>107</v>
      </c>
      <c r="G1770" s="4">
        <v>275168</v>
      </c>
      <c r="H1770" s="4">
        <v>119982</v>
      </c>
      <c r="I1770" s="4">
        <v>106309</v>
      </c>
      <c r="J1770" s="4">
        <v>3590</v>
      </c>
      <c r="K1770" s="4">
        <v>208</v>
      </c>
      <c r="L1770" s="4">
        <v>158</v>
      </c>
      <c r="M1770" s="4">
        <v>39</v>
      </c>
      <c r="N1770" s="4">
        <v>2091</v>
      </c>
      <c r="O1770" s="5">
        <f t="shared" si="27"/>
        <v>3.7579132528760502E-2</v>
      </c>
      <c r="P1770" s="2" t="s">
        <v>22</v>
      </c>
    </row>
    <row r="1771" spans="1:16" x14ac:dyDescent="0.25">
      <c r="A1771" s="6" t="s">
        <v>3611</v>
      </c>
      <c r="B1771" s="6" t="s">
        <v>3612</v>
      </c>
      <c r="C1771" s="6" t="s">
        <v>25</v>
      </c>
      <c r="D1771" s="7" t="s">
        <v>26</v>
      </c>
      <c r="E1771" s="7" t="s">
        <v>45</v>
      </c>
      <c r="F1771" s="6" t="s">
        <v>65</v>
      </c>
      <c r="G1771" s="8">
        <v>534438</v>
      </c>
      <c r="H1771" s="8">
        <v>338853</v>
      </c>
      <c r="I1771" s="8">
        <v>242742</v>
      </c>
      <c r="J1771" s="8">
        <v>22699</v>
      </c>
      <c r="K1771" s="8">
        <v>1438</v>
      </c>
      <c r="L1771" s="8">
        <v>590</v>
      </c>
      <c r="M1771" s="8">
        <v>2303</v>
      </c>
      <c r="N1771" s="8">
        <v>7844</v>
      </c>
      <c r="O1771" s="9">
        <f t="shared" si="27"/>
        <v>0.11135279432483872</v>
      </c>
      <c r="P1771" s="6" t="s">
        <v>22</v>
      </c>
    </row>
    <row r="1772" spans="1:16" x14ac:dyDescent="0.25">
      <c r="A1772" s="2" t="s">
        <v>3613</v>
      </c>
      <c r="B1772" s="2" t="s">
        <v>3614</v>
      </c>
      <c r="C1772" s="2" t="s">
        <v>76</v>
      </c>
      <c r="D1772" s="3" t="s">
        <v>103</v>
      </c>
      <c r="E1772" s="3" t="s">
        <v>50</v>
      </c>
      <c r="F1772" s="2" t="s">
        <v>78</v>
      </c>
      <c r="G1772" s="4">
        <v>625178</v>
      </c>
      <c r="H1772" s="4">
        <v>328586</v>
      </c>
      <c r="I1772" s="4">
        <v>285739</v>
      </c>
      <c r="J1772" s="4">
        <v>24509</v>
      </c>
      <c r="K1772" s="4">
        <v>3303</v>
      </c>
      <c r="L1772" s="4">
        <v>1021</v>
      </c>
      <c r="M1772" s="4">
        <v>3585</v>
      </c>
      <c r="N1772" s="4">
        <v>6363</v>
      </c>
      <c r="O1772" s="5">
        <f t="shared" si="27"/>
        <v>0.1134531862993851</v>
      </c>
      <c r="P1772" s="2" t="s">
        <v>29</v>
      </c>
    </row>
    <row r="1773" spans="1:16" x14ac:dyDescent="0.25">
      <c r="A1773" s="6" t="s">
        <v>3615</v>
      </c>
      <c r="B1773" s="6" t="s">
        <v>3616</v>
      </c>
      <c r="C1773" s="6" t="s">
        <v>25</v>
      </c>
      <c r="D1773" s="7" t="s">
        <v>145</v>
      </c>
      <c r="E1773" s="7" t="s">
        <v>45</v>
      </c>
      <c r="F1773" s="6" t="s">
        <v>28</v>
      </c>
      <c r="G1773" s="8">
        <v>411626</v>
      </c>
      <c r="H1773" s="8">
        <v>142726</v>
      </c>
      <c r="I1773" s="8">
        <v>112859</v>
      </c>
      <c r="J1773" s="8">
        <v>10444</v>
      </c>
      <c r="K1773" s="8">
        <v>1827</v>
      </c>
      <c r="L1773" s="8">
        <v>745</v>
      </c>
      <c r="M1773" s="8">
        <v>569</v>
      </c>
      <c r="N1773" s="8">
        <v>1337</v>
      </c>
      <c r="O1773" s="9">
        <f t="shared" si="27"/>
        <v>0.12037143692572147</v>
      </c>
      <c r="P1773" s="6" t="s">
        <v>22</v>
      </c>
    </row>
    <row r="1774" spans="1:16" x14ac:dyDescent="0.25">
      <c r="A1774" s="2" t="s">
        <v>3617</v>
      </c>
      <c r="B1774" s="2" t="s">
        <v>3618</v>
      </c>
      <c r="C1774" s="2" t="s">
        <v>76</v>
      </c>
      <c r="D1774" s="3" t="s">
        <v>86</v>
      </c>
      <c r="E1774" s="3" t="s">
        <v>27</v>
      </c>
      <c r="F1774" s="2" t="s">
        <v>78</v>
      </c>
      <c r="G1774" s="4">
        <v>363944</v>
      </c>
      <c r="H1774" s="4">
        <v>151393</v>
      </c>
      <c r="I1774" s="4">
        <v>121576</v>
      </c>
      <c r="J1774" s="4">
        <v>5093</v>
      </c>
      <c r="K1774" s="4">
        <v>500</v>
      </c>
      <c r="L1774" s="4">
        <v>708</v>
      </c>
      <c r="M1774" s="4">
        <v>836</v>
      </c>
      <c r="N1774" s="4">
        <v>3489</v>
      </c>
      <c r="O1774" s="5">
        <f t="shared" si="27"/>
        <v>5.8704020530367836E-2</v>
      </c>
      <c r="P1774" s="2" t="s">
        <v>22</v>
      </c>
    </row>
    <row r="1775" spans="1:16" x14ac:dyDescent="0.25">
      <c r="A1775" s="6" t="s">
        <v>3619</v>
      </c>
      <c r="B1775" s="6" t="s">
        <v>3620</v>
      </c>
      <c r="C1775" s="6" t="s">
        <v>18</v>
      </c>
      <c r="D1775" s="7" t="s">
        <v>226</v>
      </c>
      <c r="E1775" s="7" t="s">
        <v>27</v>
      </c>
      <c r="F1775" s="6" t="s">
        <v>73</v>
      </c>
      <c r="G1775" s="8">
        <v>155643</v>
      </c>
      <c r="H1775" s="8">
        <v>52501</v>
      </c>
      <c r="I1775" s="8">
        <v>37736</v>
      </c>
      <c r="J1775" s="8">
        <v>1252</v>
      </c>
      <c r="K1775" s="8">
        <v>164</v>
      </c>
      <c r="L1775" s="8">
        <v>185</v>
      </c>
      <c r="M1775" s="8">
        <v>303</v>
      </c>
      <c r="N1775" s="8">
        <v>980</v>
      </c>
      <c r="O1775" s="9">
        <f t="shared" si="27"/>
        <v>5.0455798176807294E-2</v>
      </c>
      <c r="P1775" s="6" t="s">
        <v>22</v>
      </c>
    </row>
    <row r="1776" spans="1:16" x14ac:dyDescent="0.25">
      <c r="A1776" s="2" t="s">
        <v>3621</v>
      </c>
      <c r="B1776" s="2" t="s">
        <v>3622</v>
      </c>
      <c r="C1776" s="2" t="s">
        <v>32</v>
      </c>
      <c r="D1776" s="3" t="s">
        <v>121</v>
      </c>
      <c r="E1776" s="3" t="s">
        <v>39</v>
      </c>
      <c r="F1776" s="2" t="s">
        <v>128</v>
      </c>
      <c r="G1776" s="4">
        <v>110933</v>
      </c>
      <c r="H1776" s="4">
        <v>68823</v>
      </c>
      <c r="I1776" s="4">
        <v>59233</v>
      </c>
      <c r="J1776" s="4">
        <v>2038</v>
      </c>
      <c r="K1776" s="4">
        <v>124</v>
      </c>
      <c r="L1776" s="4">
        <v>251</v>
      </c>
      <c r="M1776" s="4">
        <v>34</v>
      </c>
      <c r="N1776" s="4">
        <v>432</v>
      </c>
      <c r="O1776" s="5">
        <f t="shared" si="27"/>
        <v>4.131143112791856E-2</v>
      </c>
      <c r="P1776" s="2" t="s">
        <v>22</v>
      </c>
    </row>
    <row r="1777" spans="1:16" x14ac:dyDescent="0.25">
      <c r="A1777" s="6" t="s">
        <v>3623</v>
      </c>
      <c r="B1777" s="6" t="s">
        <v>3624</v>
      </c>
      <c r="C1777" s="6" t="s">
        <v>25</v>
      </c>
      <c r="D1777" s="7" t="s">
        <v>61</v>
      </c>
      <c r="E1777" s="7" t="s">
        <v>20</v>
      </c>
      <c r="F1777" s="6" t="s">
        <v>28</v>
      </c>
      <c r="G1777" s="8">
        <v>670960</v>
      </c>
      <c r="H1777" s="8">
        <v>249213</v>
      </c>
      <c r="I1777" s="8">
        <v>227167</v>
      </c>
      <c r="J1777" s="8">
        <v>17523</v>
      </c>
      <c r="K1777" s="8">
        <v>975</v>
      </c>
      <c r="L1777" s="8">
        <v>602</v>
      </c>
      <c r="M1777" s="8">
        <v>3988</v>
      </c>
      <c r="N1777" s="8">
        <v>6352</v>
      </c>
      <c r="O1777" s="9">
        <f t="shared" si="27"/>
        <v>0.1016344803602636</v>
      </c>
      <c r="P1777" s="6" t="s">
        <v>22</v>
      </c>
    </row>
    <row r="1778" spans="1:16" x14ac:dyDescent="0.25">
      <c r="A1778" s="2" t="s">
        <v>3625</v>
      </c>
      <c r="B1778" s="2" t="s">
        <v>3626</v>
      </c>
      <c r="C1778" s="2" t="s">
        <v>32</v>
      </c>
      <c r="D1778" s="3" t="s">
        <v>49</v>
      </c>
      <c r="E1778" s="3" t="s">
        <v>45</v>
      </c>
      <c r="F1778" s="2" t="s">
        <v>35</v>
      </c>
      <c r="G1778" s="4">
        <v>372796</v>
      </c>
      <c r="H1778" s="4">
        <v>91576</v>
      </c>
      <c r="I1778" s="4">
        <v>67112</v>
      </c>
      <c r="J1778" s="4">
        <v>1846</v>
      </c>
      <c r="K1778" s="4">
        <v>92</v>
      </c>
      <c r="L1778" s="4">
        <v>52</v>
      </c>
      <c r="M1778" s="4">
        <v>28</v>
      </c>
      <c r="N1778" s="4">
        <v>2779</v>
      </c>
      <c r="O1778" s="5">
        <f t="shared" si="27"/>
        <v>3.00691381571105E-2</v>
      </c>
      <c r="P1778" s="2" t="s">
        <v>22</v>
      </c>
    </row>
    <row r="1779" spans="1:16" x14ac:dyDescent="0.25">
      <c r="A1779" s="6" t="s">
        <v>3627</v>
      </c>
      <c r="B1779" s="6" t="s">
        <v>3628</v>
      </c>
      <c r="C1779" s="6" t="s">
        <v>76</v>
      </c>
      <c r="D1779" s="7" t="s">
        <v>182</v>
      </c>
      <c r="E1779" s="7" t="s">
        <v>45</v>
      </c>
      <c r="F1779" s="6" t="s">
        <v>155</v>
      </c>
      <c r="G1779" s="8">
        <v>516361</v>
      </c>
      <c r="H1779" s="8">
        <v>167834</v>
      </c>
      <c r="I1779" s="8">
        <v>140717</v>
      </c>
      <c r="J1779" s="8">
        <v>6642</v>
      </c>
      <c r="K1779" s="8">
        <v>355</v>
      </c>
      <c r="L1779" s="8">
        <v>764</v>
      </c>
      <c r="M1779" s="8">
        <v>766</v>
      </c>
      <c r="N1779" s="8">
        <v>2510</v>
      </c>
      <c r="O1779" s="9">
        <f t="shared" si="27"/>
        <v>6.0596800670850007E-2</v>
      </c>
      <c r="P1779" s="6" t="s">
        <v>29</v>
      </c>
    </row>
    <row r="1780" spans="1:16" x14ac:dyDescent="0.25">
      <c r="A1780" s="2" t="s">
        <v>3629</v>
      </c>
      <c r="B1780" s="2" t="s">
        <v>3630</v>
      </c>
      <c r="C1780" s="2" t="s">
        <v>76</v>
      </c>
      <c r="D1780" s="3" t="s">
        <v>77</v>
      </c>
      <c r="E1780" s="3" t="s">
        <v>27</v>
      </c>
      <c r="F1780" s="2" t="s">
        <v>87</v>
      </c>
      <c r="G1780" s="4">
        <v>650984</v>
      </c>
      <c r="H1780" s="4">
        <v>251622</v>
      </c>
      <c r="I1780" s="4">
        <v>215439</v>
      </c>
      <c r="J1780" s="4">
        <v>6977</v>
      </c>
      <c r="K1780" s="4">
        <v>1127</v>
      </c>
      <c r="L1780" s="4">
        <v>328</v>
      </c>
      <c r="M1780" s="4">
        <v>415</v>
      </c>
      <c r="N1780" s="4">
        <v>2841</v>
      </c>
      <c r="O1780" s="5">
        <f t="shared" si="27"/>
        <v>4.1064988233328228E-2</v>
      </c>
      <c r="P1780" s="2" t="s">
        <v>22</v>
      </c>
    </row>
    <row r="1781" spans="1:16" x14ac:dyDescent="0.25">
      <c r="A1781" s="6" t="s">
        <v>3631</v>
      </c>
      <c r="B1781" s="6" t="s">
        <v>3632</v>
      </c>
      <c r="C1781" s="6" t="s">
        <v>18</v>
      </c>
      <c r="D1781" s="7" t="s">
        <v>226</v>
      </c>
      <c r="E1781" s="7" t="s">
        <v>20</v>
      </c>
      <c r="F1781" s="6" t="s">
        <v>73</v>
      </c>
      <c r="G1781" s="8">
        <v>688471</v>
      </c>
      <c r="H1781" s="8">
        <v>56184</v>
      </c>
      <c r="I1781" s="8">
        <v>47606</v>
      </c>
      <c r="J1781" s="8">
        <v>3425</v>
      </c>
      <c r="K1781" s="8">
        <v>553</v>
      </c>
      <c r="L1781" s="8">
        <v>353</v>
      </c>
      <c r="M1781" s="8">
        <v>306</v>
      </c>
      <c r="N1781" s="8">
        <v>1051</v>
      </c>
      <c r="O1781" s="9">
        <f t="shared" si="27"/>
        <v>9.7403688610679329E-2</v>
      </c>
      <c r="P1781" s="6" t="s">
        <v>29</v>
      </c>
    </row>
    <row r="1782" spans="1:16" x14ac:dyDescent="0.25">
      <c r="A1782" s="2" t="s">
        <v>3633</v>
      </c>
      <c r="B1782" s="2" t="s">
        <v>3634</v>
      </c>
      <c r="C1782" s="2" t="s">
        <v>43</v>
      </c>
      <c r="D1782" s="3" t="s">
        <v>44</v>
      </c>
      <c r="E1782" s="3" t="s">
        <v>27</v>
      </c>
      <c r="F1782" s="2" t="s">
        <v>70</v>
      </c>
      <c r="G1782" s="4">
        <v>638088</v>
      </c>
      <c r="H1782" s="4">
        <v>202184</v>
      </c>
      <c r="I1782" s="4">
        <v>151364</v>
      </c>
      <c r="J1782" s="4">
        <v>9163</v>
      </c>
      <c r="K1782" s="4">
        <v>1511</v>
      </c>
      <c r="L1782" s="4">
        <v>691</v>
      </c>
      <c r="M1782" s="4">
        <v>24</v>
      </c>
      <c r="N1782" s="4">
        <v>6082</v>
      </c>
      <c r="O1782" s="5">
        <f t="shared" si="27"/>
        <v>7.5242461879971453E-2</v>
      </c>
      <c r="P1782" s="2" t="s">
        <v>22</v>
      </c>
    </row>
    <row r="1783" spans="1:16" x14ac:dyDescent="0.25">
      <c r="A1783" s="6" t="s">
        <v>3635</v>
      </c>
      <c r="B1783" s="6" t="s">
        <v>3636</v>
      </c>
      <c r="C1783" s="6" t="s">
        <v>25</v>
      </c>
      <c r="D1783" s="7" t="s">
        <v>145</v>
      </c>
      <c r="E1783" s="7" t="s">
        <v>50</v>
      </c>
      <c r="F1783" s="6" t="s">
        <v>28</v>
      </c>
      <c r="G1783" s="8">
        <v>294474</v>
      </c>
      <c r="H1783" s="8">
        <v>34346</v>
      </c>
      <c r="I1783" s="8">
        <v>26985</v>
      </c>
      <c r="J1783" s="8">
        <v>1585</v>
      </c>
      <c r="K1783" s="8">
        <v>110</v>
      </c>
      <c r="L1783" s="8">
        <v>127</v>
      </c>
      <c r="M1783" s="8">
        <v>88</v>
      </c>
      <c r="N1783" s="8">
        <v>734</v>
      </c>
      <c r="O1783" s="9">
        <f t="shared" si="27"/>
        <v>7.0780062997961829E-2</v>
      </c>
      <c r="P1783" s="6" t="s">
        <v>22</v>
      </c>
    </row>
    <row r="1784" spans="1:16" x14ac:dyDescent="0.25">
      <c r="A1784" s="2" t="s">
        <v>3637</v>
      </c>
      <c r="B1784" s="2" t="s">
        <v>3638</v>
      </c>
      <c r="C1784" s="2" t="s">
        <v>76</v>
      </c>
      <c r="D1784" s="3" t="s">
        <v>103</v>
      </c>
      <c r="E1784" s="3" t="s">
        <v>45</v>
      </c>
      <c r="F1784" s="2" t="s">
        <v>87</v>
      </c>
      <c r="G1784" s="4">
        <v>516094</v>
      </c>
      <c r="H1784" s="4">
        <v>83266</v>
      </c>
      <c r="I1784" s="4">
        <v>73493</v>
      </c>
      <c r="J1784" s="4">
        <v>2514</v>
      </c>
      <c r="K1784" s="4">
        <v>76</v>
      </c>
      <c r="L1784" s="4">
        <v>92</v>
      </c>
      <c r="M1784" s="4">
        <v>173</v>
      </c>
      <c r="N1784" s="4">
        <v>1312</v>
      </c>
      <c r="O1784" s="5">
        <f t="shared" si="27"/>
        <v>3.8847237151837591E-2</v>
      </c>
      <c r="P1784" s="2" t="s">
        <v>22</v>
      </c>
    </row>
    <row r="1785" spans="1:16" x14ac:dyDescent="0.25">
      <c r="A1785" s="6" t="s">
        <v>3639</v>
      </c>
      <c r="B1785" s="6" t="s">
        <v>3640</v>
      </c>
      <c r="C1785" s="6" t="s">
        <v>32</v>
      </c>
      <c r="D1785" s="7" t="s">
        <v>33</v>
      </c>
      <c r="E1785" s="7" t="s">
        <v>27</v>
      </c>
      <c r="F1785" s="6" t="s">
        <v>35</v>
      </c>
      <c r="G1785" s="8">
        <v>106010</v>
      </c>
      <c r="H1785" s="8">
        <v>55179</v>
      </c>
      <c r="I1785" s="8">
        <v>42630</v>
      </c>
      <c r="J1785" s="8">
        <v>1641</v>
      </c>
      <c r="K1785" s="8">
        <v>130</v>
      </c>
      <c r="L1785" s="8">
        <v>66</v>
      </c>
      <c r="M1785" s="8">
        <v>15</v>
      </c>
      <c r="N1785" s="8">
        <v>1428</v>
      </c>
      <c r="O1785" s="9">
        <f t="shared" si="27"/>
        <v>4.3443584330283835E-2</v>
      </c>
      <c r="P1785" s="6" t="s">
        <v>22</v>
      </c>
    </row>
    <row r="1786" spans="1:16" x14ac:dyDescent="0.25">
      <c r="A1786" s="2" t="s">
        <v>3641</v>
      </c>
      <c r="B1786" s="2" t="s">
        <v>3642</v>
      </c>
      <c r="C1786" s="2" t="s">
        <v>18</v>
      </c>
      <c r="D1786" s="3" t="s">
        <v>92</v>
      </c>
      <c r="E1786" s="3" t="s">
        <v>27</v>
      </c>
      <c r="F1786" s="2" t="s">
        <v>21</v>
      </c>
      <c r="G1786" s="4">
        <v>480681</v>
      </c>
      <c r="H1786" s="4">
        <v>212700</v>
      </c>
      <c r="I1786" s="4">
        <v>165260</v>
      </c>
      <c r="J1786" s="4">
        <v>7712</v>
      </c>
      <c r="K1786" s="4">
        <v>297</v>
      </c>
      <c r="L1786" s="4">
        <v>855</v>
      </c>
      <c r="M1786" s="4">
        <v>1485</v>
      </c>
      <c r="N1786" s="4">
        <v>4234</v>
      </c>
      <c r="O1786" s="5">
        <f t="shared" si="27"/>
        <v>6.2622534188551376E-2</v>
      </c>
      <c r="P1786" s="2" t="s">
        <v>22</v>
      </c>
    </row>
    <row r="1787" spans="1:16" x14ac:dyDescent="0.25">
      <c r="A1787" s="6" t="s">
        <v>3643</v>
      </c>
      <c r="B1787" s="6" t="s">
        <v>3644</v>
      </c>
      <c r="C1787" s="6" t="s">
        <v>25</v>
      </c>
      <c r="D1787" s="7" t="s">
        <v>61</v>
      </c>
      <c r="E1787" s="7" t="s">
        <v>50</v>
      </c>
      <c r="F1787" s="6" t="s">
        <v>54</v>
      </c>
      <c r="G1787" s="8">
        <v>811568</v>
      </c>
      <c r="H1787" s="8">
        <v>118499</v>
      </c>
      <c r="I1787" s="8">
        <v>103187</v>
      </c>
      <c r="J1787" s="8">
        <v>8179</v>
      </c>
      <c r="K1787" s="8">
        <v>637</v>
      </c>
      <c r="L1787" s="8">
        <v>892</v>
      </c>
      <c r="M1787" s="8">
        <v>1774</v>
      </c>
      <c r="N1787" s="8">
        <v>2238</v>
      </c>
      <c r="O1787" s="9">
        <f t="shared" si="27"/>
        <v>0.11127370695920998</v>
      </c>
      <c r="P1787" s="6" t="s">
        <v>29</v>
      </c>
    </row>
    <row r="1788" spans="1:16" x14ac:dyDescent="0.25">
      <c r="A1788" s="2" t="s">
        <v>3645</v>
      </c>
      <c r="B1788" s="2" t="s">
        <v>3646</v>
      </c>
      <c r="C1788" s="2" t="s">
        <v>76</v>
      </c>
      <c r="D1788" s="3" t="s">
        <v>86</v>
      </c>
      <c r="E1788" s="3" t="s">
        <v>34</v>
      </c>
      <c r="F1788" s="2" t="s">
        <v>104</v>
      </c>
      <c r="G1788" s="4">
        <v>292284</v>
      </c>
      <c r="H1788" s="4">
        <v>26495</v>
      </c>
      <c r="I1788" s="4">
        <v>18662</v>
      </c>
      <c r="J1788" s="4">
        <v>1974</v>
      </c>
      <c r="K1788" s="4">
        <v>165</v>
      </c>
      <c r="L1788" s="4">
        <v>271</v>
      </c>
      <c r="M1788" s="4">
        <v>450</v>
      </c>
      <c r="N1788" s="4">
        <v>535</v>
      </c>
      <c r="O1788" s="5">
        <f t="shared" si="27"/>
        <v>0.15325259886400172</v>
      </c>
      <c r="P1788" s="2" t="s">
        <v>29</v>
      </c>
    </row>
    <row r="1789" spans="1:16" x14ac:dyDescent="0.25">
      <c r="A1789" s="6" t="s">
        <v>3647</v>
      </c>
      <c r="B1789" s="6" t="s">
        <v>3648</v>
      </c>
      <c r="C1789" s="6" t="s">
        <v>43</v>
      </c>
      <c r="D1789" s="7" t="s">
        <v>69</v>
      </c>
      <c r="E1789" s="7" t="s">
        <v>34</v>
      </c>
      <c r="F1789" s="6" t="s">
        <v>46</v>
      </c>
      <c r="G1789" s="8">
        <v>140121</v>
      </c>
      <c r="H1789" s="8">
        <v>90412</v>
      </c>
      <c r="I1789" s="8">
        <v>70607</v>
      </c>
      <c r="J1789" s="8">
        <v>5619</v>
      </c>
      <c r="K1789" s="8">
        <v>977</v>
      </c>
      <c r="L1789" s="8">
        <v>673</v>
      </c>
      <c r="M1789" s="8">
        <v>42</v>
      </c>
      <c r="N1789" s="8">
        <v>2434</v>
      </c>
      <c r="O1789" s="9">
        <f t="shared" si="27"/>
        <v>0.10354497429433342</v>
      </c>
      <c r="P1789" s="6" t="s">
        <v>22</v>
      </c>
    </row>
    <row r="1790" spans="1:16" x14ac:dyDescent="0.25">
      <c r="A1790" s="2" t="s">
        <v>3649</v>
      </c>
      <c r="B1790" s="2" t="s">
        <v>3650</v>
      </c>
      <c r="C1790" s="2" t="s">
        <v>18</v>
      </c>
      <c r="D1790" s="3" t="s">
        <v>92</v>
      </c>
      <c r="E1790" s="3" t="s">
        <v>39</v>
      </c>
      <c r="F1790" s="2" t="s">
        <v>58</v>
      </c>
      <c r="G1790" s="4">
        <v>339276</v>
      </c>
      <c r="H1790" s="4">
        <v>143094</v>
      </c>
      <c r="I1790" s="4">
        <v>103533</v>
      </c>
      <c r="J1790" s="4">
        <v>4479</v>
      </c>
      <c r="K1790" s="4">
        <v>436</v>
      </c>
      <c r="L1790" s="4">
        <v>434</v>
      </c>
      <c r="M1790" s="4">
        <v>715</v>
      </c>
      <c r="N1790" s="4">
        <v>794</v>
      </c>
      <c r="O1790" s="5">
        <f t="shared" si="27"/>
        <v>5.8570697265606132E-2</v>
      </c>
      <c r="P1790" s="2" t="s">
        <v>22</v>
      </c>
    </row>
    <row r="1791" spans="1:16" x14ac:dyDescent="0.25">
      <c r="A1791" s="6" t="s">
        <v>3651</v>
      </c>
      <c r="B1791" s="6" t="s">
        <v>3652</v>
      </c>
      <c r="C1791" s="6" t="s">
        <v>32</v>
      </c>
      <c r="D1791" s="7" t="s">
        <v>38</v>
      </c>
      <c r="E1791" s="7" t="s">
        <v>50</v>
      </c>
      <c r="F1791" s="6" t="s">
        <v>128</v>
      </c>
      <c r="G1791" s="8">
        <v>94526</v>
      </c>
      <c r="H1791" s="8">
        <v>7592</v>
      </c>
      <c r="I1791" s="8">
        <v>6949</v>
      </c>
      <c r="J1791" s="8">
        <v>538</v>
      </c>
      <c r="K1791" s="8">
        <v>94</v>
      </c>
      <c r="L1791" s="8">
        <v>50</v>
      </c>
      <c r="M1791" s="8">
        <v>2</v>
      </c>
      <c r="N1791" s="8">
        <v>219</v>
      </c>
      <c r="O1791" s="9">
        <f t="shared" si="27"/>
        <v>9.8431428982587429E-2</v>
      </c>
      <c r="P1791" s="6" t="s">
        <v>22</v>
      </c>
    </row>
    <row r="1792" spans="1:16" x14ac:dyDescent="0.25">
      <c r="A1792" s="2" t="s">
        <v>3653</v>
      </c>
      <c r="B1792" s="2" t="s">
        <v>3654</v>
      </c>
      <c r="C1792" s="2" t="s">
        <v>25</v>
      </c>
      <c r="D1792" s="3" t="s">
        <v>145</v>
      </c>
      <c r="E1792" s="3" t="s">
        <v>20</v>
      </c>
      <c r="F1792" s="2" t="s">
        <v>146</v>
      </c>
      <c r="G1792" s="4">
        <v>399821</v>
      </c>
      <c r="H1792" s="4">
        <v>167610</v>
      </c>
      <c r="I1792" s="4">
        <v>119568</v>
      </c>
      <c r="J1792" s="4">
        <v>12558</v>
      </c>
      <c r="K1792" s="4">
        <v>745</v>
      </c>
      <c r="L1792" s="4">
        <v>999</v>
      </c>
      <c r="M1792" s="4">
        <v>2337</v>
      </c>
      <c r="N1792" s="4">
        <v>1191</v>
      </c>
      <c r="O1792" s="5">
        <f t="shared" si="27"/>
        <v>0.13915930683794994</v>
      </c>
      <c r="P1792" s="2" t="s">
        <v>29</v>
      </c>
    </row>
    <row r="1793" spans="1:16" x14ac:dyDescent="0.25">
      <c r="A1793" s="6" t="s">
        <v>3655</v>
      </c>
      <c r="B1793" s="6" t="s">
        <v>3656</v>
      </c>
      <c r="C1793" s="6" t="s">
        <v>43</v>
      </c>
      <c r="D1793" s="7" t="s">
        <v>172</v>
      </c>
      <c r="E1793" s="7" t="s">
        <v>45</v>
      </c>
      <c r="F1793" s="6" t="s">
        <v>70</v>
      </c>
      <c r="G1793" s="8">
        <v>9874</v>
      </c>
      <c r="H1793" s="8">
        <v>5971</v>
      </c>
      <c r="I1793" s="8">
        <v>4692</v>
      </c>
      <c r="J1793" s="8">
        <v>157</v>
      </c>
      <c r="K1793" s="8">
        <v>7</v>
      </c>
      <c r="L1793" s="8">
        <v>8</v>
      </c>
      <c r="M1793" s="8">
        <v>36</v>
      </c>
      <c r="N1793" s="8">
        <v>138</v>
      </c>
      <c r="O1793" s="9">
        <f t="shared" si="27"/>
        <v>4.4330775788576297E-2</v>
      </c>
      <c r="P1793" s="6" t="s">
        <v>29</v>
      </c>
    </row>
    <row r="1794" spans="1:16" x14ac:dyDescent="0.25">
      <c r="A1794" s="2" t="s">
        <v>3657</v>
      </c>
      <c r="B1794" s="2" t="s">
        <v>3658</v>
      </c>
      <c r="C1794" s="2" t="s">
        <v>76</v>
      </c>
      <c r="D1794" s="3" t="s">
        <v>103</v>
      </c>
      <c r="E1794" s="3" t="s">
        <v>45</v>
      </c>
      <c r="F1794" s="2" t="s">
        <v>104</v>
      </c>
      <c r="G1794" s="4">
        <v>53501</v>
      </c>
      <c r="H1794" s="4">
        <v>30393</v>
      </c>
      <c r="I1794" s="4">
        <v>22687</v>
      </c>
      <c r="J1794" s="4">
        <v>1841</v>
      </c>
      <c r="K1794" s="4">
        <v>261</v>
      </c>
      <c r="L1794" s="4">
        <v>247</v>
      </c>
      <c r="M1794" s="4">
        <v>341</v>
      </c>
      <c r="N1794" s="4">
        <v>956</v>
      </c>
      <c r="O1794" s="5">
        <f t="shared" ref="O1794:O1857" si="28">IF(I1794&gt;0, (J1794+K1794+L1794+M1794)/I1794, 0)</f>
        <v>0.11857010622823644</v>
      </c>
      <c r="P1794" s="2" t="s">
        <v>22</v>
      </c>
    </row>
    <row r="1795" spans="1:16" x14ac:dyDescent="0.25">
      <c r="A1795" s="6" t="s">
        <v>3659</v>
      </c>
      <c r="B1795" s="6" t="s">
        <v>3660</v>
      </c>
      <c r="C1795" s="6" t="s">
        <v>43</v>
      </c>
      <c r="D1795" s="7" t="s">
        <v>172</v>
      </c>
      <c r="E1795" s="7" t="s">
        <v>39</v>
      </c>
      <c r="F1795" s="6" t="s">
        <v>107</v>
      </c>
      <c r="G1795" s="8">
        <v>686130</v>
      </c>
      <c r="H1795" s="8">
        <v>357193</v>
      </c>
      <c r="I1795" s="8">
        <v>311010</v>
      </c>
      <c r="J1795" s="8">
        <v>27914</v>
      </c>
      <c r="K1795" s="8">
        <v>2794</v>
      </c>
      <c r="L1795" s="8">
        <v>3086</v>
      </c>
      <c r="M1795" s="8">
        <v>3</v>
      </c>
      <c r="N1795" s="8">
        <v>9413</v>
      </c>
      <c r="O1795" s="9">
        <f t="shared" si="28"/>
        <v>0.10866853155847078</v>
      </c>
      <c r="P1795" s="6" t="s">
        <v>66</v>
      </c>
    </row>
    <row r="1796" spans="1:16" x14ac:dyDescent="0.25">
      <c r="A1796" s="2" t="s">
        <v>3661</v>
      </c>
      <c r="B1796" s="2" t="s">
        <v>3662</v>
      </c>
      <c r="C1796" s="2" t="s">
        <v>25</v>
      </c>
      <c r="D1796" s="3" t="s">
        <v>26</v>
      </c>
      <c r="E1796" s="3" t="s">
        <v>27</v>
      </c>
      <c r="F1796" s="2" t="s">
        <v>28</v>
      </c>
      <c r="G1796" s="4">
        <v>647873</v>
      </c>
      <c r="H1796" s="4">
        <v>277730</v>
      </c>
      <c r="I1796" s="4">
        <v>252006</v>
      </c>
      <c r="J1796" s="4">
        <v>16443</v>
      </c>
      <c r="K1796" s="4">
        <v>1226</v>
      </c>
      <c r="L1796" s="4">
        <v>920</v>
      </c>
      <c r="M1796" s="4">
        <v>2343</v>
      </c>
      <c r="N1796" s="4">
        <v>8892</v>
      </c>
      <c r="O1796" s="5">
        <f t="shared" si="28"/>
        <v>8.3061514408387105E-2</v>
      </c>
      <c r="P1796" s="2" t="s">
        <v>29</v>
      </c>
    </row>
    <row r="1797" spans="1:16" x14ac:dyDescent="0.25">
      <c r="A1797" s="6" t="s">
        <v>3663</v>
      </c>
      <c r="B1797" s="6" t="s">
        <v>3664</v>
      </c>
      <c r="C1797" s="6" t="s">
        <v>76</v>
      </c>
      <c r="D1797" s="7" t="s">
        <v>182</v>
      </c>
      <c r="E1797" s="7" t="s">
        <v>39</v>
      </c>
      <c r="F1797" s="6" t="s">
        <v>155</v>
      </c>
      <c r="G1797" s="8">
        <v>782449</v>
      </c>
      <c r="H1797" s="8">
        <v>234572</v>
      </c>
      <c r="I1797" s="8">
        <v>212000</v>
      </c>
      <c r="J1797" s="8">
        <v>8699</v>
      </c>
      <c r="K1797" s="8">
        <v>564</v>
      </c>
      <c r="L1797" s="8">
        <v>1043</v>
      </c>
      <c r="M1797" s="8">
        <v>1879</v>
      </c>
      <c r="N1797" s="8">
        <v>8164</v>
      </c>
      <c r="O1797" s="9">
        <f t="shared" si="28"/>
        <v>5.7476415094339622E-2</v>
      </c>
      <c r="P1797" s="6" t="s">
        <v>22</v>
      </c>
    </row>
    <row r="1798" spans="1:16" x14ac:dyDescent="0.25">
      <c r="A1798" s="2" t="s">
        <v>3665</v>
      </c>
      <c r="B1798" s="2" t="s">
        <v>3666</v>
      </c>
      <c r="C1798" s="2" t="s">
        <v>18</v>
      </c>
      <c r="D1798" s="3" t="s">
        <v>19</v>
      </c>
      <c r="E1798" s="3" t="s">
        <v>50</v>
      </c>
      <c r="F1798" s="2" t="s">
        <v>73</v>
      </c>
      <c r="G1798" s="4">
        <v>686443</v>
      </c>
      <c r="H1798" s="4">
        <v>136807</v>
      </c>
      <c r="I1798" s="4">
        <v>111286</v>
      </c>
      <c r="J1798" s="4">
        <v>10573</v>
      </c>
      <c r="K1798" s="4">
        <v>1327</v>
      </c>
      <c r="L1798" s="4">
        <v>1396</v>
      </c>
      <c r="M1798" s="4">
        <v>2095</v>
      </c>
      <c r="N1798" s="4">
        <v>2580</v>
      </c>
      <c r="O1798" s="5">
        <f t="shared" si="28"/>
        <v>0.13830131373218554</v>
      </c>
      <c r="P1798" s="2" t="s">
        <v>29</v>
      </c>
    </row>
    <row r="1799" spans="1:16" x14ac:dyDescent="0.25">
      <c r="A1799" s="6" t="s">
        <v>3667</v>
      </c>
      <c r="B1799" s="6" t="s">
        <v>3668</v>
      </c>
      <c r="C1799" s="6" t="s">
        <v>43</v>
      </c>
      <c r="D1799" s="7" t="s">
        <v>110</v>
      </c>
      <c r="E1799" s="7" t="s">
        <v>39</v>
      </c>
      <c r="F1799" s="6" t="s">
        <v>107</v>
      </c>
      <c r="G1799" s="8">
        <v>795567</v>
      </c>
      <c r="H1799" s="8">
        <v>368348</v>
      </c>
      <c r="I1799" s="8">
        <v>291606</v>
      </c>
      <c r="J1799" s="8">
        <v>29163</v>
      </c>
      <c r="K1799" s="8">
        <v>3290</v>
      </c>
      <c r="L1799" s="8">
        <v>2017</v>
      </c>
      <c r="M1799" s="8">
        <v>33</v>
      </c>
      <c r="N1799" s="8">
        <v>5261</v>
      </c>
      <c r="O1799" s="9">
        <f t="shared" si="28"/>
        <v>0.1183206106870229</v>
      </c>
      <c r="P1799" s="6" t="s">
        <v>29</v>
      </c>
    </row>
    <row r="1800" spans="1:16" x14ac:dyDescent="0.25">
      <c r="A1800" s="2" t="s">
        <v>3669</v>
      </c>
      <c r="B1800" s="2" t="s">
        <v>3670</v>
      </c>
      <c r="C1800" s="2" t="s">
        <v>25</v>
      </c>
      <c r="D1800" s="3" t="s">
        <v>145</v>
      </c>
      <c r="E1800" s="3" t="s">
        <v>39</v>
      </c>
      <c r="F1800" s="2" t="s">
        <v>54</v>
      </c>
      <c r="G1800" s="4">
        <v>848040</v>
      </c>
      <c r="H1800" s="4">
        <v>293085</v>
      </c>
      <c r="I1800" s="4">
        <v>211215</v>
      </c>
      <c r="J1800" s="4">
        <v>22061</v>
      </c>
      <c r="K1800" s="4">
        <v>2769</v>
      </c>
      <c r="L1800" s="4">
        <v>995</v>
      </c>
      <c r="M1800" s="4">
        <v>4004</v>
      </c>
      <c r="N1800" s="4">
        <v>7109</v>
      </c>
      <c r="O1800" s="5">
        <f t="shared" si="28"/>
        <v>0.14122576521553867</v>
      </c>
      <c r="P1800" s="2" t="s">
        <v>22</v>
      </c>
    </row>
    <row r="1801" spans="1:16" x14ac:dyDescent="0.25">
      <c r="A1801" s="6" t="s">
        <v>3671</v>
      </c>
      <c r="B1801" s="6" t="s">
        <v>3672</v>
      </c>
      <c r="C1801" s="6" t="s">
        <v>43</v>
      </c>
      <c r="D1801" s="7" t="s">
        <v>44</v>
      </c>
      <c r="E1801" s="7" t="s">
        <v>20</v>
      </c>
      <c r="F1801" s="6" t="s">
        <v>70</v>
      </c>
      <c r="G1801" s="8">
        <v>209458</v>
      </c>
      <c r="H1801" s="8">
        <v>76577</v>
      </c>
      <c r="I1801" s="8">
        <v>53833</v>
      </c>
      <c r="J1801" s="8">
        <v>5685</v>
      </c>
      <c r="K1801" s="8">
        <v>519</v>
      </c>
      <c r="L1801" s="8">
        <v>548</v>
      </c>
      <c r="M1801" s="8">
        <v>21</v>
      </c>
      <c r="N1801" s="8">
        <v>681</v>
      </c>
      <c r="O1801" s="9">
        <f t="shared" si="28"/>
        <v>0.12581502052644289</v>
      </c>
      <c r="P1801" s="6" t="s">
        <v>22</v>
      </c>
    </row>
    <row r="1802" spans="1:16" x14ac:dyDescent="0.25">
      <c r="A1802" s="2" t="s">
        <v>3673</v>
      </c>
      <c r="B1802" s="2" t="s">
        <v>3674</v>
      </c>
      <c r="C1802" s="2" t="s">
        <v>25</v>
      </c>
      <c r="D1802" s="3" t="s">
        <v>145</v>
      </c>
      <c r="E1802" s="3" t="s">
        <v>20</v>
      </c>
      <c r="F1802" s="2" t="s">
        <v>65</v>
      </c>
      <c r="G1802" s="4">
        <v>332865</v>
      </c>
      <c r="H1802" s="4">
        <v>113640</v>
      </c>
      <c r="I1802" s="4">
        <v>96907</v>
      </c>
      <c r="J1802" s="4">
        <v>7120</v>
      </c>
      <c r="K1802" s="4">
        <v>1077</v>
      </c>
      <c r="L1802" s="4">
        <v>405</v>
      </c>
      <c r="M1802" s="4">
        <v>997</v>
      </c>
      <c r="N1802" s="4">
        <v>1463</v>
      </c>
      <c r="O1802" s="5">
        <f t="shared" si="28"/>
        <v>9.9053731928550048E-2</v>
      </c>
      <c r="P1802" s="2" t="s">
        <v>29</v>
      </c>
    </row>
    <row r="1803" spans="1:16" x14ac:dyDescent="0.25">
      <c r="A1803" s="6" t="s">
        <v>3675</v>
      </c>
      <c r="B1803" s="6" t="s">
        <v>3676</v>
      </c>
      <c r="C1803" s="6" t="s">
        <v>18</v>
      </c>
      <c r="D1803" s="7" t="s">
        <v>57</v>
      </c>
      <c r="E1803" s="7" t="s">
        <v>39</v>
      </c>
      <c r="F1803" s="6" t="s">
        <v>21</v>
      </c>
      <c r="G1803" s="8">
        <v>308704</v>
      </c>
      <c r="H1803" s="8">
        <v>132450</v>
      </c>
      <c r="I1803" s="8">
        <v>109765</v>
      </c>
      <c r="J1803" s="8">
        <v>8294</v>
      </c>
      <c r="K1803" s="8">
        <v>639</v>
      </c>
      <c r="L1803" s="8">
        <v>537</v>
      </c>
      <c r="M1803" s="8">
        <v>1163</v>
      </c>
      <c r="N1803" s="8">
        <v>4590</v>
      </c>
      <c r="O1803" s="9">
        <f t="shared" si="28"/>
        <v>9.6870587163485622E-2</v>
      </c>
      <c r="P1803" s="6" t="s">
        <v>66</v>
      </c>
    </row>
    <row r="1804" spans="1:16" x14ac:dyDescent="0.25">
      <c r="A1804" s="2" t="s">
        <v>3677</v>
      </c>
      <c r="B1804" s="2" t="s">
        <v>3678</v>
      </c>
      <c r="C1804" s="2" t="s">
        <v>76</v>
      </c>
      <c r="D1804" s="3" t="s">
        <v>182</v>
      </c>
      <c r="E1804" s="3" t="s">
        <v>50</v>
      </c>
      <c r="F1804" s="2" t="s">
        <v>87</v>
      </c>
      <c r="G1804" s="4">
        <v>206512</v>
      </c>
      <c r="H1804" s="4">
        <v>52913</v>
      </c>
      <c r="I1804" s="4">
        <v>41235</v>
      </c>
      <c r="J1804" s="4">
        <v>1928</v>
      </c>
      <c r="K1804" s="4">
        <v>193</v>
      </c>
      <c r="L1804" s="4">
        <v>136</v>
      </c>
      <c r="M1804" s="4">
        <v>391</v>
      </c>
      <c r="N1804" s="4">
        <v>435</v>
      </c>
      <c r="O1804" s="5">
        <f t="shared" si="28"/>
        <v>6.4217291136170723E-2</v>
      </c>
      <c r="P1804" s="2" t="s">
        <v>22</v>
      </c>
    </row>
    <row r="1805" spans="1:16" x14ac:dyDescent="0.25">
      <c r="A1805" s="6" t="s">
        <v>3679</v>
      </c>
      <c r="B1805" s="6" t="s">
        <v>3680</v>
      </c>
      <c r="C1805" s="6" t="s">
        <v>25</v>
      </c>
      <c r="D1805" s="7" t="s">
        <v>26</v>
      </c>
      <c r="E1805" s="7" t="s">
        <v>45</v>
      </c>
      <c r="F1805" s="6" t="s">
        <v>54</v>
      </c>
      <c r="G1805" s="8">
        <v>441303</v>
      </c>
      <c r="H1805" s="8">
        <v>145379</v>
      </c>
      <c r="I1805" s="8">
        <v>105071</v>
      </c>
      <c r="J1805" s="8">
        <v>4249</v>
      </c>
      <c r="K1805" s="8">
        <v>681</v>
      </c>
      <c r="L1805" s="8">
        <v>585</v>
      </c>
      <c r="M1805" s="8">
        <v>672</v>
      </c>
      <c r="N1805" s="8">
        <v>1759</v>
      </c>
      <c r="O1805" s="9">
        <f t="shared" si="28"/>
        <v>5.8883992728726291E-2</v>
      </c>
      <c r="P1805" s="6" t="s">
        <v>29</v>
      </c>
    </row>
    <row r="1806" spans="1:16" x14ac:dyDescent="0.25">
      <c r="A1806" s="2" t="s">
        <v>3681</v>
      </c>
      <c r="B1806" s="2" t="s">
        <v>3682</v>
      </c>
      <c r="C1806" s="2" t="s">
        <v>18</v>
      </c>
      <c r="D1806" s="3" t="s">
        <v>57</v>
      </c>
      <c r="E1806" s="3" t="s">
        <v>27</v>
      </c>
      <c r="F1806" s="2" t="s">
        <v>73</v>
      </c>
      <c r="G1806" s="4">
        <v>372333</v>
      </c>
      <c r="H1806" s="4">
        <v>30714</v>
      </c>
      <c r="I1806" s="4">
        <v>24006</v>
      </c>
      <c r="J1806" s="4">
        <v>1211</v>
      </c>
      <c r="K1806" s="4">
        <v>207</v>
      </c>
      <c r="L1806" s="4">
        <v>115</v>
      </c>
      <c r="M1806" s="4">
        <v>72</v>
      </c>
      <c r="N1806" s="4">
        <v>1046</v>
      </c>
      <c r="O1806" s="5">
        <f t="shared" si="28"/>
        <v>6.6858285428642833E-2</v>
      </c>
      <c r="P1806" s="2" t="s">
        <v>22</v>
      </c>
    </row>
    <row r="1807" spans="1:16" x14ac:dyDescent="0.25">
      <c r="A1807" s="6" t="s">
        <v>3683</v>
      </c>
      <c r="B1807" s="6" t="s">
        <v>3684</v>
      </c>
      <c r="C1807" s="6" t="s">
        <v>32</v>
      </c>
      <c r="D1807" s="7" t="s">
        <v>121</v>
      </c>
      <c r="E1807" s="7" t="s">
        <v>27</v>
      </c>
      <c r="F1807" s="6" t="s">
        <v>40</v>
      </c>
      <c r="G1807" s="8">
        <v>834634</v>
      </c>
      <c r="H1807" s="8">
        <v>374178</v>
      </c>
      <c r="I1807" s="8">
        <v>295670</v>
      </c>
      <c r="J1807" s="8">
        <v>29623</v>
      </c>
      <c r="K1807" s="8">
        <v>3450</v>
      </c>
      <c r="L1807" s="8">
        <v>2905</v>
      </c>
      <c r="M1807" s="8">
        <v>16</v>
      </c>
      <c r="N1807" s="8">
        <v>9485</v>
      </c>
      <c r="O1807" s="9">
        <f t="shared" si="28"/>
        <v>0.12173707173538066</v>
      </c>
      <c r="P1807" s="6" t="s">
        <v>22</v>
      </c>
    </row>
    <row r="1808" spans="1:16" x14ac:dyDescent="0.25">
      <c r="A1808" s="2" t="s">
        <v>3685</v>
      </c>
      <c r="B1808" s="2" t="s">
        <v>3686</v>
      </c>
      <c r="C1808" s="2" t="s">
        <v>25</v>
      </c>
      <c r="D1808" s="3" t="s">
        <v>26</v>
      </c>
      <c r="E1808" s="3" t="s">
        <v>27</v>
      </c>
      <c r="F1808" s="2" t="s">
        <v>65</v>
      </c>
      <c r="G1808" s="4">
        <v>758389</v>
      </c>
      <c r="H1808" s="4">
        <v>414976</v>
      </c>
      <c r="I1808" s="4">
        <v>377034</v>
      </c>
      <c r="J1808" s="4">
        <v>18858</v>
      </c>
      <c r="K1808" s="4">
        <v>3193</v>
      </c>
      <c r="L1808" s="4">
        <v>419</v>
      </c>
      <c r="M1808" s="4">
        <v>4514</v>
      </c>
      <c r="N1808" s="4">
        <v>4362</v>
      </c>
      <c r="O1808" s="5">
        <f t="shared" si="28"/>
        <v>7.1569142305468472E-2</v>
      </c>
      <c r="P1808" s="2" t="s">
        <v>22</v>
      </c>
    </row>
    <row r="1809" spans="1:16" x14ac:dyDescent="0.25">
      <c r="A1809" s="6" t="s">
        <v>3687</v>
      </c>
      <c r="B1809" s="6" t="s">
        <v>3688</v>
      </c>
      <c r="C1809" s="6" t="s">
        <v>76</v>
      </c>
      <c r="D1809" s="7" t="s">
        <v>182</v>
      </c>
      <c r="E1809" s="7" t="s">
        <v>34</v>
      </c>
      <c r="F1809" s="6" t="s">
        <v>104</v>
      </c>
      <c r="G1809" s="8">
        <v>813320</v>
      </c>
      <c r="H1809" s="8">
        <v>265182</v>
      </c>
      <c r="I1809" s="8">
        <v>187013</v>
      </c>
      <c r="J1809" s="8">
        <v>16780</v>
      </c>
      <c r="K1809" s="8">
        <v>2910</v>
      </c>
      <c r="L1809" s="8">
        <v>1815</v>
      </c>
      <c r="M1809" s="8">
        <v>1418</v>
      </c>
      <c r="N1809" s="8">
        <v>1769</v>
      </c>
      <c r="O1809" s="9">
        <f t="shared" si="28"/>
        <v>0.12257436648789122</v>
      </c>
      <c r="P1809" s="6" t="s">
        <v>22</v>
      </c>
    </row>
    <row r="1810" spans="1:16" x14ac:dyDescent="0.25">
      <c r="A1810" s="2" t="s">
        <v>3689</v>
      </c>
      <c r="B1810" s="2" t="s">
        <v>3690</v>
      </c>
      <c r="C1810" s="2" t="s">
        <v>76</v>
      </c>
      <c r="D1810" s="3" t="s">
        <v>182</v>
      </c>
      <c r="E1810" s="3" t="s">
        <v>39</v>
      </c>
      <c r="F1810" s="2" t="s">
        <v>104</v>
      </c>
      <c r="G1810" s="4">
        <v>174036</v>
      </c>
      <c r="H1810" s="4">
        <v>51856</v>
      </c>
      <c r="I1810" s="4">
        <v>37142</v>
      </c>
      <c r="J1810" s="4">
        <v>3056</v>
      </c>
      <c r="K1810" s="4">
        <v>406</v>
      </c>
      <c r="L1810" s="4">
        <v>361</v>
      </c>
      <c r="M1810" s="4">
        <v>652</v>
      </c>
      <c r="N1810" s="4">
        <v>1174</v>
      </c>
      <c r="O1810" s="5">
        <f t="shared" si="28"/>
        <v>0.12048354962037586</v>
      </c>
      <c r="P1810" s="2" t="s">
        <v>29</v>
      </c>
    </row>
    <row r="1811" spans="1:16" x14ac:dyDescent="0.25">
      <c r="A1811" s="6" t="s">
        <v>3691</v>
      </c>
      <c r="B1811" s="6" t="s">
        <v>3692</v>
      </c>
      <c r="C1811" s="6" t="s">
        <v>25</v>
      </c>
      <c r="D1811" s="7" t="s">
        <v>61</v>
      </c>
      <c r="E1811" s="7" t="s">
        <v>39</v>
      </c>
      <c r="F1811" s="6" t="s">
        <v>146</v>
      </c>
      <c r="G1811" s="8">
        <v>120438</v>
      </c>
      <c r="H1811" s="8">
        <v>363396</v>
      </c>
      <c r="I1811" s="8">
        <v>292782</v>
      </c>
      <c r="J1811" s="8">
        <v>10748</v>
      </c>
      <c r="K1811" s="8">
        <v>1805</v>
      </c>
      <c r="L1811" s="8">
        <v>273</v>
      </c>
      <c r="M1811" s="8">
        <v>657</v>
      </c>
      <c r="N1811" s="8">
        <v>7913</v>
      </c>
      <c r="O1811" s="9">
        <f t="shared" si="28"/>
        <v>4.6051328292039811E-2</v>
      </c>
      <c r="P1811" s="6" t="s">
        <v>66</v>
      </c>
    </row>
    <row r="1812" spans="1:16" x14ac:dyDescent="0.25">
      <c r="A1812" s="2" t="s">
        <v>3693</v>
      </c>
      <c r="B1812" s="2" t="s">
        <v>3694</v>
      </c>
      <c r="C1812" s="2" t="s">
        <v>32</v>
      </c>
      <c r="D1812" s="3" t="s">
        <v>38</v>
      </c>
      <c r="E1812" s="3" t="s">
        <v>20</v>
      </c>
      <c r="F1812" s="2" t="s">
        <v>35</v>
      </c>
      <c r="G1812" s="4">
        <v>819764</v>
      </c>
      <c r="H1812" s="4">
        <v>199252</v>
      </c>
      <c r="I1812" s="4">
        <v>153685</v>
      </c>
      <c r="J1812" s="4">
        <v>12776</v>
      </c>
      <c r="K1812" s="4">
        <v>1409</v>
      </c>
      <c r="L1812" s="4">
        <v>994</v>
      </c>
      <c r="M1812" s="4">
        <v>10</v>
      </c>
      <c r="N1812" s="4">
        <v>6320</v>
      </c>
      <c r="O1812" s="5">
        <f t="shared" si="28"/>
        <v>9.8832026547808829E-2</v>
      </c>
      <c r="P1812" s="2" t="s">
        <v>66</v>
      </c>
    </row>
    <row r="1813" spans="1:16" x14ac:dyDescent="0.25">
      <c r="A1813" s="6" t="s">
        <v>3695</v>
      </c>
      <c r="B1813" s="6" t="s">
        <v>3696</v>
      </c>
      <c r="C1813" s="6" t="s">
        <v>25</v>
      </c>
      <c r="D1813" s="7" t="s">
        <v>61</v>
      </c>
      <c r="E1813" s="7" t="s">
        <v>45</v>
      </c>
      <c r="F1813" s="6" t="s">
        <v>54</v>
      </c>
      <c r="G1813" s="8">
        <v>85495</v>
      </c>
      <c r="H1813" s="8">
        <v>14997</v>
      </c>
      <c r="I1813" s="8">
        <v>12323</v>
      </c>
      <c r="J1813" s="8">
        <v>1111</v>
      </c>
      <c r="K1813" s="8">
        <v>76</v>
      </c>
      <c r="L1813" s="8">
        <v>123</v>
      </c>
      <c r="M1813" s="8">
        <v>136</v>
      </c>
      <c r="N1813" s="8">
        <v>335</v>
      </c>
      <c r="O1813" s="9">
        <f t="shared" si="28"/>
        <v>0.11734155643917878</v>
      </c>
      <c r="P1813" s="6" t="s">
        <v>22</v>
      </c>
    </row>
    <row r="1814" spans="1:16" x14ac:dyDescent="0.25">
      <c r="A1814" s="2" t="s">
        <v>3697</v>
      </c>
      <c r="B1814" s="2" t="s">
        <v>3698</v>
      </c>
      <c r="C1814" s="2" t="s">
        <v>76</v>
      </c>
      <c r="D1814" s="3" t="s">
        <v>189</v>
      </c>
      <c r="E1814" s="3" t="s">
        <v>39</v>
      </c>
      <c r="F1814" s="2" t="s">
        <v>87</v>
      </c>
      <c r="G1814" s="4">
        <v>680648</v>
      </c>
      <c r="H1814" s="4">
        <v>376588</v>
      </c>
      <c r="I1814" s="4">
        <v>300062</v>
      </c>
      <c r="J1814" s="4">
        <v>23230</v>
      </c>
      <c r="K1814" s="4">
        <v>1592</v>
      </c>
      <c r="L1814" s="4">
        <v>2930</v>
      </c>
      <c r="M1814" s="4">
        <v>2753</v>
      </c>
      <c r="N1814" s="4">
        <v>5970</v>
      </c>
      <c r="O1814" s="5">
        <f t="shared" si="28"/>
        <v>0.10166232311988856</v>
      </c>
      <c r="P1814" s="2" t="s">
        <v>22</v>
      </c>
    </row>
    <row r="1815" spans="1:16" x14ac:dyDescent="0.25">
      <c r="A1815" s="6" t="s">
        <v>3699</v>
      </c>
      <c r="B1815" s="6" t="s">
        <v>3700</v>
      </c>
      <c r="C1815" s="6" t="s">
        <v>32</v>
      </c>
      <c r="D1815" s="7" t="s">
        <v>121</v>
      </c>
      <c r="E1815" s="7" t="s">
        <v>27</v>
      </c>
      <c r="F1815" s="6" t="s">
        <v>40</v>
      </c>
      <c r="G1815" s="8">
        <v>17278</v>
      </c>
      <c r="H1815" s="8">
        <v>9364</v>
      </c>
      <c r="I1815" s="8">
        <v>7803</v>
      </c>
      <c r="J1815" s="8">
        <v>421</v>
      </c>
      <c r="K1815" s="8">
        <v>42</v>
      </c>
      <c r="L1815" s="8">
        <v>33</v>
      </c>
      <c r="M1815" s="8">
        <v>3</v>
      </c>
      <c r="N1815" s="8">
        <v>326</v>
      </c>
      <c r="O1815" s="9">
        <f t="shared" si="28"/>
        <v>6.3949762911700625E-2</v>
      </c>
      <c r="P1815" s="6" t="s">
        <v>22</v>
      </c>
    </row>
    <row r="1816" spans="1:16" x14ac:dyDescent="0.25">
      <c r="A1816" s="2" t="s">
        <v>3701</v>
      </c>
      <c r="B1816" s="2" t="s">
        <v>3702</v>
      </c>
      <c r="C1816" s="2" t="s">
        <v>32</v>
      </c>
      <c r="D1816" s="3" t="s">
        <v>49</v>
      </c>
      <c r="E1816" s="3" t="s">
        <v>27</v>
      </c>
      <c r="F1816" s="2" t="s">
        <v>40</v>
      </c>
      <c r="G1816" s="4">
        <v>165095</v>
      </c>
      <c r="H1816" s="4">
        <v>18975</v>
      </c>
      <c r="I1816" s="4">
        <v>13851</v>
      </c>
      <c r="J1816" s="4">
        <v>1286</v>
      </c>
      <c r="K1816" s="4">
        <v>66</v>
      </c>
      <c r="L1816" s="4">
        <v>92</v>
      </c>
      <c r="M1816" s="4">
        <v>46</v>
      </c>
      <c r="N1816" s="4">
        <v>135</v>
      </c>
      <c r="O1816" s="5">
        <f t="shared" si="28"/>
        <v>0.10757346039997112</v>
      </c>
      <c r="P1816" s="2" t="s">
        <v>29</v>
      </c>
    </row>
    <row r="1817" spans="1:16" x14ac:dyDescent="0.25">
      <c r="A1817" s="6" t="s">
        <v>3703</v>
      </c>
      <c r="B1817" s="6" t="s">
        <v>3704</v>
      </c>
      <c r="C1817" s="6" t="s">
        <v>76</v>
      </c>
      <c r="D1817" s="7" t="s">
        <v>77</v>
      </c>
      <c r="E1817" s="7" t="s">
        <v>50</v>
      </c>
      <c r="F1817" s="6" t="s">
        <v>155</v>
      </c>
      <c r="G1817" s="8">
        <v>519124</v>
      </c>
      <c r="H1817" s="8">
        <v>194198</v>
      </c>
      <c r="I1817" s="8">
        <v>137360</v>
      </c>
      <c r="J1817" s="8">
        <v>8395</v>
      </c>
      <c r="K1817" s="8">
        <v>1155</v>
      </c>
      <c r="L1817" s="8">
        <v>760</v>
      </c>
      <c r="M1817" s="8">
        <v>437</v>
      </c>
      <c r="N1817" s="8">
        <v>2143</v>
      </c>
      <c r="O1817" s="9">
        <f t="shared" si="28"/>
        <v>7.8239662201514265E-2</v>
      </c>
      <c r="P1817" s="6" t="s">
        <v>29</v>
      </c>
    </row>
    <row r="1818" spans="1:16" x14ac:dyDescent="0.25">
      <c r="A1818" s="2" t="s">
        <v>3705</v>
      </c>
      <c r="B1818" s="2" t="s">
        <v>3706</v>
      </c>
      <c r="C1818" s="2" t="s">
        <v>32</v>
      </c>
      <c r="D1818" s="3" t="s">
        <v>33</v>
      </c>
      <c r="E1818" s="3" t="s">
        <v>50</v>
      </c>
      <c r="F1818" s="2" t="s">
        <v>128</v>
      </c>
      <c r="G1818" s="4">
        <v>153856</v>
      </c>
      <c r="H1818" s="4">
        <v>58235</v>
      </c>
      <c r="I1818" s="4">
        <v>52040</v>
      </c>
      <c r="J1818" s="4">
        <v>3823</v>
      </c>
      <c r="K1818" s="4">
        <v>686</v>
      </c>
      <c r="L1818" s="4">
        <v>142</v>
      </c>
      <c r="M1818" s="4">
        <v>43</v>
      </c>
      <c r="N1818" s="4">
        <v>921</v>
      </c>
      <c r="O1818" s="5">
        <f t="shared" si="28"/>
        <v>9.0199846272098386E-2</v>
      </c>
      <c r="P1818" s="2" t="s">
        <v>66</v>
      </c>
    </row>
    <row r="1819" spans="1:16" x14ac:dyDescent="0.25">
      <c r="A1819" s="6" t="s">
        <v>3707</v>
      </c>
      <c r="B1819" s="6" t="s">
        <v>3708</v>
      </c>
      <c r="C1819" s="6" t="s">
        <v>32</v>
      </c>
      <c r="D1819" s="7" t="s">
        <v>175</v>
      </c>
      <c r="E1819" s="7" t="s">
        <v>34</v>
      </c>
      <c r="F1819" s="6" t="s">
        <v>128</v>
      </c>
      <c r="G1819" s="8">
        <v>649266</v>
      </c>
      <c r="H1819" s="8">
        <v>148788</v>
      </c>
      <c r="I1819" s="8">
        <v>121248</v>
      </c>
      <c r="J1819" s="8">
        <v>3000</v>
      </c>
      <c r="K1819" s="8">
        <v>406</v>
      </c>
      <c r="L1819" s="8">
        <v>243</v>
      </c>
      <c r="M1819" s="8">
        <v>44</v>
      </c>
      <c r="N1819" s="8">
        <v>3040</v>
      </c>
      <c r="O1819" s="9">
        <f t="shared" si="28"/>
        <v>3.045823436262866E-2</v>
      </c>
      <c r="P1819" s="6" t="s">
        <v>29</v>
      </c>
    </row>
    <row r="1820" spans="1:16" x14ac:dyDescent="0.25">
      <c r="A1820" s="2" t="s">
        <v>3709</v>
      </c>
      <c r="B1820" s="2" t="s">
        <v>3710</v>
      </c>
      <c r="C1820" s="2" t="s">
        <v>76</v>
      </c>
      <c r="D1820" s="3" t="s">
        <v>103</v>
      </c>
      <c r="E1820" s="3" t="s">
        <v>20</v>
      </c>
      <c r="F1820" s="2" t="s">
        <v>87</v>
      </c>
      <c r="G1820" s="4">
        <v>505332</v>
      </c>
      <c r="H1820" s="4">
        <v>70227</v>
      </c>
      <c r="I1820" s="4">
        <v>56440</v>
      </c>
      <c r="J1820" s="4">
        <v>2606</v>
      </c>
      <c r="K1820" s="4">
        <v>189</v>
      </c>
      <c r="L1820" s="4">
        <v>128</v>
      </c>
      <c r="M1820" s="4">
        <v>638</v>
      </c>
      <c r="N1820" s="4">
        <v>1570</v>
      </c>
      <c r="O1820" s="5">
        <f t="shared" si="28"/>
        <v>6.3093550673281359E-2</v>
      </c>
      <c r="P1820" s="2" t="s">
        <v>29</v>
      </c>
    </row>
    <row r="1821" spans="1:16" x14ac:dyDescent="0.25">
      <c r="A1821" s="6" t="s">
        <v>3711</v>
      </c>
      <c r="B1821" s="6" t="s">
        <v>3712</v>
      </c>
      <c r="C1821" s="6" t="s">
        <v>25</v>
      </c>
      <c r="D1821" s="7" t="s">
        <v>244</v>
      </c>
      <c r="E1821" s="7" t="s">
        <v>39</v>
      </c>
      <c r="F1821" s="6" t="s">
        <v>54</v>
      </c>
      <c r="G1821" s="8">
        <v>704721</v>
      </c>
      <c r="H1821" s="8">
        <v>447803</v>
      </c>
      <c r="I1821" s="8">
        <v>316908</v>
      </c>
      <c r="J1821" s="8">
        <v>31221</v>
      </c>
      <c r="K1821" s="8">
        <v>5269</v>
      </c>
      <c r="L1821" s="8">
        <v>832</v>
      </c>
      <c r="M1821" s="8">
        <v>4489</v>
      </c>
      <c r="N1821" s="8">
        <v>13191</v>
      </c>
      <c r="O1821" s="9">
        <f t="shared" si="28"/>
        <v>0.13193418910220001</v>
      </c>
      <c r="P1821" s="6" t="s">
        <v>22</v>
      </c>
    </row>
    <row r="1822" spans="1:16" x14ac:dyDescent="0.25">
      <c r="A1822" s="2" t="s">
        <v>3713</v>
      </c>
      <c r="B1822" s="2" t="s">
        <v>3714</v>
      </c>
      <c r="C1822" s="2" t="s">
        <v>25</v>
      </c>
      <c r="D1822" s="3" t="s">
        <v>145</v>
      </c>
      <c r="E1822" s="3" t="s">
        <v>50</v>
      </c>
      <c r="F1822" s="2" t="s">
        <v>54</v>
      </c>
      <c r="G1822" s="4">
        <v>158315</v>
      </c>
      <c r="H1822" s="4">
        <v>38749</v>
      </c>
      <c r="I1822" s="4">
        <v>28517</v>
      </c>
      <c r="J1822" s="4">
        <v>2547</v>
      </c>
      <c r="K1822" s="4">
        <v>315</v>
      </c>
      <c r="L1822" s="4">
        <v>283</v>
      </c>
      <c r="M1822" s="4">
        <v>442</v>
      </c>
      <c r="N1822" s="4">
        <v>231</v>
      </c>
      <c r="O1822" s="5">
        <f t="shared" si="28"/>
        <v>0.12578461970052951</v>
      </c>
      <c r="P1822" s="2" t="s">
        <v>22</v>
      </c>
    </row>
    <row r="1823" spans="1:16" x14ac:dyDescent="0.25">
      <c r="A1823" s="6" t="s">
        <v>3715</v>
      </c>
      <c r="B1823" s="6" t="s">
        <v>3716</v>
      </c>
      <c r="C1823" s="6" t="s">
        <v>32</v>
      </c>
      <c r="D1823" s="7" t="s">
        <v>38</v>
      </c>
      <c r="E1823" s="7" t="s">
        <v>27</v>
      </c>
      <c r="F1823" s="6" t="s">
        <v>35</v>
      </c>
      <c r="G1823" s="8">
        <v>284598</v>
      </c>
      <c r="H1823" s="8">
        <v>132175</v>
      </c>
      <c r="I1823" s="8">
        <v>111819</v>
      </c>
      <c r="J1823" s="8">
        <v>10074</v>
      </c>
      <c r="K1823" s="8">
        <v>1269</v>
      </c>
      <c r="L1823" s="8">
        <v>1338</v>
      </c>
      <c r="M1823" s="8">
        <v>27</v>
      </c>
      <c r="N1823" s="8">
        <v>1934</v>
      </c>
      <c r="O1823" s="9">
        <f t="shared" si="28"/>
        <v>0.11364794891744695</v>
      </c>
      <c r="P1823" s="6" t="s">
        <v>29</v>
      </c>
    </row>
    <row r="1824" spans="1:16" x14ac:dyDescent="0.25">
      <c r="A1824" s="2" t="s">
        <v>3717</v>
      </c>
      <c r="B1824" s="2" t="s">
        <v>3718</v>
      </c>
      <c r="C1824" s="2" t="s">
        <v>25</v>
      </c>
      <c r="D1824" s="3" t="s">
        <v>244</v>
      </c>
      <c r="E1824" s="3" t="s">
        <v>20</v>
      </c>
      <c r="F1824" s="2" t="s">
        <v>65</v>
      </c>
      <c r="G1824" s="4">
        <v>697817</v>
      </c>
      <c r="H1824" s="4">
        <v>300655</v>
      </c>
      <c r="I1824" s="4">
        <v>227518</v>
      </c>
      <c r="J1824" s="4">
        <v>17710</v>
      </c>
      <c r="K1824" s="4">
        <v>680</v>
      </c>
      <c r="L1824" s="4">
        <v>546</v>
      </c>
      <c r="M1824" s="4">
        <v>1892</v>
      </c>
      <c r="N1824" s="4">
        <v>4653</v>
      </c>
      <c r="O1824" s="5">
        <f t="shared" si="28"/>
        <v>9.1544405277824176E-2</v>
      </c>
      <c r="P1824" s="2" t="s">
        <v>29</v>
      </c>
    </row>
    <row r="1825" spans="1:16" x14ac:dyDescent="0.25">
      <c r="A1825" s="6" t="s">
        <v>3719</v>
      </c>
      <c r="B1825" s="6" t="s">
        <v>3720</v>
      </c>
      <c r="C1825" s="6" t="s">
        <v>18</v>
      </c>
      <c r="D1825" s="7" t="s">
        <v>226</v>
      </c>
      <c r="E1825" s="7" t="s">
        <v>20</v>
      </c>
      <c r="F1825" s="6" t="s">
        <v>21</v>
      </c>
      <c r="G1825" s="8">
        <v>483362</v>
      </c>
      <c r="H1825" s="8">
        <v>309583</v>
      </c>
      <c r="I1825" s="8">
        <v>232357</v>
      </c>
      <c r="J1825" s="8">
        <v>14441</v>
      </c>
      <c r="K1825" s="8">
        <v>1351</v>
      </c>
      <c r="L1825" s="8">
        <v>1699</v>
      </c>
      <c r="M1825" s="8">
        <v>2863</v>
      </c>
      <c r="N1825" s="8">
        <v>8712</v>
      </c>
      <c r="O1825" s="9">
        <f t="shared" si="28"/>
        <v>8.759796347861265E-2</v>
      </c>
      <c r="P1825" s="6" t="s">
        <v>29</v>
      </c>
    </row>
    <row r="1826" spans="1:16" x14ac:dyDescent="0.25">
      <c r="A1826" s="2" t="s">
        <v>3721</v>
      </c>
      <c r="B1826" s="2" t="s">
        <v>3722</v>
      </c>
      <c r="C1826" s="2" t="s">
        <v>32</v>
      </c>
      <c r="D1826" s="3" t="s">
        <v>175</v>
      </c>
      <c r="E1826" s="3" t="s">
        <v>27</v>
      </c>
      <c r="F1826" s="2" t="s">
        <v>40</v>
      </c>
      <c r="G1826" s="4">
        <v>362691</v>
      </c>
      <c r="H1826" s="4">
        <v>47291</v>
      </c>
      <c r="I1826" s="4">
        <v>37866</v>
      </c>
      <c r="J1826" s="4">
        <v>2644</v>
      </c>
      <c r="K1826" s="4">
        <v>97</v>
      </c>
      <c r="L1826" s="4">
        <v>177</v>
      </c>
      <c r="M1826" s="4">
        <v>19</v>
      </c>
      <c r="N1826" s="4">
        <v>1109</v>
      </c>
      <c r="O1826" s="5">
        <f t="shared" si="28"/>
        <v>7.7562985263825074E-2</v>
      </c>
      <c r="P1826" s="2" t="s">
        <v>22</v>
      </c>
    </row>
    <row r="1827" spans="1:16" x14ac:dyDescent="0.25">
      <c r="A1827" s="6" t="s">
        <v>3723</v>
      </c>
      <c r="B1827" s="6" t="s">
        <v>3724</v>
      </c>
      <c r="C1827" s="6" t="s">
        <v>43</v>
      </c>
      <c r="D1827" s="7" t="s">
        <v>172</v>
      </c>
      <c r="E1827" s="7" t="s">
        <v>34</v>
      </c>
      <c r="F1827" s="6" t="s">
        <v>107</v>
      </c>
      <c r="G1827" s="8">
        <v>63644</v>
      </c>
      <c r="H1827" s="8">
        <v>34820</v>
      </c>
      <c r="I1827" s="8">
        <v>28229</v>
      </c>
      <c r="J1827" s="8">
        <v>1053</v>
      </c>
      <c r="K1827" s="8">
        <v>147</v>
      </c>
      <c r="L1827" s="8">
        <v>113</v>
      </c>
      <c r="M1827" s="8">
        <v>28</v>
      </c>
      <c r="N1827" s="8">
        <v>440</v>
      </c>
      <c r="O1827" s="9">
        <f t="shared" si="28"/>
        <v>4.7504339509015552E-2</v>
      </c>
      <c r="P1827" s="6" t="s">
        <v>22</v>
      </c>
    </row>
    <row r="1828" spans="1:16" x14ac:dyDescent="0.25">
      <c r="A1828" s="2" t="s">
        <v>3725</v>
      </c>
      <c r="B1828" s="2" t="s">
        <v>3726</v>
      </c>
      <c r="C1828" s="2" t="s">
        <v>32</v>
      </c>
      <c r="D1828" s="3" t="s">
        <v>49</v>
      </c>
      <c r="E1828" s="3" t="s">
        <v>20</v>
      </c>
      <c r="F1828" s="2" t="s">
        <v>40</v>
      </c>
      <c r="G1828" s="4">
        <v>394547</v>
      </c>
      <c r="H1828" s="4">
        <v>102930</v>
      </c>
      <c r="I1828" s="4">
        <v>88731</v>
      </c>
      <c r="J1828" s="4">
        <v>2733</v>
      </c>
      <c r="K1828" s="4">
        <v>451</v>
      </c>
      <c r="L1828" s="4">
        <v>86</v>
      </c>
      <c r="M1828" s="4">
        <v>3</v>
      </c>
      <c r="N1828" s="4">
        <v>3327</v>
      </c>
      <c r="O1828" s="5">
        <f t="shared" si="28"/>
        <v>3.6886770125435307E-2</v>
      </c>
      <c r="P1828" s="2" t="s">
        <v>22</v>
      </c>
    </row>
    <row r="1829" spans="1:16" x14ac:dyDescent="0.25">
      <c r="A1829" s="6" t="s">
        <v>3727</v>
      </c>
      <c r="B1829" s="6" t="s">
        <v>3728</v>
      </c>
      <c r="C1829" s="6" t="s">
        <v>43</v>
      </c>
      <c r="D1829" s="7" t="s">
        <v>110</v>
      </c>
      <c r="E1829" s="7" t="s">
        <v>39</v>
      </c>
      <c r="F1829" s="6" t="s">
        <v>107</v>
      </c>
      <c r="G1829" s="8">
        <v>447401</v>
      </c>
      <c r="H1829" s="8">
        <v>191273</v>
      </c>
      <c r="I1829" s="8">
        <v>175780</v>
      </c>
      <c r="J1829" s="8">
        <v>7515</v>
      </c>
      <c r="K1829" s="8">
        <v>476</v>
      </c>
      <c r="L1829" s="8">
        <v>312</v>
      </c>
      <c r="M1829" s="8">
        <v>15</v>
      </c>
      <c r="N1829" s="8">
        <v>3004</v>
      </c>
      <c r="O1829" s="9">
        <f t="shared" si="28"/>
        <v>4.7320514279212654E-2</v>
      </c>
      <c r="P1829" s="6" t="s">
        <v>22</v>
      </c>
    </row>
    <row r="1830" spans="1:16" x14ac:dyDescent="0.25">
      <c r="A1830" s="2" t="s">
        <v>3729</v>
      </c>
      <c r="B1830" s="2" t="s">
        <v>3730</v>
      </c>
      <c r="C1830" s="2" t="s">
        <v>76</v>
      </c>
      <c r="D1830" s="3" t="s">
        <v>182</v>
      </c>
      <c r="E1830" s="3" t="s">
        <v>45</v>
      </c>
      <c r="F1830" s="2" t="s">
        <v>155</v>
      </c>
      <c r="G1830" s="4">
        <v>684949</v>
      </c>
      <c r="H1830" s="4">
        <v>420618</v>
      </c>
      <c r="I1830" s="4">
        <v>295201</v>
      </c>
      <c r="J1830" s="4">
        <v>27576</v>
      </c>
      <c r="K1830" s="4">
        <v>4486</v>
      </c>
      <c r="L1830" s="4">
        <v>1081</v>
      </c>
      <c r="M1830" s="4">
        <v>6113</v>
      </c>
      <c r="N1830" s="4">
        <v>5443</v>
      </c>
      <c r="O1830" s="5">
        <f t="shared" si="28"/>
        <v>0.13298057933408083</v>
      </c>
      <c r="P1830" s="2" t="s">
        <v>22</v>
      </c>
    </row>
    <row r="1831" spans="1:16" x14ac:dyDescent="0.25">
      <c r="A1831" s="6" t="s">
        <v>3731</v>
      </c>
      <c r="B1831" s="6" t="s">
        <v>3732</v>
      </c>
      <c r="C1831" s="6" t="s">
        <v>76</v>
      </c>
      <c r="D1831" s="7" t="s">
        <v>103</v>
      </c>
      <c r="E1831" s="7" t="s">
        <v>50</v>
      </c>
      <c r="F1831" s="6" t="s">
        <v>78</v>
      </c>
      <c r="G1831" s="8">
        <v>575702</v>
      </c>
      <c r="H1831" s="8">
        <v>316004</v>
      </c>
      <c r="I1831" s="8">
        <v>281667</v>
      </c>
      <c r="J1831" s="8">
        <v>23900</v>
      </c>
      <c r="K1831" s="8">
        <v>4020</v>
      </c>
      <c r="L1831" s="8">
        <v>2180</v>
      </c>
      <c r="M1831" s="8">
        <v>1682</v>
      </c>
      <c r="N1831" s="8">
        <v>7360</v>
      </c>
      <c r="O1831" s="9">
        <f t="shared" si="28"/>
        <v>0.11283536942559831</v>
      </c>
      <c r="P1831" s="6" t="s">
        <v>66</v>
      </c>
    </row>
    <row r="1832" spans="1:16" x14ac:dyDescent="0.25">
      <c r="A1832" s="2" t="s">
        <v>3733</v>
      </c>
      <c r="B1832" s="2" t="s">
        <v>3734</v>
      </c>
      <c r="C1832" s="2" t="s">
        <v>18</v>
      </c>
      <c r="D1832" s="3" t="s">
        <v>92</v>
      </c>
      <c r="E1832" s="3" t="s">
        <v>45</v>
      </c>
      <c r="F1832" s="2" t="s">
        <v>73</v>
      </c>
      <c r="G1832" s="4">
        <v>296144</v>
      </c>
      <c r="H1832" s="4">
        <v>88949</v>
      </c>
      <c r="I1832" s="4">
        <v>65679</v>
      </c>
      <c r="J1832" s="4">
        <v>3102</v>
      </c>
      <c r="K1832" s="4">
        <v>305</v>
      </c>
      <c r="L1832" s="4">
        <v>103</v>
      </c>
      <c r="M1832" s="4">
        <v>602</v>
      </c>
      <c r="N1832" s="4">
        <v>2896</v>
      </c>
      <c r="O1832" s="5">
        <f t="shared" si="28"/>
        <v>6.2607530565325295E-2</v>
      </c>
      <c r="P1832" s="2" t="s">
        <v>29</v>
      </c>
    </row>
    <row r="1833" spans="1:16" x14ac:dyDescent="0.25">
      <c r="A1833" s="6" t="s">
        <v>3735</v>
      </c>
      <c r="B1833" s="6" t="s">
        <v>3736</v>
      </c>
      <c r="C1833" s="6" t="s">
        <v>32</v>
      </c>
      <c r="D1833" s="7" t="s">
        <v>175</v>
      </c>
      <c r="E1833" s="7" t="s">
        <v>39</v>
      </c>
      <c r="F1833" s="6" t="s">
        <v>51</v>
      </c>
      <c r="G1833" s="8">
        <v>525777</v>
      </c>
      <c r="H1833" s="8">
        <v>56273</v>
      </c>
      <c r="I1833" s="8">
        <v>43651</v>
      </c>
      <c r="J1833" s="8">
        <v>1611</v>
      </c>
      <c r="K1833" s="8">
        <v>249</v>
      </c>
      <c r="L1833" s="8">
        <v>70</v>
      </c>
      <c r="M1833" s="8">
        <v>28</v>
      </c>
      <c r="N1833" s="8">
        <v>1740</v>
      </c>
      <c r="O1833" s="9">
        <f t="shared" si="28"/>
        <v>4.4855787954456945E-2</v>
      </c>
      <c r="P1833" s="6" t="s">
        <v>29</v>
      </c>
    </row>
    <row r="1834" spans="1:16" x14ac:dyDescent="0.25">
      <c r="A1834" s="2" t="s">
        <v>3737</v>
      </c>
      <c r="B1834" s="2" t="s">
        <v>3738</v>
      </c>
      <c r="C1834" s="2" t="s">
        <v>43</v>
      </c>
      <c r="D1834" s="3" t="s">
        <v>69</v>
      </c>
      <c r="E1834" s="3" t="s">
        <v>27</v>
      </c>
      <c r="F1834" s="2" t="s">
        <v>107</v>
      </c>
      <c r="G1834" s="4">
        <v>552726</v>
      </c>
      <c r="H1834" s="4">
        <v>192494</v>
      </c>
      <c r="I1834" s="4">
        <v>146551</v>
      </c>
      <c r="J1834" s="4">
        <v>9771</v>
      </c>
      <c r="K1834" s="4">
        <v>1587</v>
      </c>
      <c r="L1834" s="4">
        <v>1158</v>
      </c>
      <c r="M1834" s="4">
        <v>4</v>
      </c>
      <c r="N1834" s="4">
        <v>2323</v>
      </c>
      <c r="O1834" s="5">
        <f t="shared" si="28"/>
        <v>8.5431010364992385E-2</v>
      </c>
      <c r="P1834" s="2" t="s">
        <v>22</v>
      </c>
    </row>
    <row r="1835" spans="1:16" x14ac:dyDescent="0.25">
      <c r="A1835" s="6" t="s">
        <v>3739</v>
      </c>
      <c r="B1835" s="6" t="s">
        <v>3740</v>
      </c>
      <c r="C1835" s="6" t="s">
        <v>43</v>
      </c>
      <c r="D1835" s="7" t="s">
        <v>44</v>
      </c>
      <c r="E1835" s="7" t="s">
        <v>39</v>
      </c>
      <c r="F1835" s="6" t="s">
        <v>70</v>
      </c>
      <c r="G1835" s="8">
        <v>727334</v>
      </c>
      <c r="H1835" s="8">
        <v>307791</v>
      </c>
      <c r="I1835" s="8">
        <v>262540</v>
      </c>
      <c r="J1835" s="8">
        <v>12303</v>
      </c>
      <c r="K1835" s="8">
        <v>2198</v>
      </c>
      <c r="L1835" s="8">
        <v>1826</v>
      </c>
      <c r="M1835" s="8">
        <v>37</v>
      </c>
      <c r="N1835" s="8">
        <v>3466</v>
      </c>
      <c r="O1835" s="9">
        <f t="shared" si="28"/>
        <v>6.2329549782890223E-2</v>
      </c>
      <c r="P1835" s="6" t="s">
        <v>22</v>
      </c>
    </row>
    <row r="1836" spans="1:16" x14ac:dyDescent="0.25">
      <c r="A1836" s="2" t="s">
        <v>3741</v>
      </c>
      <c r="B1836" s="2" t="s">
        <v>3742</v>
      </c>
      <c r="C1836" s="2" t="s">
        <v>76</v>
      </c>
      <c r="D1836" s="3" t="s">
        <v>86</v>
      </c>
      <c r="E1836" s="3" t="s">
        <v>50</v>
      </c>
      <c r="F1836" s="2" t="s">
        <v>78</v>
      </c>
      <c r="G1836" s="4">
        <v>828385</v>
      </c>
      <c r="H1836" s="4">
        <v>351487</v>
      </c>
      <c r="I1836" s="4">
        <v>301621</v>
      </c>
      <c r="J1836" s="4">
        <v>21140</v>
      </c>
      <c r="K1836" s="4">
        <v>1925</v>
      </c>
      <c r="L1836" s="4">
        <v>2954</v>
      </c>
      <c r="M1836" s="4">
        <v>1352</v>
      </c>
      <c r="N1836" s="4">
        <v>5554</v>
      </c>
      <c r="O1836" s="5">
        <f t="shared" si="28"/>
        <v>9.074633397541948E-2</v>
      </c>
      <c r="P1836" s="2" t="s">
        <v>22</v>
      </c>
    </row>
    <row r="1837" spans="1:16" x14ac:dyDescent="0.25">
      <c r="A1837" s="6" t="s">
        <v>3743</v>
      </c>
      <c r="B1837" s="6" t="s">
        <v>3744</v>
      </c>
      <c r="C1837" s="6" t="s">
        <v>25</v>
      </c>
      <c r="D1837" s="7" t="s">
        <v>145</v>
      </c>
      <c r="E1837" s="7" t="s">
        <v>39</v>
      </c>
      <c r="F1837" s="6" t="s">
        <v>54</v>
      </c>
      <c r="G1837" s="8">
        <v>691656</v>
      </c>
      <c r="H1837" s="8">
        <v>297117</v>
      </c>
      <c r="I1837" s="8">
        <v>209959</v>
      </c>
      <c r="J1837" s="8">
        <v>11576</v>
      </c>
      <c r="K1837" s="8">
        <v>750</v>
      </c>
      <c r="L1837" s="8">
        <v>801</v>
      </c>
      <c r="M1837" s="8">
        <v>882</v>
      </c>
      <c r="N1837" s="8">
        <v>2649</v>
      </c>
      <c r="O1837" s="9">
        <f t="shared" si="28"/>
        <v>6.6722550593211055E-2</v>
      </c>
      <c r="P1837" s="6" t="s">
        <v>29</v>
      </c>
    </row>
    <row r="1838" spans="1:16" x14ac:dyDescent="0.25">
      <c r="A1838" s="2" t="s">
        <v>3745</v>
      </c>
      <c r="B1838" s="2" t="s">
        <v>3746</v>
      </c>
      <c r="C1838" s="2" t="s">
        <v>25</v>
      </c>
      <c r="D1838" s="3" t="s">
        <v>26</v>
      </c>
      <c r="E1838" s="3" t="s">
        <v>45</v>
      </c>
      <c r="F1838" s="2" t="s">
        <v>146</v>
      </c>
      <c r="G1838" s="4">
        <v>684669</v>
      </c>
      <c r="H1838" s="4">
        <v>409302</v>
      </c>
      <c r="I1838" s="4">
        <v>334856</v>
      </c>
      <c r="J1838" s="4">
        <v>23798</v>
      </c>
      <c r="K1838" s="4">
        <v>1292</v>
      </c>
      <c r="L1838" s="4">
        <v>1398</v>
      </c>
      <c r="M1838" s="4">
        <v>5341</v>
      </c>
      <c r="N1838" s="4">
        <v>6370</v>
      </c>
      <c r="O1838" s="5">
        <f t="shared" si="28"/>
        <v>9.5052798815013023E-2</v>
      </c>
      <c r="P1838" s="2" t="s">
        <v>22</v>
      </c>
    </row>
    <row r="1839" spans="1:16" x14ac:dyDescent="0.25">
      <c r="A1839" s="6" t="s">
        <v>3747</v>
      </c>
      <c r="B1839" s="6" t="s">
        <v>3748</v>
      </c>
      <c r="C1839" s="6" t="s">
        <v>76</v>
      </c>
      <c r="D1839" s="7" t="s">
        <v>86</v>
      </c>
      <c r="E1839" s="7" t="s">
        <v>27</v>
      </c>
      <c r="F1839" s="6" t="s">
        <v>87</v>
      </c>
      <c r="G1839" s="8">
        <v>517919</v>
      </c>
      <c r="H1839" s="8">
        <v>96345</v>
      </c>
      <c r="I1839" s="8">
        <v>78878</v>
      </c>
      <c r="J1839" s="8">
        <v>6539</v>
      </c>
      <c r="K1839" s="8">
        <v>1084</v>
      </c>
      <c r="L1839" s="8">
        <v>484</v>
      </c>
      <c r="M1839" s="8">
        <v>744</v>
      </c>
      <c r="N1839" s="8">
        <v>3031</v>
      </c>
      <c r="O1839" s="9">
        <f t="shared" si="28"/>
        <v>0.11221126296305688</v>
      </c>
      <c r="P1839" s="6" t="s">
        <v>22</v>
      </c>
    </row>
    <row r="1840" spans="1:16" x14ac:dyDescent="0.25">
      <c r="A1840" s="2" t="s">
        <v>3749</v>
      </c>
      <c r="B1840" s="2" t="s">
        <v>3750</v>
      </c>
      <c r="C1840" s="2" t="s">
        <v>32</v>
      </c>
      <c r="D1840" s="3" t="s">
        <v>121</v>
      </c>
      <c r="E1840" s="3" t="s">
        <v>20</v>
      </c>
      <c r="F1840" s="2" t="s">
        <v>40</v>
      </c>
      <c r="G1840" s="4">
        <v>456542</v>
      </c>
      <c r="H1840" s="4">
        <v>253393</v>
      </c>
      <c r="I1840" s="4">
        <v>206524</v>
      </c>
      <c r="J1840" s="4">
        <v>5504</v>
      </c>
      <c r="K1840" s="4">
        <v>683</v>
      </c>
      <c r="L1840" s="4">
        <v>504</v>
      </c>
      <c r="M1840" s="4">
        <v>33</v>
      </c>
      <c r="N1840" s="4">
        <v>2605</v>
      </c>
      <c r="O1840" s="5">
        <f t="shared" si="28"/>
        <v>3.255795936549747E-2</v>
      </c>
      <c r="P1840" s="2" t="s">
        <v>22</v>
      </c>
    </row>
    <row r="1841" spans="1:16" x14ac:dyDescent="0.25">
      <c r="A1841" s="6" t="s">
        <v>3751</v>
      </c>
      <c r="B1841" s="6" t="s">
        <v>3752</v>
      </c>
      <c r="C1841" s="6" t="s">
        <v>43</v>
      </c>
      <c r="D1841" s="7" t="s">
        <v>69</v>
      </c>
      <c r="E1841" s="7" t="s">
        <v>39</v>
      </c>
      <c r="F1841" s="6" t="s">
        <v>107</v>
      </c>
      <c r="G1841" s="8">
        <v>46019</v>
      </c>
      <c r="H1841" s="8">
        <v>11973</v>
      </c>
      <c r="I1841" s="8">
        <v>9098</v>
      </c>
      <c r="J1841" s="8">
        <v>662</v>
      </c>
      <c r="K1841" s="8">
        <v>90</v>
      </c>
      <c r="L1841" s="8">
        <v>58</v>
      </c>
      <c r="M1841" s="8">
        <v>19</v>
      </c>
      <c r="N1841" s="8">
        <v>122</v>
      </c>
      <c r="O1841" s="9">
        <f t="shared" si="28"/>
        <v>9.1118927236755326E-2</v>
      </c>
      <c r="P1841" s="6" t="s">
        <v>22</v>
      </c>
    </row>
    <row r="1842" spans="1:16" x14ac:dyDescent="0.25">
      <c r="A1842" s="2" t="s">
        <v>3753</v>
      </c>
      <c r="B1842" s="2" t="s">
        <v>3754</v>
      </c>
      <c r="C1842" s="2" t="s">
        <v>18</v>
      </c>
      <c r="D1842" s="3" t="s">
        <v>57</v>
      </c>
      <c r="E1842" s="3" t="s">
        <v>34</v>
      </c>
      <c r="F1842" s="2" t="s">
        <v>58</v>
      </c>
      <c r="G1842" s="4">
        <v>164101</v>
      </c>
      <c r="H1842" s="4">
        <v>20540</v>
      </c>
      <c r="I1842" s="4">
        <v>18172</v>
      </c>
      <c r="J1842" s="4">
        <v>617</v>
      </c>
      <c r="K1842" s="4">
        <v>75</v>
      </c>
      <c r="L1842" s="4">
        <v>56</v>
      </c>
      <c r="M1842" s="4">
        <v>142</v>
      </c>
      <c r="N1842" s="4">
        <v>158</v>
      </c>
      <c r="O1842" s="5">
        <f t="shared" si="28"/>
        <v>4.8976447281532026E-2</v>
      </c>
      <c r="P1842" s="2" t="s">
        <v>29</v>
      </c>
    </row>
    <row r="1843" spans="1:16" x14ac:dyDescent="0.25">
      <c r="A1843" s="6" t="s">
        <v>3755</v>
      </c>
      <c r="B1843" s="6" t="s">
        <v>3756</v>
      </c>
      <c r="C1843" s="6" t="s">
        <v>25</v>
      </c>
      <c r="D1843" s="7" t="s">
        <v>145</v>
      </c>
      <c r="E1843" s="7" t="s">
        <v>20</v>
      </c>
      <c r="F1843" s="6" t="s">
        <v>65</v>
      </c>
      <c r="G1843" s="8">
        <v>402673</v>
      </c>
      <c r="H1843" s="8">
        <v>257184</v>
      </c>
      <c r="I1843" s="8">
        <v>224594</v>
      </c>
      <c r="J1843" s="8">
        <v>19486</v>
      </c>
      <c r="K1843" s="8">
        <v>2773</v>
      </c>
      <c r="L1843" s="8">
        <v>1770</v>
      </c>
      <c r="M1843" s="8">
        <v>1505</v>
      </c>
      <c r="N1843" s="8">
        <v>8575</v>
      </c>
      <c r="O1843" s="9">
        <f t="shared" si="28"/>
        <v>0.11368959099530709</v>
      </c>
      <c r="P1843" s="6" t="s">
        <v>29</v>
      </c>
    </row>
    <row r="1844" spans="1:16" x14ac:dyDescent="0.25">
      <c r="A1844" s="2" t="s">
        <v>3757</v>
      </c>
      <c r="B1844" s="2" t="s">
        <v>3758</v>
      </c>
      <c r="C1844" s="2" t="s">
        <v>25</v>
      </c>
      <c r="D1844" s="3" t="s">
        <v>61</v>
      </c>
      <c r="E1844" s="3" t="s">
        <v>39</v>
      </c>
      <c r="F1844" s="2" t="s">
        <v>65</v>
      </c>
      <c r="G1844" s="4">
        <v>32971</v>
      </c>
      <c r="H1844" s="4">
        <v>5448</v>
      </c>
      <c r="I1844" s="4">
        <v>5004</v>
      </c>
      <c r="J1844" s="4">
        <v>266</v>
      </c>
      <c r="K1844" s="4">
        <v>30</v>
      </c>
      <c r="L1844" s="4">
        <v>34</v>
      </c>
      <c r="M1844" s="4">
        <v>36</v>
      </c>
      <c r="N1844" s="4">
        <v>40</v>
      </c>
      <c r="O1844" s="5">
        <f t="shared" si="28"/>
        <v>7.3141486810551562E-2</v>
      </c>
      <c r="P1844" s="2" t="s">
        <v>29</v>
      </c>
    </row>
    <row r="1845" spans="1:16" x14ac:dyDescent="0.25">
      <c r="A1845" s="6" t="s">
        <v>3759</v>
      </c>
      <c r="B1845" s="6" t="s">
        <v>3760</v>
      </c>
      <c r="C1845" s="6" t="s">
        <v>25</v>
      </c>
      <c r="D1845" s="7" t="s">
        <v>64</v>
      </c>
      <c r="E1845" s="7" t="s">
        <v>50</v>
      </c>
      <c r="F1845" s="6" t="s">
        <v>28</v>
      </c>
      <c r="G1845" s="8">
        <v>793537</v>
      </c>
      <c r="H1845" s="8">
        <v>495877</v>
      </c>
      <c r="I1845" s="8">
        <v>387290</v>
      </c>
      <c r="J1845" s="8">
        <v>17139</v>
      </c>
      <c r="K1845" s="8">
        <v>2804</v>
      </c>
      <c r="L1845" s="8">
        <v>729</v>
      </c>
      <c r="M1845" s="8">
        <v>4127</v>
      </c>
      <c r="N1845" s="8">
        <v>4399</v>
      </c>
      <c r="O1845" s="9">
        <f t="shared" si="28"/>
        <v>6.4032120633117307E-2</v>
      </c>
      <c r="P1845" s="6" t="s">
        <v>29</v>
      </c>
    </row>
    <row r="1846" spans="1:16" x14ac:dyDescent="0.25">
      <c r="A1846" s="2" t="s">
        <v>3761</v>
      </c>
      <c r="B1846" s="2" t="s">
        <v>3762</v>
      </c>
      <c r="C1846" s="2" t="s">
        <v>76</v>
      </c>
      <c r="D1846" s="3" t="s">
        <v>77</v>
      </c>
      <c r="E1846" s="3" t="s">
        <v>50</v>
      </c>
      <c r="F1846" s="2" t="s">
        <v>78</v>
      </c>
      <c r="G1846" s="4">
        <v>225810</v>
      </c>
      <c r="H1846" s="4">
        <v>63944</v>
      </c>
      <c r="I1846" s="4">
        <v>51370</v>
      </c>
      <c r="J1846" s="4">
        <v>1512</v>
      </c>
      <c r="K1846" s="4">
        <v>73</v>
      </c>
      <c r="L1846" s="4">
        <v>121</v>
      </c>
      <c r="M1846" s="4">
        <v>301</v>
      </c>
      <c r="N1846" s="4">
        <v>1603</v>
      </c>
      <c r="O1846" s="5">
        <f t="shared" si="28"/>
        <v>3.9069495814677828E-2</v>
      </c>
      <c r="P1846" s="2" t="s">
        <v>22</v>
      </c>
    </row>
    <row r="1847" spans="1:16" x14ac:dyDescent="0.25">
      <c r="A1847" s="6" t="s">
        <v>3763</v>
      </c>
      <c r="B1847" s="6" t="s">
        <v>3764</v>
      </c>
      <c r="C1847" s="6" t="s">
        <v>32</v>
      </c>
      <c r="D1847" s="7" t="s">
        <v>175</v>
      </c>
      <c r="E1847" s="7" t="s">
        <v>50</v>
      </c>
      <c r="F1847" s="6" t="s">
        <v>51</v>
      </c>
      <c r="G1847" s="8">
        <v>829469</v>
      </c>
      <c r="H1847" s="8">
        <v>427244</v>
      </c>
      <c r="I1847" s="8">
        <v>330189</v>
      </c>
      <c r="J1847" s="8">
        <v>17203</v>
      </c>
      <c r="K1847" s="8">
        <v>2859</v>
      </c>
      <c r="L1847" s="8">
        <v>1509</v>
      </c>
      <c r="M1847" s="8">
        <v>46</v>
      </c>
      <c r="N1847" s="8">
        <v>12258</v>
      </c>
      <c r="O1847" s="9">
        <f t="shared" si="28"/>
        <v>6.5468564973394025E-2</v>
      </c>
      <c r="P1847" s="6" t="s">
        <v>29</v>
      </c>
    </row>
    <row r="1848" spans="1:16" x14ac:dyDescent="0.25">
      <c r="A1848" s="2" t="s">
        <v>3765</v>
      </c>
      <c r="B1848" s="2" t="s">
        <v>3766</v>
      </c>
      <c r="C1848" s="2" t="s">
        <v>32</v>
      </c>
      <c r="D1848" s="3" t="s">
        <v>175</v>
      </c>
      <c r="E1848" s="3" t="s">
        <v>50</v>
      </c>
      <c r="F1848" s="2" t="s">
        <v>128</v>
      </c>
      <c r="G1848" s="4">
        <v>111550</v>
      </c>
      <c r="H1848" s="4">
        <v>70667</v>
      </c>
      <c r="I1848" s="4">
        <v>62740</v>
      </c>
      <c r="J1848" s="4">
        <v>1706</v>
      </c>
      <c r="K1848" s="4">
        <v>253</v>
      </c>
      <c r="L1848" s="4">
        <v>127</v>
      </c>
      <c r="M1848" s="4">
        <v>50</v>
      </c>
      <c r="N1848" s="4">
        <v>2185</v>
      </c>
      <c r="O1848" s="5">
        <f t="shared" si="28"/>
        <v>3.4045266177876954E-2</v>
      </c>
      <c r="P1848" s="2" t="s">
        <v>22</v>
      </c>
    </row>
    <row r="1849" spans="1:16" x14ac:dyDescent="0.25">
      <c r="A1849" s="6" t="s">
        <v>3767</v>
      </c>
      <c r="B1849" s="6" t="s">
        <v>3768</v>
      </c>
      <c r="C1849" s="6" t="s">
        <v>32</v>
      </c>
      <c r="D1849" s="7" t="s">
        <v>38</v>
      </c>
      <c r="E1849" s="7" t="s">
        <v>39</v>
      </c>
      <c r="F1849" s="6" t="s">
        <v>128</v>
      </c>
      <c r="G1849" s="8">
        <v>313948</v>
      </c>
      <c r="H1849" s="8">
        <v>74960</v>
      </c>
      <c r="I1849" s="8">
        <v>67766</v>
      </c>
      <c r="J1849" s="8">
        <v>2689</v>
      </c>
      <c r="K1849" s="8">
        <v>351</v>
      </c>
      <c r="L1849" s="8">
        <v>228</v>
      </c>
      <c r="M1849" s="8">
        <v>14</v>
      </c>
      <c r="N1849" s="8">
        <v>840</v>
      </c>
      <c r="O1849" s="9">
        <f t="shared" si="28"/>
        <v>4.8431366762093087E-2</v>
      </c>
      <c r="P1849" s="6" t="s">
        <v>29</v>
      </c>
    </row>
    <row r="1850" spans="1:16" x14ac:dyDescent="0.25">
      <c r="A1850" s="2" t="s">
        <v>3769</v>
      </c>
      <c r="B1850" s="2" t="s">
        <v>3770</v>
      </c>
      <c r="C1850" s="2" t="s">
        <v>18</v>
      </c>
      <c r="D1850" s="3" t="s">
        <v>92</v>
      </c>
      <c r="E1850" s="3" t="s">
        <v>27</v>
      </c>
      <c r="F1850" s="2" t="s">
        <v>58</v>
      </c>
      <c r="G1850" s="4">
        <v>371860</v>
      </c>
      <c r="H1850" s="4">
        <v>224332</v>
      </c>
      <c r="I1850" s="4">
        <v>158464</v>
      </c>
      <c r="J1850" s="4">
        <v>13359</v>
      </c>
      <c r="K1850" s="4">
        <v>1248</v>
      </c>
      <c r="L1850" s="4">
        <v>547</v>
      </c>
      <c r="M1850" s="4">
        <v>2477</v>
      </c>
      <c r="N1850" s="4">
        <v>2883</v>
      </c>
      <c r="O1850" s="5">
        <f t="shared" si="28"/>
        <v>0.11126186389337642</v>
      </c>
      <c r="P1850" s="2" t="s">
        <v>22</v>
      </c>
    </row>
    <row r="1851" spans="1:16" x14ac:dyDescent="0.25">
      <c r="A1851" s="6" t="s">
        <v>3771</v>
      </c>
      <c r="B1851" s="6" t="s">
        <v>3772</v>
      </c>
      <c r="C1851" s="6" t="s">
        <v>18</v>
      </c>
      <c r="D1851" s="7" t="s">
        <v>19</v>
      </c>
      <c r="E1851" s="7" t="s">
        <v>39</v>
      </c>
      <c r="F1851" s="6" t="s">
        <v>58</v>
      </c>
      <c r="G1851" s="8">
        <v>35817</v>
      </c>
      <c r="H1851" s="8">
        <v>3355</v>
      </c>
      <c r="I1851" s="8">
        <v>2787</v>
      </c>
      <c r="J1851" s="8">
        <v>108</v>
      </c>
      <c r="K1851" s="8">
        <v>4</v>
      </c>
      <c r="L1851" s="8">
        <v>15</v>
      </c>
      <c r="M1851" s="8">
        <v>6</v>
      </c>
      <c r="N1851" s="8">
        <v>103</v>
      </c>
      <c r="O1851" s="9">
        <f t="shared" si="28"/>
        <v>4.7721564406171507E-2</v>
      </c>
      <c r="P1851" s="6" t="s">
        <v>22</v>
      </c>
    </row>
    <row r="1852" spans="1:16" x14ac:dyDescent="0.25">
      <c r="A1852" s="2" t="s">
        <v>3773</v>
      </c>
      <c r="B1852" s="2" t="s">
        <v>3774</v>
      </c>
      <c r="C1852" s="2" t="s">
        <v>25</v>
      </c>
      <c r="D1852" s="3" t="s">
        <v>61</v>
      </c>
      <c r="E1852" s="3" t="s">
        <v>39</v>
      </c>
      <c r="F1852" s="2" t="s">
        <v>54</v>
      </c>
      <c r="G1852" s="4">
        <v>798586</v>
      </c>
      <c r="H1852" s="4">
        <v>311649</v>
      </c>
      <c r="I1852" s="4">
        <v>242552</v>
      </c>
      <c r="J1852" s="4">
        <v>16512</v>
      </c>
      <c r="K1852" s="4">
        <v>627</v>
      </c>
      <c r="L1852" s="4">
        <v>2243</v>
      </c>
      <c r="M1852" s="4">
        <v>2635</v>
      </c>
      <c r="N1852" s="4">
        <v>10890</v>
      </c>
      <c r="O1852" s="5">
        <f t="shared" si="28"/>
        <v>9.0772288004221768E-2</v>
      </c>
      <c r="P1852" s="2" t="s">
        <v>22</v>
      </c>
    </row>
    <row r="1853" spans="1:16" x14ac:dyDescent="0.25">
      <c r="A1853" s="6" t="s">
        <v>3775</v>
      </c>
      <c r="B1853" s="6" t="s">
        <v>3776</v>
      </c>
      <c r="C1853" s="6" t="s">
        <v>25</v>
      </c>
      <c r="D1853" s="7" t="s">
        <v>64</v>
      </c>
      <c r="E1853" s="7" t="s">
        <v>39</v>
      </c>
      <c r="F1853" s="6" t="s">
        <v>28</v>
      </c>
      <c r="G1853" s="8">
        <v>849871</v>
      </c>
      <c r="H1853" s="8">
        <v>263552</v>
      </c>
      <c r="I1853" s="8">
        <v>191983</v>
      </c>
      <c r="J1853" s="8">
        <v>15643</v>
      </c>
      <c r="K1853" s="8">
        <v>1621</v>
      </c>
      <c r="L1853" s="8">
        <v>1353</v>
      </c>
      <c r="M1853" s="8">
        <v>2223</v>
      </c>
      <c r="N1853" s="8">
        <v>9208</v>
      </c>
      <c r="O1853" s="9">
        <f t="shared" si="28"/>
        <v>0.10855127797773761</v>
      </c>
      <c r="P1853" s="6" t="s">
        <v>66</v>
      </c>
    </row>
    <row r="1854" spans="1:16" x14ac:dyDescent="0.25">
      <c r="A1854" s="2" t="s">
        <v>3777</v>
      </c>
      <c r="B1854" s="2" t="s">
        <v>3778</v>
      </c>
      <c r="C1854" s="2" t="s">
        <v>43</v>
      </c>
      <c r="D1854" s="3" t="s">
        <v>110</v>
      </c>
      <c r="E1854" s="3" t="s">
        <v>39</v>
      </c>
      <c r="F1854" s="2" t="s">
        <v>107</v>
      </c>
      <c r="G1854" s="4">
        <v>612106</v>
      </c>
      <c r="H1854" s="4">
        <v>152178</v>
      </c>
      <c r="I1854" s="4">
        <v>117928</v>
      </c>
      <c r="J1854" s="4">
        <v>6177</v>
      </c>
      <c r="K1854" s="4">
        <v>713</v>
      </c>
      <c r="L1854" s="4">
        <v>907</v>
      </c>
      <c r="M1854" s="4">
        <v>1</v>
      </c>
      <c r="N1854" s="4">
        <v>4828</v>
      </c>
      <c r="O1854" s="5">
        <f t="shared" si="28"/>
        <v>6.6125093277253924E-2</v>
      </c>
      <c r="P1854" s="2" t="s">
        <v>22</v>
      </c>
    </row>
    <row r="1855" spans="1:16" x14ac:dyDescent="0.25">
      <c r="A1855" s="6" t="s">
        <v>3779</v>
      </c>
      <c r="B1855" s="6" t="s">
        <v>3780</v>
      </c>
      <c r="C1855" s="6" t="s">
        <v>32</v>
      </c>
      <c r="D1855" s="7" t="s">
        <v>49</v>
      </c>
      <c r="E1855" s="7" t="s">
        <v>27</v>
      </c>
      <c r="F1855" s="6" t="s">
        <v>128</v>
      </c>
      <c r="G1855" s="8">
        <v>467134</v>
      </c>
      <c r="H1855" s="8">
        <v>174217</v>
      </c>
      <c r="I1855" s="8">
        <v>156353</v>
      </c>
      <c r="J1855" s="8">
        <v>9329</v>
      </c>
      <c r="K1855" s="8">
        <v>1153</v>
      </c>
      <c r="L1855" s="8">
        <v>1329</v>
      </c>
      <c r="M1855" s="8">
        <v>44</v>
      </c>
      <c r="N1855" s="8">
        <v>2506</v>
      </c>
      <c r="O1855" s="9">
        <f t="shared" si="28"/>
        <v>7.5822018125651577E-2</v>
      </c>
      <c r="P1855" s="6" t="s">
        <v>29</v>
      </c>
    </row>
    <row r="1856" spans="1:16" x14ac:dyDescent="0.25">
      <c r="A1856" s="2" t="s">
        <v>3781</v>
      </c>
      <c r="B1856" s="2" t="s">
        <v>3782</v>
      </c>
      <c r="C1856" s="2" t="s">
        <v>76</v>
      </c>
      <c r="D1856" s="3" t="s">
        <v>182</v>
      </c>
      <c r="E1856" s="3" t="s">
        <v>45</v>
      </c>
      <c r="F1856" s="2" t="s">
        <v>155</v>
      </c>
      <c r="G1856" s="4">
        <v>814980</v>
      </c>
      <c r="H1856" s="4">
        <v>248392</v>
      </c>
      <c r="I1856" s="4">
        <v>179135</v>
      </c>
      <c r="J1856" s="4">
        <v>5967</v>
      </c>
      <c r="K1856" s="4">
        <v>742</v>
      </c>
      <c r="L1856" s="4">
        <v>262</v>
      </c>
      <c r="M1856" s="4">
        <v>655</v>
      </c>
      <c r="N1856" s="4">
        <v>8005</v>
      </c>
      <c r="O1856" s="5">
        <f t="shared" si="28"/>
        <v>4.2571245150305637E-2</v>
      </c>
      <c r="P1856" s="2" t="s">
        <v>22</v>
      </c>
    </row>
    <row r="1857" spans="1:16" x14ac:dyDescent="0.25">
      <c r="A1857" s="6" t="s">
        <v>3783</v>
      </c>
      <c r="B1857" s="6" t="s">
        <v>3784</v>
      </c>
      <c r="C1857" s="6" t="s">
        <v>76</v>
      </c>
      <c r="D1857" s="7" t="s">
        <v>86</v>
      </c>
      <c r="E1857" s="7" t="s">
        <v>34</v>
      </c>
      <c r="F1857" s="6" t="s">
        <v>155</v>
      </c>
      <c r="G1857" s="8">
        <v>499089</v>
      </c>
      <c r="H1857" s="8">
        <v>257564</v>
      </c>
      <c r="I1857" s="8">
        <v>206543</v>
      </c>
      <c r="J1857" s="8">
        <v>5548</v>
      </c>
      <c r="K1857" s="8">
        <v>774</v>
      </c>
      <c r="L1857" s="8">
        <v>505</v>
      </c>
      <c r="M1857" s="8">
        <v>610</v>
      </c>
      <c r="N1857" s="8">
        <v>1725</v>
      </c>
      <c r="O1857" s="9">
        <f t="shared" si="28"/>
        <v>3.6007030013120757E-2</v>
      </c>
      <c r="P1857" s="6" t="s">
        <v>29</v>
      </c>
    </row>
    <row r="1858" spans="1:16" x14ac:dyDescent="0.25">
      <c r="A1858" s="2" t="s">
        <v>3785</v>
      </c>
      <c r="B1858" s="2" t="s">
        <v>3786</v>
      </c>
      <c r="C1858" s="2" t="s">
        <v>25</v>
      </c>
      <c r="D1858" s="3" t="s">
        <v>145</v>
      </c>
      <c r="E1858" s="3" t="s">
        <v>20</v>
      </c>
      <c r="F1858" s="2" t="s">
        <v>28</v>
      </c>
      <c r="G1858" s="4">
        <v>302110</v>
      </c>
      <c r="H1858" s="4">
        <v>1407844</v>
      </c>
      <c r="I1858" s="4">
        <v>1047521</v>
      </c>
      <c r="J1858" s="4">
        <v>93444</v>
      </c>
      <c r="K1858" s="4">
        <v>6076</v>
      </c>
      <c r="L1858" s="4">
        <v>9691</v>
      </c>
      <c r="M1858" s="4">
        <v>19516</v>
      </c>
      <c r="N1858" s="4">
        <v>7970</v>
      </c>
      <c r="O1858" s="5">
        <f t="shared" ref="O1858:O1921" si="29">IF(I1858&gt;0, (J1858+K1858+L1858+M1858)/I1858, 0)</f>
        <v>0.12288727385894889</v>
      </c>
      <c r="P1858" s="2" t="s">
        <v>22</v>
      </c>
    </row>
    <row r="1859" spans="1:16" x14ac:dyDescent="0.25">
      <c r="A1859" s="6" t="s">
        <v>3787</v>
      </c>
      <c r="B1859" s="6" t="s">
        <v>3788</v>
      </c>
      <c r="C1859" s="6" t="s">
        <v>43</v>
      </c>
      <c r="D1859" s="7" t="s">
        <v>81</v>
      </c>
      <c r="E1859" s="7" t="s">
        <v>50</v>
      </c>
      <c r="F1859" s="6" t="s">
        <v>107</v>
      </c>
      <c r="G1859" s="8">
        <v>694596</v>
      </c>
      <c r="H1859" s="8">
        <v>244894</v>
      </c>
      <c r="I1859" s="8">
        <v>202835</v>
      </c>
      <c r="J1859" s="8">
        <v>5796</v>
      </c>
      <c r="K1859" s="8">
        <v>197</v>
      </c>
      <c r="L1859" s="8">
        <v>812</v>
      </c>
      <c r="M1859" s="8">
        <v>30</v>
      </c>
      <c r="N1859" s="8">
        <v>5689</v>
      </c>
      <c r="O1859" s="9">
        <f t="shared" si="29"/>
        <v>3.3697340202627754E-2</v>
      </c>
      <c r="P1859" s="6" t="s">
        <v>22</v>
      </c>
    </row>
    <row r="1860" spans="1:16" x14ac:dyDescent="0.25">
      <c r="A1860" s="2" t="s">
        <v>3789</v>
      </c>
      <c r="B1860" s="2" t="s">
        <v>3790</v>
      </c>
      <c r="C1860" s="2" t="s">
        <v>25</v>
      </c>
      <c r="D1860" s="3" t="s">
        <v>244</v>
      </c>
      <c r="E1860" s="3" t="s">
        <v>50</v>
      </c>
      <c r="F1860" s="2" t="s">
        <v>65</v>
      </c>
      <c r="G1860" s="4">
        <v>11057</v>
      </c>
      <c r="H1860" s="4">
        <v>6557</v>
      </c>
      <c r="I1860" s="4">
        <v>5967</v>
      </c>
      <c r="J1860" s="4">
        <v>438</v>
      </c>
      <c r="K1860" s="4">
        <v>26</v>
      </c>
      <c r="L1860" s="4">
        <v>25</v>
      </c>
      <c r="M1860" s="4">
        <v>106</v>
      </c>
      <c r="N1860" s="4">
        <v>225</v>
      </c>
      <c r="O1860" s="5">
        <f t="shared" si="29"/>
        <v>9.9715099715099717E-2</v>
      </c>
      <c r="P1860" s="2" t="s">
        <v>22</v>
      </c>
    </row>
    <row r="1861" spans="1:16" x14ac:dyDescent="0.25">
      <c r="A1861" s="6" t="s">
        <v>3791</v>
      </c>
      <c r="B1861" s="6" t="s">
        <v>3792</v>
      </c>
      <c r="C1861" s="6" t="s">
        <v>76</v>
      </c>
      <c r="D1861" s="7" t="s">
        <v>86</v>
      </c>
      <c r="E1861" s="7" t="s">
        <v>20</v>
      </c>
      <c r="F1861" s="6" t="s">
        <v>104</v>
      </c>
      <c r="G1861" s="8">
        <v>728014</v>
      </c>
      <c r="H1861" s="8">
        <v>249823</v>
      </c>
      <c r="I1861" s="8">
        <v>197740</v>
      </c>
      <c r="J1861" s="8">
        <v>7779</v>
      </c>
      <c r="K1861" s="8">
        <v>512</v>
      </c>
      <c r="L1861" s="8">
        <v>984</v>
      </c>
      <c r="M1861" s="8">
        <v>569</v>
      </c>
      <c r="N1861" s="8">
        <v>2122</v>
      </c>
      <c r="O1861" s="9">
        <f t="shared" si="29"/>
        <v>4.978254273288156E-2</v>
      </c>
      <c r="P1861" s="6" t="s">
        <v>22</v>
      </c>
    </row>
    <row r="1862" spans="1:16" x14ac:dyDescent="0.25">
      <c r="A1862" s="2" t="s">
        <v>3793</v>
      </c>
      <c r="B1862" s="2" t="s">
        <v>3794</v>
      </c>
      <c r="C1862" s="2" t="s">
        <v>25</v>
      </c>
      <c r="D1862" s="3" t="s">
        <v>61</v>
      </c>
      <c r="E1862" s="3" t="s">
        <v>34</v>
      </c>
      <c r="F1862" s="2" t="s">
        <v>146</v>
      </c>
      <c r="G1862" s="4">
        <v>43849</v>
      </c>
      <c r="H1862" s="4">
        <v>18305</v>
      </c>
      <c r="I1862" s="4">
        <v>15070</v>
      </c>
      <c r="J1862" s="4">
        <v>544</v>
      </c>
      <c r="K1862" s="4">
        <v>59</v>
      </c>
      <c r="L1862" s="4">
        <v>53</v>
      </c>
      <c r="M1862" s="4">
        <v>87</v>
      </c>
      <c r="N1862" s="4">
        <v>445</v>
      </c>
      <c r="O1862" s="5">
        <f t="shared" si="29"/>
        <v>4.9303251493032517E-2</v>
      </c>
      <c r="P1862" s="2" t="s">
        <v>29</v>
      </c>
    </row>
    <row r="1863" spans="1:16" x14ac:dyDescent="0.25">
      <c r="A1863" s="6" t="s">
        <v>3795</v>
      </c>
      <c r="B1863" s="6" t="s">
        <v>3796</v>
      </c>
      <c r="C1863" s="6" t="s">
        <v>18</v>
      </c>
      <c r="D1863" s="7" t="s">
        <v>231</v>
      </c>
      <c r="E1863" s="7" t="s">
        <v>20</v>
      </c>
      <c r="F1863" s="6" t="s">
        <v>21</v>
      </c>
      <c r="G1863" s="8">
        <v>125201</v>
      </c>
      <c r="H1863" s="8">
        <v>17701</v>
      </c>
      <c r="I1863" s="8">
        <v>15774</v>
      </c>
      <c r="J1863" s="8">
        <v>392</v>
      </c>
      <c r="K1863" s="8">
        <v>20</v>
      </c>
      <c r="L1863" s="8">
        <v>42</v>
      </c>
      <c r="M1863" s="8">
        <v>34</v>
      </c>
      <c r="N1863" s="8">
        <v>296</v>
      </c>
      <c r="O1863" s="9">
        <f t="shared" si="29"/>
        <v>3.0936984911880308E-2</v>
      </c>
      <c r="P1863" s="6" t="s">
        <v>22</v>
      </c>
    </row>
    <row r="1864" spans="1:16" x14ac:dyDescent="0.25">
      <c r="A1864" s="2" t="s">
        <v>3797</v>
      </c>
      <c r="B1864" s="2" t="s">
        <v>3798</v>
      </c>
      <c r="C1864" s="2" t="s">
        <v>32</v>
      </c>
      <c r="D1864" s="3" t="s">
        <v>49</v>
      </c>
      <c r="E1864" s="3" t="s">
        <v>20</v>
      </c>
      <c r="F1864" s="2" t="s">
        <v>35</v>
      </c>
      <c r="G1864" s="4">
        <v>658945</v>
      </c>
      <c r="H1864" s="4">
        <v>72935</v>
      </c>
      <c r="I1864" s="4">
        <v>66679</v>
      </c>
      <c r="J1864" s="4">
        <v>4572</v>
      </c>
      <c r="K1864" s="4">
        <v>614</v>
      </c>
      <c r="L1864" s="4">
        <v>132</v>
      </c>
      <c r="M1864" s="4">
        <v>30</v>
      </c>
      <c r="N1864" s="4">
        <v>550</v>
      </c>
      <c r="O1864" s="5">
        <f t="shared" si="29"/>
        <v>8.0205162045021677E-2</v>
      </c>
      <c r="P1864" s="2" t="s">
        <v>29</v>
      </c>
    </row>
    <row r="1865" spans="1:16" x14ac:dyDescent="0.25">
      <c r="A1865" s="6" t="s">
        <v>3799</v>
      </c>
      <c r="B1865" s="6" t="s">
        <v>3800</v>
      </c>
      <c r="C1865" s="6" t="s">
        <v>43</v>
      </c>
      <c r="D1865" s="7" t="s">
        <v>81</v>
      </c>
      <c r="E1865" s="7" t="s">
        <v>27</v>
      </c>
      <c r="F1865" s="6" t="s">
        <v>70</v>
      </c>
      <c r="G1865" s="8">
        <v>533265</v>
      </c>
      <c r="H1865" s="8">
        <v>188299</v>
      </c>
      <c r="I1865" s="8">
        <v>145109</v>
      </c>
      <c r="J1865" s="8">
        <v>13559</v>
      </c>
      <c r="K1865" s="8">
        <v>634</v>
      </c>
      <c r="L1865" s="8">
        <v>1544</v>
      </c>
      <c r="M1865" s="8">
        <v>50</v>
      </c>
      <c r="N1865" s="8">
        <v>1839</v>
      </c>
      <c r="O1865" s="9">
        <f t="shared" si="29"/>
        <v>0.10879407893376702</v>
      </c>
      <c r="P1865" s="6" t="s">
        <v>29</v>
      </c>
    </row>
    <row r="1866" spans="1:16" x14ac:dyDescent="0.25">
      <c r="A1866" s="2" t="s">
        <v>3801</v>
      </c>
      <c r="B1866" s="2" t="s">
        <v>3802</v>
      </c>
      <c r="C1866" s="2" t="s">
        <v>43</v>
      </c>
      <c r="D1866" s="3" t="s">
        <v>110</v>
      </c>
      <c r="E1866" s="3" t="s">
        <v>39</v>
      </c>
      <c r="F1866" s="2" t="s">
        <v>70</v>
      </c>
      <c r="G1866" s="4">
        <v>519545</v>
      </c>
      <c r="H1866" s="4">
        <v>306421</v>
      </c>
      <c r="I1866" s="4">
        <v>266398</v>
      </c>
      <c r="J1866" s="4">
        <v>12470</v>
      </c>
      <c r="K1866" s="4">
        <v>1919</v>
      </c>
      <c r="L1866" s="4">
        <v>1053</v>
      </c>
      <c r="M1866" s="4">
        <v>22</v>
      </c>
      <c r="N1866" s="4">
        <v>8436</v>
      </c>
      <c r="O1866" s="5">
        <f t="shared" si="29"/>
        <v>5.804848384747633E-2</v>
      </c>
      <c r="P1866" s="2" t="s">
        <v>22</v>
      </c>
    </row>
    <row r="1867" spans="1:16" x14ac:dyDescent="0.25">
      <c r="A1867" s="6" t="s">
        <v>3803</v>
      </c>
      <c r="B1867" s="6" t="s">
        <v>3804</v>
      </c>
      <c r="C1867" s="6" t="s">
        <v>25</v>
      </c>
      <c r="D1867" s="7" t="s">
        <v>145</v>
      </c>
      <c r="E1867" s="7" t="s">
        <v>39</v>
      </c>
      <c r="F1867" s="6" t="s">
        <v>146</v>
      </c>
      <c r="G1867" s="8">
        <v>125887</v>
      </c>
      <c r="H1867" s="8">
        <v>70004</v>
      </c>
      <c r="I1867" s="8">
        <v>56664</v>
      </c>
      <c r="J1867" s="8">
        <v>4098</v>
      </c>
      <c r="K1867" s="8">
        <v>570</v>
      </c>
      <c r="L1867" s="8">
        <v>131</v>
      </c>
      <c r="M1867" s="8">
        <v>1001</v>
      </c>
      <c r="N1867" s="8">
        <v>1760</v>
      </c>
      <c r="O1867" s="9">
        <f t="shared" si="29"/>
        <v>0.10235775801214175</v>
      </c>
      <c r="P1867" s="6" t="s">
        <v>66</v>
      </c>
    </row>
    <row r="1868" spans="1:16" x14ac:dyDescent="0.25">
      <c r="A1868" s="2" t="s">
        <v>3805</v>
      </c>
      <c r="B1868" s="2" t="s">
        <v>3806</v>
      </c>
      <c r="C1868" s="2" t="s">
        <v>32</v>
      </c>
      <c r="D1868" s="3" t="s">
        <v>175</v>
      </c>
      <c r="E1868" s="3" t="s">
        <v>20</v>
      </c>
      <c r="F1868" s="2" t="s">
        <v>35</v>
      </c>
      <c r="G1868" s="4">
        <v>811461</v>
      </c>
      <c r="H1868" s="4">
        <v>261273</v>
      </c>
      <c r="I1868" s="4">
        <v>184196</v>
      </c>
      <c r="J1868" s="4">
        <v>10639</v>
      </c>
      <c r="K1868" s="4">
        <v>1288</v>
      </c>
      <c r="L1868" s="4">
        <v>769</v>
      </c>
      <c r="M1868" s="4">
        <v>38</v>
      </c>
      <c r="N1868" s="4">
        <v>8068</v>
      </c>
      <c r="O1868" s="5">
        <f t="shared" si="29"/>
        <v>6.9132880192838059E-2</v>
      </c>
      <c r="P1868" s="2" t="s">
        <v>66</v>
      </c>
    </row>
    <row r="1869" spans="1:16" x14ac:dyDescent="0.25">
      <c r="A1869" s="6" t="s">
        <v>3807</v>
      </c>
      <c r="B1869" s="6" t="s">
        <v>3808</v>
      </c>
      <c r="C1869" s="6" t="s">
        <v>25</v>
      </c>
      <c r="D1869" s="7" t="s">
        <v>64</v>
      </c>
      <c r="E1869" s="7" t="s">
        <v>20</v>
      </c>
      <c r="F1869" s="6" t="s">
        <v>65</v>
      </c>
      <c r="G1869" s="8">
        <v>64644</v>
      </c>
      <c r="H1869" s="8">
        <v>128410</v>
      </c>
      <c r="I1869" s="8">
        <v>98878</v>
      </c>
      <c r="J1869" s="8">
        <v>8876</v>
      </c>
      <c r="K1869" s="8">
        <v>1306</v>
      </c>
      <c r="L1869" s="8">
        <v>846</v>
      </c>
      <c r="M1869" s="8">
        <v>1982</v>
      </c>
      <c r="N1869" s="8">
        <v>895</v>
      </c>
      <c r="O1869" s="9">
        <f t="shared" si="29"/>
        <v>0.13157628592811343</v>
      </c>
      <c r="P1869" s="6" t="s">
        <v>29</v>
      </c>
    </row>
    <row r="1870" spans="1:16" x14ac:dyDescent="0.25">
      <c r="A1870" s="2" t="s">
        <v>3809</v>
      </c>
      <c r="B1870" s="2" t="s">
        <v>3810</v>
      </c>
      <c r="C1870" s="2" t="s">
        <v>25</v>
      </c>
      <c r="D1870" s="3" t="s">
        <v>64</v>
      </c>
      <c r="E1870" s="3" t="s">
        <v>50</v>
      </c>
      <c r="F1870" s="2" t="s">
        <v>146</v>
      </c>
      <c r="G1870" s="4">
        <v>34608</v>
      </c>
      <c r="H1870" s="4">
        <v>10781</v>
      </c>
      <c r="I1870" s="4">
        <v>9392</v>
      </c>
      <c r="J1870" s="4">
        <v>405</v>
      </c>
      <c r="K1870" s="4">
        <v>65</v>
      </c>
      <c r="L1870" s="4">
        <v>36</v>
      </c>
      <c r="M1870" s="4">
        <v>62</v>
      </c>
      <c r="N1870" s="4">
        <v>116</v>
      </c>
      <c r="O1870" s="5">
        <f t="shared" si="29"/>
        <v>6.0477001703577511E-2</v>
      </c>
      <c r="P1870" s="2" t="s">
        <v>29</v>
      </c>
    </row>
    <row r="1871" spans="1:16" x14ac:dyDescent="0.25">
      <c r="A1871" s="6" t="s">
        <v>3811</v>
      </c>
      <c r="B1871" s="6" t="s">
        <v>3812</v>
      </c>
      <c r="C1871" s="6" t="s">
        <v>43</v>
      </c>
      <c r="D1871" s="7" t="s">
        <v>81</v>
      </c>
      <c r="E1871" s="7" t="s">
        <v>27</v>
      </c>
      <c r="F1871" s="6" t="s">
        <v>46</v>
      </c>
      <c r="G1871" s="8">
        <v>198063</v>
      </c>
      <c r="H1871" s="8">
        <v>111910</v>
      </c>
      <c r="I1871" s="8">
        <v>100823</v>
      </c>
      <c r="J1871" s="8">
        <v>7868</v>
      </c>
      <c r="K1871" s="8">
        <v>402</v>
      </c>
      <c r="L1871" s="8">
        <v>539</v>
      </c>
      <c r="M1871" s="8">
        <v>21</v>
      </c>
      <c r="N1871" s="8">
        <v>3052</v>
      </c>
      <c r="O1871" s="9">
        <f t="shared" si="29"/>
        <v>8.7579222994753181E-2</v>
      </c>
      <c r="P1871" s="6" t="s">
        <v>22</v>
      </c>
    </row>
    <row r="1872" spans="1:16" x14ac:dyDescent="0.25">
      <c r="A1872" s="2" t="s">
        <v>3813</v>
      </c>
      <c r="B1872" s="2" t="s">
        <v>3814</v>
      </c>
      <c r="C1872" s="2" t="s">
        <v>76</v>
      </c>
      <c r="D1872" s="3" t="s">
        <v>189</v>
      </c>
      <c r="E1872" s="3" t="s">
        <v>39</v>
      </c>
      <c r="F1872" s="2" t="s">
        <v>87</v>
      </c>
      <c r="G1872" s="4">
        <v>227703</v>
      </c>
      <c r="H1872" s="4">
        <v>85626</v>
      </c>
      <c r="I1872" s="4">
        <v>74599</v>
      </c>
      <c r="J1872" s="4">
        <v>2920</v>
      </c>
      <c r="K1872" s="4">
        <v>304</v>
      </c>
      <c r="L1872" s="4">
        <v>271</v>
      </c>
      <c r="M1872" s="4">
        <v>266</v>
      </c>
      <c r="N1872" s="4">
        <v>2253</v>
      </c>
      <c r="O1872" s="5">
        <f t="shared" si="29"/>
        <v>5.0416225418571298E-2</v>
      </c>
      <c r="P1872" s="2" t="s">
        <v>22</v>
      </c>
    </row>
    <row r="1873" spans="1:16" x14ac:dyDescent="0.25">
      <c r="A1873" s="6" t="s">
        <v>3815</v>
      </c>
      <c r="B1873" s="6" t="s">
        <v>3816</v>
      </c>
      <c r="C1873" s="6" t="s">
        <v>25</v>
      </c>
      <c r="D1873" s="7" t="s">
        <v>64</v>
      </c>
      <c r="E1873" s="7" t="s">
        <v>20</v>
      </c>
      <c r="F1873" s="6" t="s">
        <v>54</v>
      </c>
      <c r="G1873" s="8">
        <v>36622</v>
      </c>
      <c r="H1873" s="8">
        <v>7843</v>
      </c>
      <c r="I1873" s="8">
        <v>6247</v>
      </c>
      <c r="J1873" s="8">
        <v>401</v>
      </c>
      <c r="K1873" s="8">
        <v>36</v>
      </c>
      <c r="L1873" s="8">
        <v>54</v>
      </c>
      <c r="M1873" s="8">
        <v>41</v>
      </c>
      <c r="N1873" s="8">
        <v>140</v>
      </c>
      <c r="O1873" s="9">
        <f t="shared" si="29"/>
        <v>8.5160877221066106E-2</v>
      </c>
      <c r="P1873" s="6" t="s">
        <v>22</v>
      </c>
    </row>
    <row r="1874" spans="1:16" x14ac:dyDescent="0.25">
      <c r="A1874" s="2" t="s">
        <v>3817</v>
      </c>
      <c r="B1874" s="2" t="s">
        <v>3818</v>
      </c>
      <c r="C1874" s="2" t="s">
        <v>25</v>
      </c>
      <c r="D1874" s="3" t="s">
        <v>26</v>
      </c>
      <c r="E1874" s="3" t="s">
        <v>34</v>
      </c>
      <c r="F1874" s="2" t="s">
        <v>146</v>
      </c>
      <c r="G1874" s="4">
        <v>42965</v>
      </c>
      <c r="H1874" s="4">
        <v>6024</v>
      </c>
      <c r="I1874" s="4">
        <v>4674</v>
      </c>
      <c r="J1874" s="4">
        <v>181</v>
      </c>
      <c r="K1874" s="4">
        <v>17</v>
      </c>
      <c r="L1874" s="4">
        <v>13</v>
      </c>
      <c r="M1874" s="4">
        <v>13</v>
      </c>
      <c r="N1874" s="4">
        <v>94</v>
      </c>
      <c r="O1874" s="5">
        <f t="shared" si="29"/>
        <v>4.792468977321352E-2</v>
      </c>
      <c r="P1874" s="2" t="s">
        <v>22</v>
      </c>
    </row>
    <row r="1875" spans="1:16" x14ac:dyDescent="0.25">
      <c r="A1875" s="6" t="s">
        <v>3819</v>
      </c>
      <c r="B1875" s="6" t="s">
        <v>3820</v>
      </c>
      <c r="C1875" s="6" t="s">
        <v>18</v>
      </c>
      <c r="D1875" s="7" t="s">
        <v>231</v>
      </c>
      <c r="E1875" s="7" t="s">
        <v>34</v>
      </c>
      <c r="F1875" s="6" t="s">
        <v>58</v>
      </c>
      <c r="G1875" s="8">
        <v>463257</v>
      </c>
      <c r="H1875" s="8">
        <v>66830</v>
      </c>
      <c r="I1875" s="8">
        <v>57239</v>
      </c>
      <c r="J1875" s="8">
        <v>4155</v>
      </c>
      <c r="K1875" s="8">
        <v>680</v>
      </c>
      <c r="L1875" s="8">
        <v>122</v>
      </c>
      <c r="M1875" s="8">
        <v>655</v>
      </c>
      <c r="N1875" s="8">
        <v>571</v>
      </c>
      <c r="O1875" s="9">
        <f t="shared" si="29"/>
        <v>9.8045039221509811E-2</v>
      </c>
      <c r="P1875" s="6" t="s">
        <v>22</v>
      </c>
    </row>
    <row r="1876" spans="1:16" x14ac:dyDescent="0.25">
      <c r="A1876" s="2" t="s">
        <v>3821</v>
      </c>
      <c r="B1876" s="2" t="s">
        <v>3822</v>
      </c>
      <c r="C1876" s="2" t="s">
        <v>76</v>
      </c>
      <c r="D1876" s="3" t="s">
        <v>77</v>
      </c>
      <c r="E1876" s="3" t="s">
        <v>27</v>
      </c>
      <c r="F1876" s="2" t="s">
        <v>155</v>
      </c>
      <c r="G1876" s="4">
        <v>421582</v>
      </c>
      <c r="H1876" s="4">
        <v>39045</v>
      </c>
      <c r="I1876" s="4">
        <v>30266</v>
      </c>
      <c r="J1876" s="4">
        <v>2442</v>
      </c>
      <c r="K1876" s="4">
        <v>172</v>
      </c>
      <c r="L1876" s="4">
        <v>357</v>
      </c>
      <c r="M1876" s="4">
        <v>566</v>
      </c>
      <c r="N1876" s="4">
        <v>400</v>
      </c>
      <c r="O1876" s="5">
        <f t="shared" si="29"/>
        <v>0.11686380757285403</v>
      </c>
      <c r="P1876" s="2" t="s">
        <v>22</v>
      </c>
    </row>
    <row r="1877" spans="1:16" x14ac:dyDescent="0.25">
      <c r="A1877" s="6" t="s">
        <v>3823</v>
      </c>
      <c r="B1877" s="6" t="s">
        <v>3824</v>
      </c>
      <c r="C1877" s="6" t="s">
        <v>18</v>
      </c>
      <c r="D1877" s="7" t="s">
        <v>19</v>
      </c>
      <c r="E1877" s="7" t="s">
        <v>39</v>
      </c>
      <c r="F1877" s="6" t="s">
        <v>58</v>
      </c>
      <c r="G1877" s="8">
        <v>96352</v>
      </c>
      <c r="H1877" s="8">
        <v>52026</v>
      </c>
      <c r="I1877" s="8">
        <v>39738</v>
      </c>
      <c r="J1877" s="8">
        <v>3535</v>
      </c>
      <c r="K1877" s="8">
        <v>250</v>
      </c>
      <c r="L1877" s="8">
        <v>385</v>
      </c>
      <c r="M1877" s="8">
        <v>375</v>
      </c>
      <c r="N1877" s="8">
        <v>787</v>
      </c>
      <c r="O1877" s="9">
        <f t="shared" si="29"/>
        <v>0.11437415068699985</v>
      </c>
      <c r="P1877" s="6" t="s">
        <v>22</v>
      </c>
    </row>
    <row r="1878" spans="1:16" x14ac:dyDescent="0.25">
      <c r="A1878" s="2" t="s">
        <v>3825</v>
      </c>
      <c r="B1878" s="2" t="s">
        <v>3826</v>
      </c>
      <c r="C1878" s="2" t="s">
        <v>76</v>
      </c>
      <c r="D1878" s="3" t="s">
        <v>77</v>
      </c>
      <c r="E1878" s="3" t="s">
        <v>20</v>
      </c>
      <c r="F1878" s="2" t="s">
        <v>87</v>
      </c>
      <c r="G1878" s="4">
        <v>92921</v>
      </c>
      <c r="H1878" s="4">
        <v>58030</v>
      </c>
      <c r="I1878" s="4">
        <v>53124</v>
      </c>
      <c r="J1878" s="4">
        <v>1690</v>
      </c>
      <c r="K1878" s="4">
        <v>247</v>
      </c>
      <c r="L1878" s="4">
        <v>243</v>
      </c>
      <c r="M1878" s="4">
        <v>411</v>
      </c>
      <c r="N1878" s="4">
        <v>945</v>
      </c>
      <c r="O1878" s="5">
        <f t="shared" si="29"/>
        <v>4.8772682779911154E-2</v>
      </c>
      <c r="P1878" s="2" t="s">
        <v>22</v>
      </c>
    </row>
    <row r="1879" spans="1:16" x14ac:dyDescent="0.25">
      <c r="A1879" s="6" t="s">
        <v>3827</v>
      </c>
      <c r="B1879" s="6" t="s">
        <v>3828</v>
      </c>
      <c r="C1879" s="6" t="s">
        <v>76</v>
      </c>
      <c r="D1879" s="7" t="s">
        <v>182</v>
      </c>
      <c r="E1879" s="7" t="s">
        <v>45</v>
      </c>
      <c r="F1879" s="6" t="s">
        <v>155</v>
      </c>
      <c r="G1879" s="8">
        <v>412051</v>
      </c>
      <c r="H1879" s="8">
        <v>87395</v>
      </c>
      <c r="I1879" s="8">
        <v>73830</v>
      </c>
      <c r="J1879" s="8">
        <v>6334</v>
      </c>
      <c r="K1879" s="8">
        <v>1085</v>
      </c>
      <c r="L1879" s="8">
        <v>394</v>
      </c>
      <c r="M1879" s="8">
        <v>1177</v>
      </c>
      <c r="N1879" s="8">
        <v>1619</v>
      </c>
      <c r="O1879" s="9">
        <f t="shared" si="29"/>
        <v>0.12176621969389137</v>
      </c>
      <c r="P1879" s="6" t="s">
        <v>66</v>
      </c>
    </row>
    <row r="1880" spans="1:16" x14ac:dyDescent="0.25">
      <c r="A1880" s="2" t="s">
        <v>3829</v>
      </c>
      <c r="B1880" s="2" t="s">
        <v>3830</v>
      </c>
      <c r="C1880" s="2" t="s">
        <v>43</v>
      </c>
      <c r="D1880" s="3" t="s">
        <v>172</v>
      </c>
      <c r="E1880" s="3" t="s">
        <v>34</v>
      </c>
      <c r="F1880" s="2" t="s">
        <v>46</v>
      </c>
      <c r="G1880" s="4">
        <v>718644</v>
      </c>
      <c r="H1880" s="4">
        <v>205248</v>
      </c>
      <c r="I1880" s="4">
        <v>148798</v>
      </c>
      <c r="J1880" s="4">
        <v>6432</v>
      </c>
      <c r="K1880" s="4">
        <v>968</v>
      </c>
      <c r="L1880" s="4">
        <v>789</v>
      </c>
      <c r="M1880" s="4">
        <v>48</v>
      </c>
      <c r="N1880" s="4">
        <v>5789</v>
      </c>
      <c r="O1880" s="5">
        <f t="shared" si="29"/>
        <v>5.5356926840414523E-2</v>
      </c>
      <c r="P1880" s="2" t="s">
        <v>22</v>
      </c>
    </row>
    <row r="1881" spans="1:16" x14ac:dyDescent="0.25">
      <c r="A1881" s="6" t="s">
        <v>3831</v>
      </c>
      <c r="B1881" s="6" t="s">
        <v>3832</v>
      </c>
      <c r="C1881" s="6" t="s">
        <v>43</v>
      </c>
      <c r="D1881" s="7" t="s">
        <v>110</v>
      </c>
      <c r="E1881" s="7" t="s">
        <v>20</v>
      </c>
      <c r="F1881" s="6" t="s">
        <v>107</v>
      </c>
      <c r="G1881" s="8">
        <v>499379</v>
      </c>
      <c r="H1881" s="8">
        <v>49607</v>
      </c>
      <c r="I1881" s="8">
        <v>39308</v>
      </c>
      <c r="J1881" s="8">
        <v>3404</v>
      </c>
      <c r="K1881" s="8">
        <v>575</v>
      </c>
      <c r="L1881" s="8">
        <v>214</v>
      </c>
      <c r="M1881" s="8">
        <v>42</v>
      </c>
      <c r="N1881" s="8">
        <v>1105</v>
      </c>
      <c r="O1881" s="9">
        <f t="shared" si="29"/>
        <v>0.10773888267019437</v>
      </c>
      <c r="P1881" s="6" t="s">
        <v>29</v>
      </c>
    </row>
    <row r="1882" spans="1:16" x14ac:dyDescent="0.25">
      <c r="A1882" s="2" t="s">
        <v>3833</v>
      </c>
      <c r="B1882" s="2" t="s">
        <v>3834</v>
      </c>
      <c r="C1882" s="2" t="s">
        <v>43</v>
      </c>
      <c r="D1882" s="3" t="s">
        <v>110</v>
      </c>
      <c r="E1882" s="3" t="s">
        <v>50</v>
      </c>
      <c r="F1882" s="2" t="s">
        <v>46</v>
      </c>
      <c r="G1882" s="4">
        <v>645336</v>
      </c>
      <c r="H1882" s="4">
        <v>208969</v>
      </c>
      <c r="I1882" s="4">
        <v>159779</v>
      </c>
      <c r="J1882" s="4">
        <v>14652</v>
      </c>
      <c r="K1882" s="4">
        <v>2595</v>
      </c>
      <c r="L1882" s="4">
        <v>1724</v>
      </c>
      <c r="M1882" s="4">
        <v>30</v>
      </c>
      <c r="N1882" s="4">
        <v>6326</v>
      </c>
      <c r="O1882" s="5">
        <f t="shared" si="29"/>
        <v>0.11892050895299132</v>
      </c>
      <c r="P1882" s="2" t="s">
        <v>29</v>
      </c>
    </row>
    <row r="1883" spans="1:16" x14ac:dyDescent="0.25">
      <c r="A1883" s="6" t="s">
        <v>3835</v>
      </c>
      <c r="B1883" s="6" t="s">
        <v>3836</v>
      </c>
      <c r="C1883" s="6" t="s">
        <v>18</v>
      </c>
      <c r="D1883" s="7" t="s">
        <v>19</v>
      </c>
      <c r="E1883" s="7" t="s">
        <v>27</v>
      </c>
      <c r="F1883" s="6" t="s">
        <v>21</v>
      </c>
      <c r="G1883" s="8">
        <v>15062</v>
      </c>
      <c r="H1883" s="8">
        <v>9505</v>
      </c>
      <c r="I1883" s="8">
        <v>8512</v>
      </c>
      <c r="J1883" s="8">
        <v>696</v>
      </c>
      <c r="K1883" s="8">
        <v>95</v>
      </c>
      <c r="L1883" s="8">
        <v>19</v>
      </c>
      <c r="M1883" s="8">
        <v>173</v>
      </c>
      <c r="N1883" s="8">
        <v>105</v>
      </c>
      <c r="O1883" s="9">
        <f t="shared" si="29"/>
        <v>0.11548402255639098</v>
      </c>
      <c r="P1883" s="6" t="s">
        <v>22</v>
      </c>
    </row>
    <row r="1884" spans="1:16" x14ac:dyDescent="0.25">
      <c r="A1884" s="2" t="s">
        <v>3837</v>
      </c>
      <c r="B1884" s="2" t="s">
        <v>3838</v>
      </c>
      <c r="C1884" s="2" t="s">
        <v>18</v>
      </c>
      <c r="D1884" s="3" t="s">
        <v>92</v>
      </c>
      <c r="E1884" s="3" t="s">
        <v>20</v>
      </c>
      <c r="F1884" s="2" t="s">
        <v>21</v>
      </c>
      <c r="G1884" s="4">
        <v>330750</v>
      </c>
      <c r="H1884" s="4">
        <v>180320</v>
      </c>
      <c r="I1884" s="4">
        <v>134668</v>
      </c>
      <c r="J1884" s="4">
        <v>6072</v>
      </c>
      <c r="K1884" s="4">
        <v>329</v>
      </c>
      <c r="L1884" s="4">
        <v>341</v>
      </c>
      <c r="M1884" s="4">
        <v>1192</v>
      </c>
      <c r="N1884" s="4">
        <v>4180</v>
      </c>
      <c r="O1884" s="5">
        <f t="shared" si="29"/>
        <v>5.8915258264769656E-2</v>
      </c>
      <c r="P1884" s="2" t="s">
        <v>29</v>
      </c>
    </row>
    <row r="1885" spans="1:16" x14ac:dyDescent="0.25">
      <c r="A1885" s="6" t="s">
        <v>3839</v>
      </c>
      <c r="B1885" s="6" t="s">
        <v>3840</v>
      </c>
      <c r="C1885" s="6" t="s">
        <v>76</v>
      </c>
      <c r="D1885" s="7" t="s">
        <v>77</v>
      </c>
      <c r="E1885" s="7" t="s">
        <v>39</v>
      </c>
      <c r="F1885" s="6" t="s">
        <v>87</v>
      </c>
      <c r="G1885" s="8">
        <v>490217</v>
      </c>
      <c r="H1885" s="8">
        <v>303536</v>
      </c>
      <c r="I1885" s="8">
        <v>258090</v>
      </c>
      <c r="J1885" s="8">
        <v>17416</v>
      </c>
      <c r="K1885" s="8">
        <v>2184</v>
      </c>
      <c r="L1885" s="8">
        <v>1113</v>
      </c>
      <c r="M1885" s="8">
        <v>2281</v>
      </c>
      <c r="N1885" s="8">
        <v>2199</v>
      </c>
      <c r="O1885" s="9">
        <f t="shared" si="29"/>
        <v>8.9092952070982986E-2</v>
      </c>
      <c r="P1885" s="6" t="s">
        <v>29</v>
      </c>
    </row>
    <row r="1886" spans="1:16" x14ac:dyDescent="0.25">
      <c r="A1886" s="2" t="s">
        <v>3841</v>
      </c>
      <c r="B1886" s="2" t="s">
        <v>3842</v>
      </c>
      <c r="C1886" s="2" t="s">
        <v>43</v>
      </c>
      <c r="D1886" s="3" t="s">
        <v>110</v>
      </c>
      <c r="E1886" s="3" t="s">
        <v>27</v>
      </c>
      <c r="F1886" s="2" t="s">
        <v>46</v>
      </c>
      <c r="G1886" s="4">
        <v>96727</v>
      </c>
      <c r="H1886" s="4">
        <v>54778</v>
      </c>
      <c r="I1886" s="4">
        <v>45882</v>
      </c>
      <c r="J1886" s="4">
        <v>4024</v>
      </c>
      <c r="K1886" s="4">
        <v>632</v>
      </c>
      <c r="L1886" s="4">
        <v>499</v>
      </c>
      <c r="M1886" s="4">
        <v>20</v>
      </c>
      <c r="N1886" s="4">
        <v>1446</v>
      </c>
      <c r="O1886" s="5">
        <f t="shared" si="29"/>
        <v>0.11278932914868577</v>
      </c>
      <c r="P1886" s="2" t="s">
        <v>29</v>
      </c>
    </row>
    <row r="1887" spans="1:16" x14ac:dyDescent="0.25">
      <c r="A1887" s="6" t="s">
        <v>3843</v>
      </c>
      <c r="B1887" s="6" t="s">
        <v>3844</v>
      </c>
      <c r="C1887" s="6" t="s">
        <v>25</v>
      </c>
      <c r="D1887" s="7" t="s">
        <v>26</v>
      </c>
      <c r="E1887" s="7" t="s">
        <v>20</v>
      </c>
      <c r="F1887" s="6" t="s">
        <v>65</v>
      </c>
      <c r="G1887" s="8">
        <v>750073</v>
      </c>
      <c r="H1887" s="8">
        <v>233324</v>
      </c>
      <c r="I1887" s="8">
        <v>192779</v>
      </c>
      <c r="J1887" s="8">
        <v>12433</v>
      </c>
      <c r="K1887" s="8">
        <v>1603</v>
      </c>
      <c r="L1887" s="8">
        <v>326</v>
      </c>
      <c r="M1887" s="8">
        <v>966</v>
      </c>
      <c r="N1887" s="8">
        <v>7363</v>
      </c>
      <c r="O1887" s="9">
        <f t="shared" si="29"/>
        <v>7.9510735090440349E-2</v>
      </c>
      <c r="P1887" s="6" t="s">
        <v>22</v>
      </c>
    </row>
    <row r="1888" spans="1:16" x14ac:dyDescent="0.25">
      <c r="A1888" s="2" t="s">
        <v>3845</v>
      </c>
      <c r="B1888" s="2" t="s">
        <v>3846</v>
      </c>
      <c r="C1888" s="2" t="s">
        <v>76</v>
      </c>
      <c r="D1888" s="3" t="s">
        <v>77</v>
      </c>
      <c r="E1888" s="3" t="s">
        <v>50</v>
      </c>
      <c r="F1888" s="2" t="s">
        <v>155</v>
      </c>
      <c r="G1888" s="4">
        <v>766660</v>
      </c>
      <c r="H1888" s="4">
        <v>89627</v>
      </c>
      <c r="I1888" s="4">
        <v>79800</v>
      </c>
      <c r="J1888" s="4">
        <v>6955</v>
      </c>
      <c r="K1888" s="4">
        <v>1209</v>
      </c>
      <c r="L1888" s="4">
        <v>749</v>
      </c>
      <c r="M1888" s="4">
        <v>1073</v>
      </c>
      <c r="N1888" s="4">
        <v>2046</v>
      </c>
      <c r="O1888" s="5">
        <f t="shared" si="29"/>
        <v>0.12513784461152883</v>
      </c>
      <c r="P1888" s="2" t="s">
        <v>22</v>
      </c>
    </row>
    <row r="1889" spans="1:16" x14ac:dyDescent="0.25">
      <c r="A1889" s="6" t="s">
        <v>3847</v>
      </c>
      <c r="B1889" s="6" t="s">
        <v>3848</v>
      </c>
      <c r="C1889" s="6" t="s">
        <v>43</v>
      </c>
      <c r="D1889" s="7" t="s">
        <v>81</v>
      </c>
      <c r="E1889" s="7" t="s">
        <v>34</v>
      </c>
      <c r="F1889" s="6" t="s">
        <v>46</v>
      </c>
      <c r="G1889" s="8">
        <v>127553</v>
      </c>
      <c r="H1889" s="8">
        <v>78039</v>
      </c>
      <c r="I1889" s="8">
        <v>58998</v>
      </c>
      <c r="J1889" s="8">
        <v>4897</v>
      </c>
      <c r="K1889" s="8">
        <v>206</v>
      </c>
      <c r="L1889" s="8">
        <v>163</v>
      </c>
      <c r="M1889" s="8">
        <v>37</v>
      </c>
      <c r="N1889" s="8">
        <v>2394</v>
      </c>
      <c r="O1889" s="9">
        <f t="shared" si="29"/>
        <v>8.9884402861113932E-2</v>
      </c>
      <c r="P1889" s="6" t="s">
        <v>22</v>
      </c>
    </row>
    <row r="1890" spans="1:16" x14ac:dyDescent="0.25">
      <c r="A1890" s="2" t="s">
        <v>3849</v>
      </c>
      <c r="B1890" s="2" t="s">
        <v>3850</v>
      </c>
      <c r="C1890" s="2" t="s">
        <v>18</v>
      </c>
      <c r="D1890" s="3" t="s">
        <v>19</v>
      </c>
      <c r="E1890" s="3" t="s">
        <v>45</v>
      </c>
      <c r="F1890" s="2" t="s">
        <v>58</v>
      </c>
      <c r="G1890" s="4">
        <v>515749</v>
      </c>
      <c r="H1890" s="4">
        <v>256353</v>
      </c>
      <c r="I1890" s="4">
        <v>217262</v>
      </c>
      <c r="J1890" s="4">
        <v>19235</v>
      </c>
      <c r="K1890" s="4">
        <v>3052</v>
      </c>
      <c r="L1890" s="4">
        <v>2298</v>
      </c>
      <c r="M1890" s="4">
        <v>4693</v>
      </c>
      <c r="N1890" s="4">
        <v>2702</v>
      </c>
      <c r="O1890" s="5">
        <f t="shared" si="29"/>
        <v>0.13475895462621168</v>
      </c>
      <c r="P1890" s="2" t="s">
        <v>22</v>
      </c>
    </row>
    <row r="1891" spans="1:16" x14ac:dyDescent="0.25">
      <c r="A1891" s="6" t="s">
        <v>3851</v>
      </c>
      <c r="B1891" s="6" t="s">
        <v>3852</v>
      </c>
      <c r="C1891" s="6" t="s">
        <v>43</v>
      </c>
      <c r="D1891" s="7" t="s">
        <v>69</v>
      </c>
      <c r="E1891" s="7" t="s">
        <v>39</v>
      </c>
      <c r="F1891" s="6" t="s">
        <v>70</v>
      </c>
      <c r="G1891" s="8">
        <v>61750</v>
      </c>
      <c r="H1891" s="8">
        <v>24668</v>
      </c>
      <c r="I1891" s="8">
        <v>20700</v>
      </c>
      <c r="J1891" s="8">
        <v>997</v>
      </c>
      <c r="K1891" s="8">
        <v>55</v>
      </c>
      <c r="L1891" s="8">
        <v>140</v>
      </c>
      <c r="M1891" s="8">
        <v>10</v>
      </c>
      <c r="N1891" s="8">
        <v>187</v>
      </c>
      <c r="O1891" s="9">
        <f t="shared" si="29"/>
        <v>5.8067632850241545E-2</v>
      </c>
      <c r="P1891" s="6" t="s">
        <v>29</v>
      </c>
    </row>
    <row r="1892" spans="1:16" x14ac:dyDescent="0.25">
      <c r="A1892" s="2" t="s">
        <v>3853</v>
      </c>
      <c r="B1892" s="2" t="s">
        <v>3854</v>
      </c>
      <c r="C1892" s="2" t="s">
        <v>43</v>
      </c>
      <c r="D1892" s="3" t="s">
        <v>44</v>
      </c>
      <c r="E1892" s="3" t="s">
        <v>20</v>
      </c>
      <c r="F1892" s="2" t="s">
        <v>46</v>
      </c>
      <c r="G1892" s="4">
        <v>509036</v>
      </c>
      <c r="H1892" s="4">
        <v>210622</v>
      </c>
      <c r="I1892" s="4">
        <v>166391</v>
      </c>
      <c r="J1892" s="4">
        <v>9341</v>
      </c>
      <c r="K1892" s="4">
        <v>1300</v>
      </c>
      <c r="L1892" s="4">
        <v>367</v>
      </c>
      <c r="M1892" s="4">
        <v>27</v>
      </c>
      <c r="N1892" s="4">
        <v>3331</v>
      </c>
      <c r="O1892" s="5">
        <f t="shared" si="29"/>
        <v>6.6319692771844629E-2</v>
      </c>
      <c r="P1892" s="2" t="s">
        <v>29</v>
      </c>
    </row>
    <row r="1893" spans="1:16" x14ac:dyDescent="0.25">
      <c r="A1893" s="6" t="s">
        <v>3855</v>
      </c>
      <c r="B1893" s="6" t="s">
        <v>3856</v>
      </c>
      <c r="C1893" s="6" t="s">
        <v>43</v>
      </c>
      <c r="D1893" s="7" t="s">
        <v>110</v>
      </c>
      <c r="E1893" s="7" t="s">
        <v>39</v>
      </c>
      <c r="F1893" s="6" t="s">
        <v>70</v>
      </c>
      <c r="G1893" s="8">
        <v>432276</v>
      </c>
      <c r="H1893" s="8">
        <v>221346</v>
      </c>
      <c r="I1893" s="8">
        <v>180731</v>
      </c>
      <c r="J1893" s="8">
        <v>17376</v>
      </c>
      <c r="K1893" s="8">
        <v>2524</v>
      </c>
      <c r="L1893" s="8">
        <v>350</v>
      </c>
      <c r="M1893" s="8">
        <v>0</v>
      </c>
      <c r="N1893" s="8">
        <v>2361</v>
      </c>
      <c r="O1893" s="9">
        <f t="shared" si="29"/>
        <v>0.11204497291554852</v>
      </c>
      <c r="P1893" s="6" t="s">
        <v>66</v>
      </c>
    </row>
    <row r="1894" spans="1:16" x14ac:dyDescent="0.25">
      <c r="A1894" s="2" t="s">
        <v>3857</v>
      </c>
      <c r="B1894" s="2" t="s">
        <v>3858</v>
      </c>
      <c r="C1894" s="2" t="s">
        <v>43</v>
      </c>
      <c r="D1894" s="3" t="s">
        <v>81</v>
      </c>
      <c r="E1894" s="3" t="s">
        <v>39</v>
      </c>
      <c r="F1894" s="2" t="s">
        <v>70</v>
      </c>
      <c r="G1894" s="4">
        <v>260415</v>
      </c>
      <c r="H1894" s="4">
        <v>136125</v>
      </c>
      <c r="I1894" s="4">
        <v>114199</v>
      </c>
      <c r="J1894" s="4">
        <v>8862</v>
      </c>
      <c r="K1894" s="4">
        <v>820</v>
      </c>
      <c r="L1894" s="4">
        <v>999</v>
      </c>
      <c r="M1894" s="4">
        <v>48</v>
      </c>
      <c r="N1894" s="4">
        <v>2455</v>
      </c>
      <c r="O1894" s="5">
        <f t="shared" si="29"/>
        <v>9.3950034588744208E-2</v>
      </c>
      <c r="P1894" s="2" t="s">
        <v>29</v>
      </c>
    </row>
    <row r="1895" spans="1:16" x14ac:dyDescent="0.25">
      <c r="A1895" s="6" t="s">
        <v>3859</v>
      </c>
      <c r="B1895" s="6" t="s">
        <v>3860</v>
      </c>
      <c r="C1895" s="6" t="s">
        <v>32</v>
      </c>
      <c r="D1895" s="7" t="s">
        <v>175</v>
      </c>
      <c r="E1895" s="7" t="s">
        <v>27</v>
      </c>
      <c r="F1895" s="6" t="s">
        <v>51</v>
      </c>
      <c r="G1895" s="8">
        <v>288721</v>
      </c>
      <c r="H1895" s="8">
        <v>120831</v>
      </c>
      <c r="I1895" s="8">
        <v>103063</v>
      </c>
      <c r="J1895" s="8">
        <v>5571</v>
      </c>
      <c r="K1895" s="8">
        <v>770</v>
      </c>
      <c r="L1895" s="8">
        <v>503</v>
      </c>
      <c r="M1895" s="8">
        <v>26</v>
      </c>
      <c r="N1895" s="8">
        <v>3989</v>
      </c>
      <c r="O1895" s="9">
        <f t="shared" si="29"/>
        <v>6.6658257570612153E-2</v>
      </c>
      <c r="P1895" s="6" t="s">
        <v>22</v>
      </c>
    </row>
    <row r="1896" spans="1:16" x14ac:dyDescent="0.25">
      <c r="A1896" s="2" t="s">
        <v>3861</v>
      </c>
      <c r="B1896" s="2" t="s">
        <v>3862</v>
      </c>
      <c r="C1896" s="2" t="s">
        <v>32</v>
      </c>
      <c r="D1896" s="3" t="s">
        <v>38</v>
      </c>
      <c r="E1896" s="3" t="s">
        <v>45</v>
      </c>
      <c r="F1896" s="2" t="s">
        <v>40</v>
      </c>
      <c r="G1896" s="4">
        <v>359344</v>
      </c>
      <c r="H1896" s="4">
        <v>119207</v>
      </c>
      <c r="I1896" s="4">
        <v>95794</v>
      </c>
      <c r="J1896" s="4">
        <v>4962</v>
      </c>
      <c r="K1896" s="4">
        <v>354</v>
      </c>
      <c r="L1896" s="4">
        <v>598</v>
      </c>
      <c r="M1896" s="4">
        <v>32</v>
      </c>
      <c r="N1896" s="4">
        <v>1168</v>
      </c>
      <c r="O1896" s="5">
        <f t="shared" si="29"/>
        <v>6.2070693362841094E-2</v>
      </c>
      <c r="P1896" s="2" t="s">
        <v>22</v>
      </c>
    </row>
    <row r="1897" spans="1:16" x14ac:dyDescent="0.25">
      <c r="A1897" s="6" t="s">
        <v>3863</v>
      </c>
      <c r="B1897" s="6" t="s">
        <v>3864</v>
      </c>
      <c r="C1897" s="6" t="s">
        <v>43</v>
      </c>
      <c r="D1897" s="7" t="s">
        <v>110</v>
      </c>
      <c r="E1897" s="7" t="s">
        <v>34</v>
      </c>
      <c r="F1897" s="6" t="s">
        <v>70</v>
      </c>
      <c r="G1897" s="8">
        <v>205746</v>
      </c>
      <c r="H1897" s="8">
        <v>106141</v>
      </c>
      <c r="I1897" s="8">
        <v>77781</v>
      </c>
      <c r="J1897" s="8">
        <v>3306</v>
      </c>
      <c r="K1897" s="8">
        <v>582</v>
      </c>
      <c r="L1897" s="8">
        <v>236</v>
      </c>
      <c r="M1897" s="8">
        <v>14</v>
      </c>
      <c r="N1897" s="8">
        <v>716</v>
      </c>
      <c r="O1897" s="9">
        <f t="shared" si="29"/>
        <v>5.3200653115799489E-2</v>
      </c>
      <c r="P1897" s="6" t="s">
        <v>22</v>
      </c>
    </row>
    <row r="1898" spans="1:16" x14ac:dyDescent="0.25">
      <c r="A1898" s="2" t="s">
        <v>3865</v>
      </c>
      <c r="B1898" s="2" t="s">
        <v>3866</v>
      </c>
      <c r="C1898" s="2" t="s">
        <v>18</v>
      </c>
      <c r="D1898" s="3" t="s">
        <v>231</v>
      </c>
      <c r="E1898" s="3" t="s">
        <v>20</v>
      </c>
      <c r="F1898" s="2" t="s">
        <v>58</v>
      </c>
      <c r="G1898" s="4">
        <v>467335</v>
      </c>
      <c r="H1898" s="4">
        <v>40079</v>
      </c>
      <c r="I1898" s="4">
        <v>34747</v>
      </c>
      <c r="J1898" s="4">
        <v>3204</v>
      </c>
      <c r="K1898" s="4">
        <v>317</v>
      </c>
      <c r="L1898" s="4">
        <v>386</v>
      </c>
      <c r="M1898" s="4">
        <v>325</v>
      </c>
      <c r="N1898" s="4">
        <v>1114</v>
      </c>
      <c r="O1898" s="5">
        <f t="shared" si="29"/>
        <v>0.12179468731113477</v>
      </c>
      <c r="P1898" s="2" t="s">
        <v>29</v>
      </c>
    </row>
    <row r="1899" spans="1:16" x14ac:dyDescent="0.25">
      <c r="A1899" s="6" t="s">
        <v>3867</v>
      </c>
      <c r="B1899" s="6" t="s">
        <v>3868</v>
      </c>
      <c r="C1899" s="6" t="s">
        <v>43</v>
      </c>
      <c r="D1899" s="7" t="s">
        <v>110</v>
      </c>
      <c r="E1899" s="7" t="s">
        <v>20</v>
      </c>
      <c r="F1899" s="6" t="s">
        <v>107</v>
      </c>
      <c r="G1899" s="8">
        <v>158198</v>
      </c>
      <c r="H1899" s="8">
        <v>48699</v>
      </c>
      <c r="I1899" s="8">
        <v>38032</v>
      </c>
      <c r="J1899" s="8">
        <v>1339</v>
      </c>
      <c r="K1899" s="8">
        <v>182</v>
      </c>
      <c r="L1899" s="8">
        <v>61</v>
      </c>
      <c r="M1899" s="8">
        <v>48</v>
      </c>
      <c r="N1899" s="8">
        <v>1168</v>
      </c>
      <c r="O1899" s="9">
        <f t="shared" si="29"/>
        <v>4.2858645351283128E-2</v>
      </c>
      <c r="P1899" s="6" t="s">
        <v>22</v>
      </c>
    </row>
    <row r="1900" spans="1:16" x14ac:dyDescent="0.25">
      <c r="A1900" s="2" t="s">
        <v>3869</v>
      </c>
      <c r="B1900" s="2" t="s">
        <v>3870</v>
      </c>
      <c r="C1900" s="2" t="s">
        <v>18</v>
      </c>
      <c r="D1900" s="3" t="s">
        <v>19</v>
      </c>
      <c r="E1900" s="3" t="s">
        <v>39</v>
      </c>
      <c r="F1900" s="2" t="s">
        <v>73</v>
      </c>
      <c r="G1900" s="4">
        <v>806830</v>
      </c>
      <c r="H1900" s="4">
        <v>492570</v>
      </c>
      <c r="I1900" s="4">
        <v>359537</v>
      </c>
      <c r="J1900" s="4">
        <v>22691</v>
      </c>
      <c r="K1900" s="4">
        <v>1419</v>
      </c>
      <c r="L1900" s="4">
        <v>1214</v>
      </c>
      <c r="M1900" s="4">
        <v>1812</v>
      </c>
      <c r="N1900" s="4">
        <v>16407</v>
      </c>
      <c r="O1900" s="5">
        <f t="shared" si="29"/>
        <v>7.5474846816878369E-2</v>
      </c>
      <c r="P1900" s="2" t="s">
        <v>29</v>
      </c>
    </row>
    <row r="1901" spans="1:16" x14ac:dyDescent="0.25">
      <c r="A1901" s="6" t="s">
        <v>3871</v>
      </c>
      <c r="B1901" s="6" t="s">
        <v>3872</v>
      </c>
      <c r="C1901" s="6" t="s">
        <v>25</v>
      </c>
      <c r="D1901" s="7" t="s">
        <v>64</v>
      </c>
      <c r="E1901" s="7" t="s">
        <v>39</v>
      </c>
      <c r="F1901" s="6" t="s">
        <v>146</v>
      </c>
      <c r="G1901" s="8">
        <v>197785</v>
      </c>
      <c r="H1901" s="8">
        <v>81180</v>
      </c>
      <c r="I1901" s="8">
        <v>57457</v>
      </c>
      <c r="J1901" s="8">
        <v>5568</v>
      </c>
      <c r="K1901" s="8">
        <v>766</v>
      </c>
      <c r="L1901" s="8">
        <v>708</v>
      </c>
      <c r="M1901" s="8">
        <v>1095</v>
      </c>
      <c r="N1901" s="8">
        <v>2145</v>
      </c>
      <c r="O1901" s="9">
        <f t="shared" si="29"/>
        <v>0.14161894982334616</v>
      </c>
      <c r="P1901" s="6" t="s">
        <v>22</v>
      </c>
    </row>
    <row r="1902" spans="1:16" x14ac:dyDescent="0.25">
      <c r="A1902" s="2" t="s">
        <v>3873</v>
      </c>
      <c r="B1902" s="2" t="s">
        <v>3874</v>
      </c>
      <c r="C1902" s="2" t="s">
        <v>25</v>
      </c>
      <c r="D1902" s="3" t="s">
        <v>64</v>
      </c>
      <c r="E1902" s="3" t="s">
        <v>50</v>
      </c>
      <c r="F1902" s="2" t="s">
        <v>54</v>
      </c>
      <c r="G1902" s="4">
        <v>216843</v>
      </c>
      <c r="H1902" s="4">
        <v>18724</v>
      </c>
      <c r="I1902" s="4">
        <v>13893</v>
      </c>
      <c r="J1902" s="4">
        <v>1370</v>
      </c>
      <c r="K1902" s="4">
        <v>81</v>
      </c>
      <c r="L1902" s="4">
        <v>49</v>
      </c>
      <c r="M1902" s="4">
        <v>240</v>
      </c>
      <c r="N1902" s="4">
        <v>591</v>
      </c>
      <c r="O1902" s="5">
        <f t="shared" si="29"/>
        <v>0.12524292809328438</v>
      </c>
      <c r="P1902" s="2" t="s">
        <v>22</v>
      </c>
    </row>
    <row r="1903" spans="1:16" x14ac:dyDescent="0.25">
      <c r="A1903" s="6" t="s">
        <v>3875</v>
      </c>
      <c r="B1903" s="6" t="s">
        <v>3876</v>
      </c>
      <c r="C1903" s="6" t="s">
        <v>76</v>
      </c>
      <c r="D1903" s="7" t="s">
        <v>86</v>
      </c>
      <c r="E1903" s="7" t="s">
        <v>50</v>
      </c>
      <c r="F1903" s="6" t="s">
        <v>104</v>
      </c>
      <c r="G1903" s="8">
        <v>576516</v>
      </c>
      <c r="H1903" s="8">
        <v>50275</v>
      </c>
      <c r="I1903" s="8">
        <v>37616</v>
      </c>
      <c r="J1903" s="8">
        <v>1310</v>
      </c>
      <c r="K1903" s="8">
        <v>142</v>
      </c>
      <c r="L1903" s="8">
        <v>147</v>
      </c>
      <c r="M1903" s="8">
        <v>229</v>
      </c>
      <c r="N1903" s="8">
        <v>1386</v>
      </c>
      <c r="O1903" s="9">
        <f t="shared" si="29"/>
        <v>4.8596341982135263E-2</v>
      </c>
      <c r="P1903" s="6" t="s">
        <v>29</v>
      </c>
    </row>
    <row r="1904" spans="1:16" x14ac:dyDescent="0.25">
      <c r="A1904" s="2" t="s">
        <v>3877</v>
      </c>
      <c r="B1904" s="2" t="s">
        <v>3878</v>
      </c>
      <c r="C1904" s="2" t="s">
        <v>32</v>
      </c>
      <c r="D1904" s="3" t="s">
        <v>33</v>
      </c>
      <c r="E1904" s="3" t="s">
        <v>34</v>
      </c>
      <c r="F1904" s="2" t="s">
        <v>35</v>
      </c>
      <c r="G1904" s="4">
        <v>312660</v>
      </c>
      <c r="H1904" s="4">
        <v>150837</v>
      </c>
      <c r="I1904" s="4">
        <v>115622</v>
      </c>
      <c r="J1904" s="4">
        <v>10546</v>
      </c>
      <c r="K1904" s="4">
        <v>544</v>
      </c>
      <c r="L1904" s="4">
        <v>714</v>
      </c>
      <c r="M1904" s="4">
        <v>42</v>
      </c>
      <c r="N1904" s="4">
        <v>3906</v>
      </c>
      <c r="O1904" s="5">
        <f t="shared" si="29"/>
        <v>0.10245455017211258</v>
      </c>
      <c r="P1904" s="2" t="s">
        <v>29</v>
      </c>
    </row>
    <row r="1905" spans="1:16" x14ac:dyDescent="0.25">
      <c r="A1905" s="6" t="s">
        <v>3879</v>
      </c>
      <c r="B1905" s="6" t="s">
        <v>3880</v>
      </c>
      <c r="C1905" s="6" t="s">
        <v>32</v>
      </c>
      <c r="D1905" s="7" t="s">
        <v>38</v>
      </c>
      <c r="E1905" s="7" t="s">
        <v>34</v>
      </c>
      <c r="F1905" s="6" t="s">
        <v>40</v>
      </c>
      <c r="G1905" s="8">
        <v>218777</v>
      </c>
      <c r="H1905" s="8">
        <v>95970</v>
      </c>
      <c r="I1905" s="8">
        <v>71364</v>
      </c>
      <c r="J1905" s="8">
        <v>7503</v>
      </c>
      <c r="K1905" s="8">
        <v>1314</v>
      </c>
      <c r="L1905" s="8">
        <v>568</v>
      </c>
      <c r="M1905" s="8">
        <v>33</v>
      </c>
      <c r="N1905" s="8">
        <v>1523</v>
      </c>
      <c r="O1905" s="9">
        <f t="shared" si="29"/>
        <v>0.13197130205705959</v>
      </c>
      <c r="P1905" s="6" t="s">
        <v>22</v>
      </c>
    </row>
    <row r="1906" spans="1:16" x14ac:dyDescent="0.25">
      <c r="A1906" s="2" t="s">
        <v>3881</v>
      </c>
      <c r="B1906" s="2" t="s">
        <v>3882</v>
      </c>
      <c r="C1906" s="2" t="s">
        <v>25</v>
      </c>
      <c r="D1906" s="3" t="s">
        <v>61</v>
      </c>
      <c r="E1906" s="3" t="s">
        <v>34</v>
      </c>
      <c r="F1906" s="2" t="s">
        <v>146</v>
      </c>
      <c r="G1906" s="4">
        <v>635032</v>
      </c>
      <c r="H1906" s="4">
        <v>380258</v>
      </c>
      <c r="I1906" s="4">
        <v>342618</v>
      </c>
      <c r="J1906" s="4">
        <v>23049</v>
      </c>
      <c r="K1906" s="4">
        <v>2481</v>
      </c>
      <c r="L1906" s="4">
        <v>1113</v>
      </c>
      <c r="M1906" s="4">
        <v>2126</v>
      </c>
      <c r="N1906" s="4">
        <v>9811</v>
      </c>
      <c r="O1906" s="5">
        <f t="shared" si="29"/>
        <v>8.3968151118738649E-2</v>
      </c>
      <c r="P1906" s="2" t="s">
        <v>22</v>
      </c>
    </row>
    <row r="1907" spans="1:16" x14ac:dyDescent="0.25">
      <c r="A1907" s="6" t="s">
        <v>3883</v>
      </c>
      <c r="B1907" s="6" t="s">
        <v>3884</v>
      </c>
      <c r="C1907" s="6" t="s">
        <v>18</v>
      </c>
      <c r="D1907" s="7" t="s">
        <v>92</v>
      </c>
      <c r="E1907" s="7" t="s">
        <v>45</v>
      </c>
      <c r="F1907" s="6" t="s">
        <v>58</v>
      </c>
      <c r="G1907" s="8">
        <v>364725</v>
      </c>
      <c r="H1907" s="8">
        <v>191205</v>
      </c>
      <c r="I1907" s="8">
        <v>162655</v>
      </c>
      <c r="J1907" s="8">
        <v>4166</v>
      </c>
      <c r="K1907" s="8">
        <v>332</v>
      </c>
      <c r="L1907" s="8">
        <v>297</v>
      </c>
      <c r="M1907" s="8">
        <v>570</v>
      </c>
      <c r="N1907" s="8">
        <v>6184</v>
      </c>
      <c r="O1907" s="9">
        <f t="shared" si="29"/>
        <v>3.2983923027266299E-2</v>
      </c>
      <c r="P1907" s="6" t="s">
        <v>29</v>
      </c>
    </row>
    <row r="1908" spans="1:16" x14ac:dyDescent="0.25">
      <c r="A1908" s="2" t="s">
        <v>3885</v>
      </c>
      <c r="B1908" s="2" t="s">
        <v>3886</v>
      </c>
      <c r="C1908" s="2" t="s">
        <v>76</v>
      </c>
      <c r="D1908" s="3" t="s">
        <v>182</v>
      </c>
      <c r="E1908" s="3" t="s">
        <v>45</v>
      </c>
      <c r="F1908" s="2" t="s">
        <v>104</v>
      </c>
      <c r="G1908" s="4">
        <v>236493</v>
      </c>
      <c r="H1908" s="4">
        <v>85539</v>
      </c>
      <c r="I1908" s="4">
        <v>61639</v>
      </c>
      <c r="J1908" s="4">
        <v>3239</v>
      </c>
      <c r="K1908" s="4">
        <v>373</v>
      </c>
      <c r="L1908" s="4">
        <v>350</v>
      </c>
      <c r="M1908" s="4">
        <v>439</v>
      </c>
      <c r="N1908" s="4">
        <v>792</v>
      </c>
      <c r="O1908" s="5">
        <f t="shared" si="29"/>
        <v>7.1399600902026308E-2</v>
      </c>
      <c r="P1908" s="2" t="s">
        <v>22</v>
      </c>
    </row>
    <row r="1909" spans="1:16" x14ac:dyDescent="0.25">
      <c r="A1909" s="6" t="s">
        <v>3887</v>
      </c>
      <c r="B1909" s="6" t="s">
        <v>3888</v>
      </c>
      <c r="C1909" s="6" t="s">
        <v>76</v>
      </c>
      <c r="D1909" s="7" t="s">
        <v>86</v>
      </c>
      <c r="E1909" s="7" t="s">
        <v>27</v>
      </c>
      <c r="F1909" s="6" t="s">
        <v>78</v>
      </c>
      <c r="G1909" s="8">
        <v>196694</v>
      </c>
      <c r="H1909" s="8">
        <v>111764</v>
      </c>
      <c r="I1909" s="8">
        <v>82387</v>
      </c>
      <c r="J1909" s="8">
        <v>2927</v>
      </c>
      <c r="K1909" s="8">
        <v>242</v>
      </c>
      <c r="L1909" s="8">
        <v>347</v>
      </c>
      <c r="M1909" s="8">
        <v>288</v>
      </c>
      <c r="N1909" s="8">
        <v>2828</v>
      </c>
      <c r="O1909" s="9">
        <f t="shared" si="29"/>
        <v>4.6172333013703618E-2</v>
      </c>
      <c r="P1909" s="6" t="s">
        <v>22</v>
      </c>
    </row>
    <row r="1910" spans="1:16" x14ac:dyDescent="0.25">
      <c r="A1910" s="2" t="s">
        <v>3889</v>
      </c>
      <c r="B1910" s="2" t="s">
        <v>3890</v>
      </c>
      <c r="C1910" s="2" t="s">
        <v>43</v>
      </c>
      <c r="D1910" s="3" t="s">
        <v>172</v>
      </c>
      <c r="E1910" s="3" t="s">
        <v>50</v>
      </c>
      <c r="F1910" s="2" t="s">
        <v>107</v>
      </c>
      <c r="G1910" s="4">
        <v>355678</v>
      </c>
      <c r="H1910" s="4">
        <v>87051</v>
      </c>
      <c r="I1910" s="4">
        <v>71590</v>
      </c>
      <c r="J1910" s="4">
        <v>3557</v>
      </c>
      <c r="K1910" s="4">
        <v>527</v>
      </c>
      <c r="L1910" s="4">
        <v>203</v>
      </c>
      <c r="M1910" s="4">
        <v>23</v>
      </c>
      <c r="N1910" s="4">
        <v>1572</v>
      </c>
      <c r="O1910" s="5">
        <f t="shared" si="29"/>
        <v>6.0203939097639332E-2</v>
      </c>
      <c r="P1910" s="2" t="s">
        <v>29</v>
      </c>
    </row>
    <row r="1911" spans="1:16" x14ac:dyDescent="0.25">
      <c r="A1911" s="6" t="s">
        <v>3891</v>
      </c>
      <c r="B1911" s="6" t="s">
        <v>3892</v>
      </c>
      <c r="C1911" s="6" t="s">
        <v>76</v>
      </c>
      <c r="D1911" s="7" t="s">
        <v>189</v>
      </c>
      <c r="E1911" s="7" t="s">
        <v>39</v>
      </c>
      <c r="F1911" s="6" t="s">
        <v>155</v>
      </c>
      <c r="G1911" s="8">
        <v>35332</v>
      </c>
      <c r="H1911" s="8">
        <v>17695</v>
      </c>
      <c r="I1911" s="8">
        <v>12447</v>
      </c>
      <c r="J1911" s="8">
        <v>509</v>
      </c>
      <c r="K1911" s="8">
        <v>76</v>
      </c>
      <c r="L1911" s="8">
        <v>41</v>
      </c>
      <c r="M1911" s="8">
        <v>46</v>
      </c>
      <c r="N1911" s="8">
        <v>444</v>
      </c>
      <c r="O1911" s="9">
        <f t="shared" si="29"/>
        <v>5.3988912991082189E-2</v>
      </c>
      <c r="P1911" s="6" t="s">
        <v>22</v>
      </c>
    </row>
    <row r="1912" spans="1:16" x14ac:dyDescent="0.25">
      <c r="A1912" s="2" t="s">
        <v>3893</v>
      </c>
      <c r="B1912" s="2" t="s">
        <v>3894</v>
      </c>
      <c r="C1912" s="2" t="s">
        <v>32</v>
      </c>
      <c r="D1912" s="3" t="s">
        <v>121</v>
      </c>
      <c r="E1912" s="3" t="s">
        <v>20</v>
      </c>
      <c r="F1912" s="2" t="s">
        <v>51</v>
      </c>
      <c r="G1912" s="4">
        <v>180770</v>
      </c>
      <c r="H1912" s="4">
        <v>35533</v>
      </c>
      <c r="I1912" s="4">
        <v>28406</v>
      </c>
      <c r="J1912" s="4">
        <v>1913</v>
      </c>
      <c r="K1912" s="4">
        <v>229</v>
      </c>
      <c r="L1912" s="4">
        <v>54</v>
      </c>
      <c r="M1912" s="4">
        <v>42</v>
      </c>
      <c r="N1912" s="4">
        <v>594</v>
      </c>
      <c r="O1912" s="5">
        <f t="shared" si="29"/>
        <v>7.8786171935506577E-2</v>
      </c>
      <c r="P1912" s="2" t="s">
        <v>29</v>
      </c>
    </row>
    <row r="1913" spans="1:16" x14ac:dyDescent="0.25">
      <c r="A1913" s="6" t="s">
        <v>3895</v>
      </c>
      <c r="B1913" s="6" t="s">
        <v>3896</v>
      </c>
      <c r="C1913" s="6" t="s">
        <v>76</v>
      </c>
      <c r="D1913" s="7" t="s">
        <v>103</v>
      </c>
      <c r="E1913" s="7" t="s">
        <v>27</v>
      </c>
      <c r="F1913" s="6" t="s">
        <v>104</v>
      </c>
      <c r="G1913" s="8">
        <v>418082</v>
      </c>
      <c r="H1913" s="8">
        <v>206756</v>
      </c>
      <c r="I1913" s="8">
        <v>164850</v>
      </c>
      <c r="J1913" s="8">
        <v>16244</v>
      </c>
      <c r="K1913" s="8">
        <v>2304</v>
      </c>
      <c r="L1913" s="8">
        <v>1197</v>
      </c>
      <c r="M1913" s="8">
        <v>1800</v>
      </c>
      <c r="N1913" s="8">
        <v>5719</v>
      </c>
      <c r="O1913" s="9">
        <f t="shared" si="29"/>
        <v>0.13069457082195934</v>
      </c>
      <c r="P1913" s="6" t="s">
        <v>29</v>
      </c>
    </row>
    <row r="1914" spans="1:16" x14ac:dyDescent="0.25">
      <c r="A1914" s="2" t="s">
        <v>3897</v>
      </c>
      <c r="B1914" s="2" t="s">
        <v>3898</v>
      </c>
      <c r="C1914" s="2" t="s">
        <v>25</v>
      </c>
      <c r="D1914" s="3" t="s">
        <v>26</v>
      </c>
      <c r="E1914" s="3" t="s">
        <v>27</v>
      </c>
      <c r="F1914" s="2" t="s">
        <v>28</v>
      </c>
      <c r="G1914" s="4">
        <v>646365</v>
      </c>
      <c r="H1914" s="4">
        <v>397827</v>
      </c>
      <c r="I1914" s="4">
        <v>320869</v>
      </c>
      <c r="J1914" s="4">
        <v>18238</v>
      </c>
      <c r="K1914" s="4">
        <v>706</v>
      </c>
      <c r="L1914" s="4">
        <v>2299</v>
      </c>
      <c r="M1914" s="4">
        <v>3359</v>
      </c>
      <c r="N1914" s="4">
        <v>9143</v>
      </c>
      <c r="O1914" s="5">
        <f t="shared" si="29"/>
        <v>7.6673034789898675E-2</v>
      </c>
      <c r="P1914" s="2" t="s">
        <v>22</v>
      </c>
    </row>
    <row r="1915" spans="1:16" x14ac:dyDescent="0.25">
      <c r="A1915" s="6" t="s">
        <v>3899</v>
      </c>
      <c r="B1915" s="6" t="s">
        <v>3900</v>
      </c>
      <c r="C1915" s="6" t="s">
        <v>18</v>
      </c>
      <c r="D1915" s="7" t="s">
        <v>92</v>
      </c>
      <c r="E1915" s="7" t="s">
        <v>34</v>
      </c>
      <c r="F1915" s="6" t="s">
        <v>21</v>
      </c>
      <c r="G1915" s="8">
        <v>301935</v>
      </c>
      <c r="H1915" s="8">
        <v>108630</v>
      </c>
      <c r="I1915" s="8">
        <v>93146</v>
      </c>
      <c r="J1915" s="8">
        <v>4900</v>
      </c>
      <c r="K1915" s="8">
        <v>853</v>
      </c>
      <c r="L1915" s="8">
        <v>630</v>
      </c>
      <c r="M1915" s="8">
        <v>494</v>
      </c>
      <c r="N1915" s="8">
        <v>2152</v>
      </c>
      <c r="O1915" s="9">
        <f t="shared" si="29"/>
        <v>7.3830330878405945E-2</v>
      </c>
      <c r="P1915" s="6" t="s">
        <v>22</v>
      </c>
    </row>
    <row r="1916" spans="1:16" x14ac:dyDescent="0.25">
      <c r="A1916" s="2" t="s">
        <v>3901</v>
      </c>
      <c r="B1916" s="2" t="s">
        <v>3902</v>
      </c>
      <c r="C1916" s="2" t="s">
        <v>43</v>
      </c>
      <c r="D1916" s="3" t="s">
        <v>81</v>
      </c>
      <c r="E1916" s="3" t="s">
        <v>45</v>
      </c>
      <c r="F1916" s="2" t="s">
        <v>107</v>
      </c>
      <c r="G1916" s="4">
        <v>343897</v>
      </c>
      <c r="H1916" s="4">
        <v>212435</v>
      </c>
      <c r="I1916" s="4">
        <v>179511</v>
      </c>
      <c r="J1916" s="4">
        <v>9206</v>
      </c>
      <c r="K1916" s="4">
        <v>752</v>
      </c>
      <c r="L1916" s="4">
        <v>1365</v>
      </c>
      <c r="M1916" s="4">
        <v>35</v>
      </c>
      <c r="N1916" s="4">
        <v>2281</v>
      </c>
      <c r="O1916" s="5">
        <f t="shared" si="29"/>
        <v>6.3271888630780287E-2</v>
      </c>
      <c r="P1916" s="2" t="s">
        <v>22</v>
      </c>
    </row>
    <row r="1917" spans="1:16" x14ac:dyDescent="0.25">
      <c r="A1917" s="6" t="s">
        <v>3903</v>
      </c>
      <c r="B1917" s="6" t="s">
        <v>3904</v>
      </c>
      <c r="C1917" s="6" t="s">
        <v>32</v>
      </c>
      <c r="D1917" s="7" t="s">
        <v>175</v>
      </c>
      <c r="E1917" s="7" t="s">
        <v>27</v>
      </c>
      <c r="F1917" s="6" t="s">
        <v>51</v>
      </c>
      <c r="G1917" s="8">
        <v>469179</v>
      </c>
      <c r="H1917" s="8">
        <v>255568</v>
      </c>
      <c r="I1917" s="8">
        <v>181337</v>
      </c>
      <c r="J1917" s="8">
        <v>17676</v>
      </c>
      <c r="K1917" s="8">
        <v>1877</v>
      </c>
      <c r="L1917" s="8">
        <v>1775</v>
      </c>
      <c r="M1917" s="8">
        <v>32</v>
      </c>
      <c r="N1917" s="8">
        <v>1588</v>
      </c>
      <c r="O1917" s="9">
        <f t="shared" si="29"/>
        <v>0.11779173582887111</v>
      </c>
      <c r="P1917" s="6" t="s">
        <v>22</v>
      </c>
    </row>
    <row r="1918" spans="1:16" x14ac:dyDescent="0.25">
      <c r="A1918" s="2" t="s">
        <v>3905</v>
      </c>
      <c r="B1918" s="2" t="s">
        <v>3906</v>
      </c>
      <c r="C1918" s="2" t="s">
        <v>76</v>
      </c>
      <c r="D1918" s="3" t="s">
        <v>189</v>
      </c>
      <c r="E1918" s="3" t="s">
        <v>27</v>
      </c>
      <c r="F1918" s="2" t="s">
        <v>104</v>
      </c>
      <c r="G1918" s="4">
        <v>296540</v>
      </c>
      <c r="H1918" s="4">
        <v>126536</v>
      </c>
      <c r="I1918" s="4">
        <v>93179</v>
      </c>
      <c r="J1918" s="4">
        <v>9594</v>
      </c>
      <c r="K1918" s="4">
        <v>716</v>
      </c>
      <c r="L1918" s="4">
        <v>1283</v>
      </c>
      <c r="M1918" s="4">
        <v>1167</v>
      </c>
      <c r="N1918" s="4">
        <v>2638</v>
      </c>
      <c r="O1918" s="5">
        <f t="shared" si="29"/>
        <v>0.1369407269878406</v>
      </c>
      <c r="P1918" s="2" t="s">
        <v>22</v>
      </c>
    </row>
    <row r="1919" spans="1:16" x14ac:dyDescent="0.25">
      <c r="A1919" s="6" t="s">
        <v>3907</v>
      </c>
      <c r="B1919" s="6" t="s">
        <v>3908</v>
      </c>
      <c r="C1919" s="6" t="s">
        <v>76</v>
      </c>
      <c r="D1919" s="7" t="s">
        <v>103</v>
      </c>
      <c r="E1919" s="7" t="s">
        <v>39</v>
      </c>
      <c r="F1919" s="6" t="s">
        <v>87</v>
      </c>
      <c r="G1919" s="8">
        <v>249056</v>
      </c>
      <c r="H1919" s="8">
        <v>28938</v>
      </c>
      <c r="I1919" s="8">
        <v>23732</v>
      </c>
      <c r="J1919" s="8">
        <v>942</v>
      </c>
      <c r="K1919" s="8">
        <v>150</v>
      </c>
      <c r="L1919" s="8">
        <v>70</v>
      </c>
      <c r="M1919" s="8">
        <v>101</v>
      </c>
      <c r="N1919" s="8">
        <v>515</v>
      </c>
      <c r="O1919" s="9">
        <f t="shared" si="29"/>
        <v>5.3219281982133826E-2</v>
      </c>
      <c r="P1919" s="6" t="s">
        <v>66</v>
      </c>
    </row>
    <row r="1920" spans="1:16" x14ac:dyDescent="0.25">
      <c r="A1920" s="2" t="s">
        <v>3909</v>
      </c>
      <c r="B1920" s="2" t="s">
        <v>3910</v>
      </c>
      <c r="C1920" s="2" t="s">
        <v>32</v>
      </c>
      <c r="D1920" s="3" t="s">
        <v>38</v>
      </c>
      <c r="E1920" s="3" t="s">
        <v>39</v>
      </c>
      <c r="F1920" s="2" t="s">
        <v>40</v>
      </c>
      <c r="G1920" s="4">
        <v>484379</v>
      </c>
      <c r="H1920" s="4">
        <v>291103</v>
      </c>
      <c r="I1920" s="4">
        <v>245852</v>
      </c>
      <c r="J1920" s="4">
        <v>21215</v>
      </c>
      <c r="K1920" s="4">
        <v>1992</v>
      </c>
      <c r="L1920" s="4">
        <v>938</v>
      </c>
      <c r="M1920" s="4">
        <v>7</v>
      </c>
      <c r="N1920" s="4">
        <v>8551</v>
      </c>
      <c r="O1920" s="5">
        <f t="shared" si="29"/>
        <v>9.8237964303727443E-2</v>
      </c>
      <c r="P1920" s="2" t="s">
        <v>22</v>
      </c>
    </row>
    <row r="1921" spans="1:16" x14ac:dyDescent="0.25">
      <c r="A1921" s="6" t="s">
        <v>3911</v>
      </c>
      <c r="B1921" s="6" t="s">
        <v>3912</v>
      </c>
      <c r="C1921" s="6" t="s">
        <v>32</v>
      </c>
      <c r="D1921" s="7" t="s">
        <v>38</v>
      </c>
      <c r="E1921" s="7" t="s">
        <v>50</v>
      </c>
      <c r="F1921" s="6" t="s">
        <v>35</v>
      </c>
      <c r="G1921" s="8">
        <v>747157</v>
      </c>
      <c r="H1921" s="8">
        <v>454219</v>
      </c>
      <c r="I1921" s="8">
        <v>381754</v>
      </c>
      <c r="J1921" s="8">
        <v>33692</v>
      </c>
      <c r="K1921" s="8">
        <v>1235</v>
      </c>
      <c r="L1921" s="8">
        <v>4124</v>
      </c>
      <c r="M1921" s="8">
        <v>19</v>
      </c>
      <c r="N1921" s="8">
        <v>3942</v>
      </c>
      <c r="O1921" s="9">
        <f t="shared" si="29"/>
        <v>0.10234339391335781</v>
      </c>
      <c r="P1921" s="6" t="s">
        <v>22</v>
      </c>
    </row>
    <row r="1922" spans="1:16" x14ac:dyDescent="0.25">
      <c r="A1922" s="2" t="s">
        <v>3913</v>
      </c>
      <c r="B1922" s="2" t="s">
        <v>3914</v>
      </c>
      <c r="C1922" s="2" t="s">
        <v>25</v>
      </c>
      <c r="D1922" s="3" t="s">
        <v>61</v>
      </c>
      <c r="E1922" s="3" t="s">
        <v>39</v>
      </c>
      <c r="F1922" s="2" t="s">
        <v>65</v>
      </c>
      <c r="G1922" s="4">
        <v>3831</v>
      </c>
      <c r="H1922" s="4">
        <v>794</v>
      </c>
      <c r="I1922" s="4">
        <v>610</v>
      </c>
      <c r="J1922" s="4">
        <v>15</v>
      </c>
      <c r="K1922" s="4">
        <v>2</v>
      </c>
      <c r="L1922" s="4">
        <v>0</v>
      </c>
      <c r="M1922" s="4">
        <v>1</v>
      </c>
      <c r="N1922" s="4">
        <v>24</v>
      </c>
      <c r="O1922" s="5">
        <f t="shared" ref="O1922:O1985" si="30">IF(I1922&gt;0, (J1922+K1922+L1922+M1922)/I1922, 0)</f>
        <v>2.9508196721311476E-2</v>
      </c>
      <c r="P1922" s="2" t="s">
        <v>22</v>
      </c>
    </row>
    <row r="1923" spans="1:16" x14ac:dyDescent="0.25">
      <c r="A1923" s="6" t="s">
        <v>3915</v>
      </c>
      <c r="B1923" s="6" t="s">
        <v>3916</v>
      </c>
      <c r="C1923" s="6" t="s">
        <v>76</v>
      </c>
      <c r="D1923" s="7" t="s">
        <v>77</v>
      </c>
      <c r="E1923" s="7" t="s">
        <v>20</v>
      </c>
      <c r="F1923" s="6" t="s">
        <v>78</v>
      </c>
      <c r="G1923" s="8">
        <v>373507</v>
      </c>
      <c r="H1923" s="8">
        <v>50037</v>
      </c>
      <c r="I1923" s="8">
        <v>36045</v>
      </c>
      <c r="J1923" s="8">
        <v>2125</v>
      </c>
      <c r="K1923" s="8">
        <v>81</v>
      </c>
      <c r="L1923" s="8">
        <v>249</v>
      </c>
      <c r="M1923" s="8">
        <v>384</v>
      </c>
      <c r="N1923" s="8">
        <v>386</v>
      </c>
      <c r="O1923" s="9">
        <f t="shared" si="30"/>
        <v>7.8762657788875021E-2</v>
      </c>
      <c r="P1923" s="6" t="s">
        <v>22</v>
      </c>
    </row>
    <row r="1924" spans="1:16" x14ac:dyDescent="0.25">
      <c r="A1924" s="2" t="s">
        <v>3917</v>
      </c>
      <c r="B1924" s="2" t="s">
        <v>3918</v>
      </c>
      <c r="C1924" s="2" t="s">
        <v>32</v>
      </c>
      <c r="D1924" s="3" t="s">
        <v>38</v>
      </c>
      <c r="E1924" s="3" t="s">
        <v>34</v>
      </c>
      <c r="F1924" s="2" t="s">
        <v>40</v>
      </c>
      <c r="G1924" s="4">
        <v>354866</v>
      </c>
      <c r="H1924" s="4">
        <v>47582</v>
      </c>
      <c r="I1924" s="4">
        <v>41050</v>
      </c>
      <c r="J1924" s="4">
        <v>2644</v>
      </c>
      <c r="K1924" s="4">
        <v>409</v>
      </c>
      <c r="L1924" s="4">
        <v>250</v>
      </c>
      <c r="M1924" s="4">
        <v>34</v>
      </c>
      <c r="N1924" s="4">
        <v>863</v>
      </c>
      <c r="O1924" s="5">
        <f t="shared" si="30"/>
        <v>8.1291108404384901E-2</v>
      </c>
      <c r="P1924" s="2" t="s">
        <v>22</v>
      </c>
    </row>
    <row r="1925" spans="1:16" x14ac:dyDescent="0.25">
      <c r="A1925" s="6" t="s">
        <v>3919</v>
      </c>
      <c r="B1925" s="6" t="s">
        <v>3920</v>
      </c>
      <c r="C1925" s="6" t="s">
        <v>32</v>
      </c>
      <c r="D1925" s="7" t="s">
        <v>175</v>
      </c>
      <c r="E1925" s="7" t="s">
        <v>27</v>
      </c>
      <c r="F1925" s="6" t="s">
        <v>128</v>
      </c>
      <c r="G1925" s="8">
        <v>675696</v>
      </c>
      <c r="H1925" s="8">
        <v>419144</v>
      </c>
      <c r="I1925" s="8">
        <v>371844</v>
      </c>
      <c r="J1925" s="8">
        <v>26166</v>
      </c>
      <c r="K1925" s="8">
        <v>3733</v>
      </c>
      <c r="L1925" s="8">
        <v>3747</v>
      </c>
      <c r="M1925" s="8">
        <v>35</v>
      </c>
      <c r="N1925" s="8">
        <v>13502</v>
      </c>
      <c r="O1925" s="9">
        <f t="shared" si="30"/>
        <v>9.0578307031981151E-2</v>
      </c>
      <c r="P1925" s="6" t="s">
        <v>66</v>
      </c>
    </row>
    <row r="1926" spans="1:16" x14ac:dyDescent="0.25">
      <c r="A1926" s="2" t="s">
        <v>3921</v>
      </c>
      <c r="B1926" s="2" t="s">
        <v>3922</v>
      </c>
      <c r="C1926" s="2" t="s">
        <v>76</v>
      </c>
      <c r="D1926" s="3" t="s">
        <v>189</v>
      </c>
      <c r="E1926" s="3" t="s">
        <v>39</v>
      </c>
      <c r="F1926" s="2" t="s">
        <v>87</v>
      </c>
      <c r="G1926" s="4">
        <v>163664</v>
      </c>
      <c r="H1926" s="4">
        <v>33616</v>
      </c>
      <c r="I1926" s="4">
        <v>24570</v>
      </c>
      <c r="J1926" s="4">
        <v>2210</v>
      </c>
      <c r="K1926" s="4">
        <v>158</v>
      </c>
      <c r="L1926" s="4">
        <v>145</v>
      </c>
      <c r="M1926" s="4">
        <v>535</v>
      </c>
      <c r="N1926" s="4">
        <v>210</v>
      </c>
      <c r="O1926" s="5">
        <f t="shared" si="30"/>
        <v>0.12405372405372406</v>
      </c>
      <c r="P1926" s="2" t="s">
        <v>29</v>
      </c>
    </row>
    <row r="1927" spans="1:16" x14ac:dyDescent="0.25">
      <c r="A1927" s="6" t="s">
        <v>3923</v>
      </c>
      <c r="B1927" s="6" t="s">
        <v>3924</v>
      </c>
      <c r="C1927" s="6" t="s">
        <v>76</v>
      </c>
      <c r="D1927" s="7" t="s">
        <v>86</v>
      </c>
      <c r="E1927" s="7" t="s">
        <v>39</v>
      </c>
      <c r="F1927" s="6" t="s">
        <v>87</v>
      </c>
      <c r="G1927" s="8">
        <v>496572</v>
      </c>
      <c r="H1927" s="8">
        <v>187518</v>
      </c>
      <c r="I1927" s="8">
        <v>147160</v>
      </c>
      <c r="J1927" s="8">
        <v>11810</v>
      </c>
      <c r="K1927" s="8">
        <v>805</v>
      </c>
      <c r="L1927" s="8">
        <v>246</v>
      </c>
      <c r="M1927" s="8">
        <v>1533</v>
      </c>
      <c r="N1927" s="8">
        <v>1321</v>
      </c>
      <c r="O1927" s="9">
        <f t="shared" si="30"/>
        <v>9.7811905409078553E-2</v>
      </c>
      <c r="P1927" s="6" t="s">
        <v>66</v>
      </c>
    </row>
    <row r="1928" spans="1:16" x14ac:dyDescent="0.25">
      <c r="A1928" s="2" t="s">
        <v>3925</v>
      </c>
      <c r="B1928" s="2" t="s">
        <v>3926</v>
      </c>
      <c r="C1928" s="2" t="s">
        <v>25</v>
      </c>
      <c r="D1928" s="3" t="s">
        <v>145</v>
      </c>
      <c r="E1928" s="3" t="s">
        <v>45</v>
      </c>
      <c r="F1928" s="2" t="s">
        <v>146</v>
      </c>
      <c r="G1928" s="4">
        <v>64938</v>
      </c>
      <c r="H1928" s="4">
        <v>27104</v>
      </c>
      <c r="I1928" s="4">
        <v>21182</v>
      </c>
      <c r="J1928" s="4">
        <v>661</v>
      </c>
      <c r="K1928" s="4">
        <v>51</v>
      </c>
      <c r="L1928" s="4">
        <v>71</v>
      </c>
      <c r="M1928" s="4">
        <v>55</v>
      </c>
      <c r="N1928" s="4">
        <v>231</v>
      </c>
      <c r="O1928" s="5">
        <f t="shared" si="30"/>
        <v>3.9561892172599374E-2</v>
      </c>
      <c r="P1928" s="2" t="s">
        <v>22</v>
      </c>
    </row>
    <row r="1929" spans="1:16" x14ac:dyDescent="0.25">
      <c r="A1929" s="6" t="s">
        <v>3927</v>
      </c>
      <c r="B1929" s="6" t="s">
        <v>3928</v>
      </c>
      <c r="C1929" s="6" t="s">
        <v>76</v>
      </c>
      <c r="D1929" s="7" t="s">
        <v>77</v>
      </c>
      <c r="E1929" s="7" t="s">
        <v>45</v>
      </c>
      <c r="F1929" s="6" t="s">
        <v>155</v>
      </c>
      <c r="G1929" s="8">
        <v>703131</v>
      </c>
      <c r="H1929" s="8">
        <v>368827</v>
      </c>
      <c r="I1929" s="8">
        <v>308047</v>
      </c>
      <c r="J1929" s="8">
        <v>20846</v>
      </c>
      <c r="K1929" s="8">
        <v>1318</v>
      </c>
      <c r="L1929" s="8">
        <v>577</v>
      </c>
      <c r="M1929" s="8">
        <v>2395</v>
      </c>
      <c r="N1929" s="8">
        <v>8302</v>
      </c>
      <c r="O1929" s="9">
        <f t="shared" si="30"/>
        <v>8.159793797699702E-2</v>
      </c>
      <c r="P1929" s="6" t="s">
        <v>29</v>
      </c>
    </row>
    <row r="1930" spans="1:16" x14ac:dyDescent="0.25">
      <c r="A1930" s="2" t="s">
        <v>3929</v>
      </c>
      <c r="B1930" s="2" t="s">
        <v>3930</v>
      </c>
      <c r="C1930" s="2" t="s">
        <v>25</v>
      </c>
      <c r="D1930" s="3" t="s">
        <v>145</v>
      </c>
      <c r="E1930" s="3" t="s">
        <v>39</v>
      </c>
      <c r="F1930" s="2" t="s">
        <v>146</v>
      </c>
      <c r="G1930" s="4">
        <v>234404</v>
      </c>
      <c r="H1930" s="4">
        <v>56762</v>
      </c>
      <c r="I1930" s="4">
        <v>43989</v>
      </c>
      <c r="J1930" s="4">
        <v>2601</v>
      </c>
      <c r="K1930" s="4">
        <v>334</v>
      </c>
      <c r="L1930" s="4">
        <v>222</v>
      </c>
      <c r="M1930" s="4">
        <v>444</v>
      </c>
      <c r="N1930" s="4">
        <v>1724</v>
      </c>
      <c r="O1930" s="5">
        <f t="shared" si="30"/>
        <v>8.1861374434517714E-2</v>
      </c>
      <c r="P1930" s="2" t="s">
        <v>22</v>
      </c>
    </row>
    <row r="1931" spans="1:16" x14ac:dyDescent="0.25">
      <c r="A1931" s="6" t="s">
        <v>3931</v>
      </c>
      <c r="B1931" s="6" t="s">
        <v>3932</v>
      </c>
      <c r="C1931" s="6" t="s">
        <v>76</v>
      </c>
      <c r="D1931" s="7" t="s">
        <v>189</v>
      </c>
      <c r="E1931" s="7" t="s">
        <v>39</v>
      </c>
      <c r="F1931" s="6" t="s">
        <v>87</v>
      </c>
      <c r="G1931" s="8">
        <v>304707</v>
      </c>
      <c r="H1931" s="8">
        <v>84085</v>
      </c>
      <c r="I1931" s="8">
        <v>60063</v>
      </c>
      <c r="J1931" s="8">
        <v>5488</v>
      </c>
      <c r="K1931" s="8">
        <v>858</v>
      </c>
      <c r="L1931" s="8">
        <v>675</v>
      </c>
      <c r="M1931" s="8">
        <v>280</v>
      </c>
      <c r="N1931" s="8">
        <v>729</v>
      </c>
      <c r="O1931" s="9">
        <f t="shared" si="30"/>
        <v>0.12155569984849242</v>
      </c>
      <c r="P1931" s="6" t="s">
        <v>29</v>
      </c>
    </row>
    <row r="1932" spans="1:16" x14ac:dyDescent="0.25">
      <c r="A1932" s="2" t="s">
        <v>3933</v>
      </c>
      <c r="B1932" s="2" t="s">
        <v>3934</v>
      </c>
      <c r="C1932" s="2" t="s">
        <v>43</v>
      </c>
      <c r="D1932" s="3" t="s">
        <v>81</v>
      </c>
      <c r="E1932" s="3" t="s">
        <v>50</v>
      </c>
      <c r="F1932" s="2" t="s">
        <v>46</v>
      </c>
      <c r="G1932" s="4">
        <v>785944</v>
      </c>
      <c r="H1932" s="4">
        <v>245237</v>
      </c>
      <c r="I1932" s="4">
        <v>218951</v>
      </c>
      <c r="J1932" s="4">
        <v>15226</v>
      </c>
      <c r="K1932" s="4">
        <v>2036</v>
      </c>
      <c r="L1932" s="4">
        <v>1293</v>
      </c>
      <c r="M1932" s="4">
        <v>6</v>
      </c>
      <c r="N1932" s="4">
        <v>3114</v>
      </c>
      <c r="O1932" s="5">
        <f t="shared" si="30"/>
        <v>8.4772391996382757E-2</v>
      </c>
      <c r="P1932" s="2" t="s">
        <v>29</v>
      </c>
    </row>
    <row r="1933" spans="1:16" x14ac:dyDescent="0.25">
      <c r="A1933" s="6" t="s">
        <v>3935</v>
      </c>
      <c r="B1933" s="6" t="s">
        <v>3936</v>
      </c>
      <c r="C1933" s="6" t="s">
        <v>43</v>
      </c>
      <c r="D1933" s="7" t="s">
        <v>110</v>
      </c>
      <c r="E1933" s="7" t="s">
        <v>50</v>
      </c>
      <c r="F1933" s="6" t="s">
        <v>46</v>
      </c>
      <c r="G1933" s="8">
        <v>596035</v>
      </c>
      <c r="H1933" s="8">
        <v>57819</v>
      </c>
      <c r="I1933" s="8">
        <v>40620</v>
      </c>
      <c r="J1933" s="8">
        <v>3515</v>
      </c>
      <c r="K1933" s="8">
        <v>553</v>
      </c>
      <c r="L1933" s="8">
        <v>222</v>
      </c>
      <c r="M1933" s="8">
        <v>32</v>
      </c>
      <c r="N1933" s="8">
        <v>349</v>
      </c>
      <c r="O1933" s="9">
        <f t="shared" si="30"/>
        <v>0.10640078778926637</v>
      </c>
      <c r="P1933" s="6" t="s">
        <v>29</v>
      </c>
    </row>
    <row r="1934" spans="1:16" x14ac:dyDescent="0.25">
      <c r="A1934" s="2" t="s">
        <v>3937</v>
      </c>
      <c r="B1934" s="2" t="s">
        <v>3938</v>
      </c>
      <c r="C1934" s="2" t="s">
        <v>32</v>
      </c>
      <c r="D1934" s="3" t="s">
        <v>121</v>
      </c>
      <c r="E1934" s="3" t="s">
        <v>27</v>
      </c>
      <c r="F1934" s="2" t="s">
        <v>51</v>
      </c>
      <c r="G1934" s="4">
        <v>719995</v>
      </c>
      <c r="H1934" s="4">
        <v>281833</v>
      </c>
      <c r="I1934" s="4">
        <v>232717</v>
      </c>
      <c r="J1934" s="4">
        <v>6323</v>
      </c>
      <c r="K1934" s="4">
        <v>434</v>
      </c>
      <c r="L1934" s="4">
        <v>626</v>
      </c>
      <c r="M1934" s="4">
        <v>17</v>
      </c>
      <c r="N1934" s="4">
        <v>2070</v>
      </c>
      <c r="O1934" s="5">
        <f t="shared" si="30"/>
        <v>3.1798278595891148E-2</v>
      </c>
      <c r="P1934" s="2" t="s">
        <v>22</v>
      </c>
    </row>
    <row r="1935" spans="1:16" x14ac:dyDescent="0.25">
      <c r="A1935" s="6" t="s">
        <v>3939</v>
      </c>
      <c r="B1935" s="6" t="s">
        <v>3940</v>
      </c>
      <c r="C1935" s="6" t="s">
        <v>43</v>
      </c>
      <c r="D1935" s="7" t="s">
        <v>110</v>
      </c>
      <c r="E1935" s="7" t="s">
        <v>39</v>
      </c>
      <c r="F1935" s="6" t="s">
        <v>107</v>
      </c>
      <c r="G1935" s="8">
        <v>467084</v>
      </c>
      <c r="H1935" s="8">
        <v>85060</v>
      </c>
      <c r="I1935" s="8">
        <v>72163</v>
      </c>
      <c r="J1935" s="8">
        <v>4901</v>
      </c>
      <c r="K1935" s="8">
        <v>358</v>
      </c>
      <c r="L1935" s="8">
        <v>356</v>
      </c>
      <c r="M1935" s="8">
        <v>24</v>
      </c>
      <c r="N1935" s="8">
        <v>1968</v>
      </c>
      <c r="O1935" s="9">
        <f t="shared" si="30"/>
        <v>7.8142538419965907E-2</v>
      </c>
      <c r="P1935" s="6" t="s">
        <v>29</v>
      </c>
    </row>
    <row r="1936" spans="1:16" x14ac:dyDescent="0.25">
      <c r="A1936" s="2" t="s">
        <v>3941</v>
      </c>
      <c r="B1936" s="2" t="s">
        <v>3942</v>
      </c>
      <c r="C1936" s="2" t="s">
        <v>76</v>
      </c>
      <c r="D1936" s="3" t="s">
        <v>182</v>
      </c>
      <c r="E1936" s="3" t="s">
        <v>50</v>
      </c>
      <c r="F1936" s="2" t="s">
        <v>104</v>
      </c>
      <c r="G1936" s="4">
        <v>148235</v>
      </c>
      <c r="H1936" s="4">
        <v>65091</v>
      </c>
      <c r="I1936" s="4">
        <v>52285</v>
      </c>
      <c r="J1936" s="4">
        <v>2448</v>
      </c>
      <c r="K1936" s="4">
        <v>334</v>
      </c>
      <c r="L1936" s="4">
        <v>332</v>
      </c>
      <c r="M1936" s="4">
        <v>279</v>
      </c>
      <c r="N1936" s="4">
        <v>2095</v>
      </c>
      <c r="O1936" s="5">
        <f t="shared" si="30"/>
        <v>6.4894329157502151E-2</v>
      </c>
      <c r="P1936" s="2" t="s">
        <v>22</v>
      </c>
    </row>
    <row r="1937" spans="1:16" x14ac:dyDescent="0.25">
      <c r="A1937" s="6" t="s">
        <v>3943</v>
      </c>
      <c r="B1937" s="6" t="s">
        <v>3944</v>
      </c>
      <c r="C1937" s="6" t="s">
        <v>43</v>
      </c>
      <c r="D1937" s="7" t="s">
        <v>69</v>
      </c>
      <c r="E1937" s="7" t="s">
        <v>39</v>
      </c>
      <c r="F1937" s="6" t="s">
        <v>70</v>
      </c>
      <c r="G1937" s="8">
        <v>129335</v>
      </c>
      <c r="H1937" s="8">
        <v>38872</v>
      </c>
      <c r="I1937" s="8">
        <v>33360</v>
      </c>
      <c r="J1937" s="8">
        <v>1708</v>
      </c>
      <c r="K1937" s="8">
        <v>53</v>
      </c>
      <c r="L1937" s="8">
        <v>76</v>
      </c>
      <c r="M1937" s="8">
        <v>38</v>
      </c>
      <c r="N1937" s="8">
        <v>803</v>
      </c>
      <c r="O1937" s="9">
        <f t="shared" si="30"/>
        <v>5.6205035971223019E-2</v>
      </c>
      <c r="P1937" s="6" t="s">
        <v>22</v>
      </c>
    </row>
    <row r="1938" spans="1:16" x14ac:dyDescent="0.25">
      <c r="A1938" s="2" t="s">
        <v>3945</v>
      </c>
      <c r="B1938" s="2" t="s">
        <v>3946</v>
      </c>
      <c r="C1938" s="2" t="s">
        <v>32</v>
      </c>
      <c r="D1938" s="3" t="s">
        <v>121</v>
      </c>
      <c r="E1938" s="3" t="s">
        <v>45</v>
      </c>
      <c r="F1938" s="2" t="s">
        <v>128</v>
      </c>
      <c r="G1938" s="4">
        <v>133504</v>
      </c>
      <c r="H1938" s="4">
        <v>39481</v>
      </c>
      <c r="I1938" s="4">
        <v>34116</v>
      </c>
      <c r="J1938" s="4">
        <v>2735</v>
      </c>
      <c r="K1938" s="4">
        <v>203</v>
      </c>
      <c r="L1938" s="4">
        <v>110</v>
      </c>
      <c r="M1938" s="4">
        <v>23</v>
      </c>
      <c r="N1938" s="4">
        <v>1170</v>
      </c>
      <c r="O1938" s="5">
        <f t="shared" si="30"/>
        <v>9.0016414585531709E-2</v>
      </c>
      <c r="P1938" s="2" t="s">
        <v>22</v>
      </c>
    </row>
    <row r="1939" spans="1:16" x14ac:dyDescent="0.25">
      <c r="A1939" s="6" t="s">
        <v>3947</v>
      </c>
      <c r="B1939" s="6" t="s">
        <v>3948</v>
      </c>
      <c r="C1939" s="6" t="s">
        <v>25</v>
      </c>
      <c r="D1939" s="7" t="s">
        <v>244</v>
      </c>
      <c r="E1939" s="7" t="s">
        <v>20</v>
      </c>
      <c r="F1939" s="6" t="s">
        <v>28</v>
      </c>
      <c r="G1939" s="8">
        <v>190521</v>
      </c>
      <c r="H1939" s="8">
        <v>52186</v>
      </c>
      <c r="I1939" s="8">
        <v>46034</v>
      </c>
      <c r="J1939" s="8">
        <v>2265</v>
      </c>
      <c r="K1939" s="8">
        <v>79</v>
      </c>
      <c r="L1939" s="8">
        <v>198</v>
      </c>
      <c r="M1939" s="8">
        <v>450</v>
      </c>
      <c r="N1939" s="8">
        <v>1078</v>
      </c>
      <c r="O1939" s="9">
        <f t="shared" si="30"/>
        <v>6.4995438154407614E-2</v>
      </c>
      <c r="P1939" s="6" t="s">
        <v>29</v>
      </c>
    </row>
    <row r="1940" spans="1:16" x14ac:dyDescent="0.25">
      <c r="A1940" s="2" t="s">
        <v>3949</v>
      </c>
      <c r="B1940" s="2" t="s">
        <v>3950</v>
      </c>
      <c r="C1940" s="2" t="s">
        <v>32</v>
      </c>
      <c r="D1940" s="3" t="s">
        <v>49</v>
      </c>
      <c r="E1940" s="3" t="s">
        <v>34</v>
      </c>
      <c r="F1940" s="2" t="s">
        <v>40</v>
      </c>
      <c r="G1940" s="4">
        <v>61813</v>
      </c>
      <c r="H1940" s="4">
        <v>10237</v>
      </c>
      <c r="I1940" s="4">
        <v>7976</v>
      </c>
      <c r="J1940" s="4">
        <v>654</v>
      </c>
      <c r="K1940" s="4">
        <v>41</v>
      </c>
      <c r="L1940" s="4">
        <v>30</v>
      </c>
      <c r="M1940" s="4">
        <v>5</v>
      </c>
      <c r="N1940" s="4">
        <v>109</v>
      </c>
      <c r="O1940" s="5">
        <f t="shared" si="30"/>
        <v>9.1524573721163488E-2</v>
      </c>
      <c r="P1940" s="2" t="s">
        <v>22</v>
      </c>
    </row>
    <row r="1941" spans="1:16" x14ac:dyDescent="0.25">
      <c r="A1941" s="6" t="s">
        <v>3951</v>
      </c>
      <c r="B1941" s="6" t="s">
        <v>3952</v>
      </c>
      <c r="C1941" s="6" t="s">
        <v>76</v>
      </c>
      <c r="D1941" s="7" t="s">
        <v>103</v>
      </c>
      <c r="E1941" s="7" t="s">
        <v>27</v>
      </c>
      <c r="F1941" s="6" t="s">
        <v>155</v>
      </c>
      <c r="G1941" s="8">
        <v>304652</v>
      </c>
      <c r="H1941" s="8">
        <v>66430</v>
      </c>
      <c r="I1941" s="8">
        <v>57105</v>
      </c>
      <c r="J1941" s="8">
        <v>4162</v>
      </c>
      <c r="K1941" s="8">
        <v>128</v>
      </c>
      <c r="L1941" s="8">
        <v>129</v>
      </c>
      <c r="M1941" s="8">
        <v>330</v>
      </c>
      <c r="N1941" s="8">
        <v>2082</v>
      </c>
      <c r="O1941" s="9">
        <f t="shared" si="30"/>
        <v>8.3162595219332808E-2</v>
      </c>
      <c r="P1941" s="6" t="s">
        <v>22</v>
      </c>
    </row>
    <row r="1942" spans="1:16" x14ac:dyDescent="0.25">
      <c r="A1942" s="2" t="s">
        <v>3953</v>
      </c>
      <c r="B1942" s="2" t="s">
        <v>3954</v>
      </c>
      <c r="C1942" s="2" t="s">
        <v>76</v>
      </c>
      <c r="D1942" s="3" t="s">
        <v>103</v>
      </c>
      <c r="E1942" s="3" t="s">
        <v>45</v>
      </c>
      <c r="F1942" s="2" t="s">
        <v>87</v>
      </c>
      <c r="G1942" s="4">
        <v>297189</v>
      </c>
      <c r="H1942" s="4">
        <v>160554</v>
      </c>
      <c r="I1942" s="4">
        <v>145104</v>
      </c>
      <c r="J1942" s="4">
        <v>7887</v>
      </c>
      <c r="K1942" s="4">
        <v>499</v>
      </c>
      <c r="L1942" s="4">
        <v>869</v>
      </c>
      <c r="M1942" s="4">
        <v>1656</v>
      </c>
      <c r="N1942" s="4">
        <v>1750</v>
      </c>
      <c r="O1942" s="5">
        <f t="shared" si="30"/>
        <v>7.5194343367515709E-2</v>
      </c>
      <c r="P1942" s="2" t="s">
        <v>29</v>
      </c>
    </row>
    <row r="1943" spans="1:16" x14ac:dyDescent="0.25">
      <c r="A1943" s="6" t="s">
        <v>3955</v>
      </c>
      <c r="B1943" s="6" t="s">
        <v>3956</v>
      </c>
      <c r="C1943" s="6" t="s">
        <v>43</v>
      </c>
      <c r="D1943" s="7" t="s">
        <v>44</v>
      </c>
      <c r="E1943" s="7" t="s">
        <v>45</v>
      </c>
      <c r="F1943" s="6" t="s">
        <v>46</v>
      </c>
      <c r="G1943" s="8">
        <v>49824</v>
      </c>
      <c r="H1943" s="8">
        <v>6731</v>
      </c>
      <c r="I1943" s="8">
        <v>5344</v>
      </c>
      <c r="J1943" s="8">
        <v>349</v>
      </c>
      <c r="K1943" s="8">
        <v>22</v>
      </c>
      <c r="L1943" s="8">
        <v>16</v>
      </c>
      <c r="M1943" s="8">
        <v>39</v>
      </c>
      <c r="N1943" s="8">
        <v>223</v>
      </c>
      <c r="O1943" s="9">
        <f t="shared" si="30"/>
        <v>7.9715568862275446E-2</v>
      </c>
      <c r="P1943" s="6" t="s">
        <v>29</v>
      </c>
    </row>
    <row r="1944" spans="1:16" x14ac:dyDescent="0.25">
      <c r="A1944" s="2" t="s">
        <v>3957</v>
      </c>
      <c r="B1944" s="2" t="s">
        <v>3958</v>
      </c>
      <c r="C1944" s="2" t="s">
        <v>43</v>
      </c>
      <c r="D1944" s="3" t="s">
        <v>81</v>
      </c>
      <c r="E1944" s="3" t="s">
        <v>45</v>
      </c>
      <c r="F1944" s="2" t="s">
        <v>70</v>
      </c>
      <c r="G1944" s="4">
        <v>47205</v>
      </c>
      <c r="H1944" s="4">
        <v>19028</v>
      </c>
      <c r="I1944" s="4">
        <v>16926</v>
      </c>
      <c r="J1944" s="4">
        <v>566</v>
      </c>
      <c r="K1944" s="4">
        <v>51</v>
      </c>
      <c r="L1944" s="4">
        <v>84</v>
      </c>
      <c r="M1944" s="4">
        <v>33</v>
      </c>
      <c r="N1944" s="4">
        <v>536</v>
      </c>
      <c r="O1944" s="5">
        <f t="shared" si="30"/>
        <v>4.3365236913624011E-2</v>
      </c>
      <c r="P1944" s="2" t="s">
        <v>29</v>
      </c>
    </row>
    <row r="1945" spans="1:16" x14ac:dyDescent="0.25">
      <c r="A1945" s="6" t="s">
        <v>3959</v>
      </c>
      <c r="B1945" s="6" t="s">
        <v>3960</v>
      </c>
      <c r="C1945" s="6" t="s">
        <v>18</v>
      </c>
      <c r="D1945" s="7" t="s">
        <v>92</v>
      </c>
      <c r="E1945" s="7" t="s">
        <v>39</v>
      </c>
      <c r="F1945" s="6" t="s">
        <v>58</v>
      </c>
      <c r="G1945" s="8">
        <v>298450</v>
      </c>
      <c r="H1945" s="8">
        <v>172037</v>
      </c>
      <c r="I1945" s="8">
        <v>136209</v>
      </c>
      <c r="J1945" s="8">
        <v>11360</v>
      </c>
      <c r="K1945" s="8">
        <v>852</v>
      </c>
      <c r="L1945" s="8">
        <v>999</v>
      </c>
      <c r="M1945" s="8">
        <v>1779</v>
      </c>
      <c r="N1945" s="8">
        <v>1868</v>
      </c>
      <c r="O1945" s="9">
        <f t="shared" si="30"/>
        <v>0.11005146502800843</v>
      </c>
      <c r="P1945" s="6" t="s">
        <v>29</v>
      </c>
    </row>
    <row r="1946" spans="1:16" x14ac:dyDescent="0.25">
      <c r="A1946" s="2" t="s">
        <v>3961</v>
      </c>
      <c r="B1946" s="2" t="s">
        <v>3962</v>
      </c>
      <c r="C1946" s="2" t="s">
        <v>18</v>
      </c>
      <c r="D1946" s="3" t="s">
        <v>231</v>
      </c>
      <c r="E1946" s="3" t="s">
        <v>45</v>
      </c>
      <c r="F1946" s="2" t="s">
        <v>21</v>
      </c>
      <c r="G1946" s="4">
        <v>136991</v>
      </c>
      <c r="H1946" s="4">
        <v>26779</v>
      </c>
      <c r="I1946" s="4">
        <v>19143</v>
      </c>
      <c r="J1946" s="4">
        <v>1284</v>
      </c>
      <c r="K1946" s="4">
        <v>139</v>
      </c>
      <c r="L1946" s="4">
        <v>118</v>
      </c>
      <c r="M1946" s="4">
        <v>112</v>
      </c>
      <c r="N1946" s="4">
        <v>154</v>
      </c>
      <c r="O1946" s="5">
        <f t="shared" si="30"/>
        <v>8.635010186491146E-2</v>
      </c>
      <c r="P1946" s="2" t="s">
        <v>22</v>
      </c>
    </row>
    <row r="1947" spans="1:16" x14ac:dyDescent="0.25">
      <c r="A1947" s="6" t="s">
        <v>3963</v>
      </c>
      <c r="B1947" s="6" t="s">
        <v>3964</v>
      </c>
      <c r="C1947" s="6" t="s">
        <v>25</v>
      </c>
      <c r="D1947" s="7" t="s">
        <v>61</v>
      </c>
      <c r="E1947" s="7" t="s">
        <v>45</v>
      </c>
      <c r="F1947" s="6" t="s">
        <v>146</v>
      </c>
      <c r="G1947" s="8">
        <v>538096</v>
      </c>
      <c r="H1947" s="8">
        <v>91765</v>
      </c>
      <c r="I1947" s="8">
        <v>73146</v>
      </c>
      <c r="J1947" s="8">
        <v>4438</v>
      </c>
      <c r="K1947" s="8">
        <v>385</v>
      </c>
      <c r="L1947" s="8">
        <v>307</v>
      </c>
      <c r="M1947" s="8">
        <v>261</v>
      </c>
      <c r="N1947" s="8">
        <v>812</v>
      </c>
      <c r="O1947" s="9">
        <f t="shared" si="30"/>
        <v>7.3701911246001145E-2</v>
      </c>
      <c r="P1947" s="6" t="s">
        <v>22</v>
      </c>
    </row>
    <row r="1948" spans="1:16" x14ac:dyDescent="0.25">
      <c r="A1948" s="2" t="s">
        <v>3965</v>
      </c>
      <c r="B1948" s="2" t="s">
        <v>3966</v>
      </c>
      <c r="C1948" s="2" t="s">
        <v>43</v>
      </c>
      <c r="D1948" s="3" t="s">
        <v>69</v>
      </c>
      <c r="E1948" s="3" t="s">
        <v>34</v>
      </c>
      <c r="F1948" s="2" t="s">
        <v>107</v>
      </c>
      <c r="G1948" s="4">
        <v>699935</v>
      </c>
      <c r="H1948" s="4">
        <v>305653</v>
      </c>
      <c r="I1948" s="4">
        <v>227917</v>
      </c>
      <c r="J1948" s="4">
        <v>18657</v>
      </c>
      <c r="K1948" s="4">
        <v>2858</v>
      </c>
      <c r="L1948" s="4">
        <v>2111</v>
      </c>
      <c r="M1948" s="4">
        <v>24</v>
      </c>
      <c r="N1948" s="4">
        <v>6621</v>
      </c>
      <c r="O1948" s="5">
        <f t="shared" si="30"/>
        <v>0.10376584458377391</v>
      </c>
      <c r="P1948" s="2" t="s">
        <v>29</v>
      </c>
    </row>
    <row r="1949" spans="1:16" x14ac:dyDescent="0.25">
      <c r="A1949" s="6" t="s">
        <v>3967</v>
      </c>
      <c r="B1949" s="6" t="s">
        <v>3968</v>
      </c>
      <c r="C1949" s="6" t="s">
        <v>25</v>
      </c>
      <c r="D1949" s="7" t="s">
        <v>26</v>
      </c>
      <c r="E1949" s="7" t="s">
        <v>20</v>
      </c>
      <c r="F1949" s="6" t="s">
        <v>54</v>
      </c>
      <c r="G1949" s="8">
        <v>691065</v>
      </c>
      <c r="H1949" s="8">
        <v>244661</v>
      </c>
      <c r="I1949" s="8">
        <v>209579</v>
      </c>
      <c r="J1949" s="8">
        <v>18700</v>
      </c>
      <c r="K1949" s="8">
        <v>1281</v>
      </c>
      <c r="L1949" s="8">
        <v>2694</v>
      </c>
      <c r="M1949" s="8">
        <v>1757</v>
      </c>
      <c r="N1949" s="8">
        <v>5888</v>
      </c>
      <c r="O1949" s="9">
        <f t="shared" si="30"/>
        <v>0.11657656540015937</v>
      </c>
      <c r="P1949" s="6" t="s">
        <v>22</v>
      </c>
    </row>
    <row r="1950" spans="1:16" x14ac:dyDescent="0.25">
      <c r="A1950" s="2" t="s">
        <v>3969</v>
      </c>
      <c r="B1950" s="2" t="s">
        <v>3970</v>
      </c>
      <c r="C1950" s="2" t="s">
        <v>18</v>
      </c>
      <c r="D1950" s="3" t="s">
        <v>231</v>
      </c>
      <c r="E1950" s="3" t="s">
        <v>20</v>
      </c>
      <c r="F1950" s="2" t="s">
        <v>73</v>
      </c>
      <c r="G1950" s="4">
        <v>829253</v>
      </c>
      <c r="H1950" s="4">
        <v>246878</v>
      </c>
      <c r="I1950" s="4">
        <v>191961</v>
      </c>
      <c r="J1950" s="4">
        <v>11771</v>
      </c>
      <c r="K1950" s="4">
        <v>832</v>
      </c>
      <c r="L1950" s="4">
        <v>548</v>
      </c>
      <c r="M1950" s="4">
        <v>751</v>
      </c>
      <c r="N1950" s="4">
        <v>7127</v>
      </c>
      <c r="O1950" s="5">
        <f t="shared" si="30"/>
        <v>7.2420960507603105E-2</v>
      </c>
      <c r="P1950" s="2" t="s">
        <v>29</v>
      </c>
    </row>
    <row r="1951" spans="1:16" x14ac:dyDescent="0.25">
      <c r="A1951" s="6" t="s">
        <v>3971</v>
      </c>
      <c r="B1951" s="6" t="s">
        <v>3972</v>
      </c>
      <c r="C1951" s="6" t="s">
        <v>18</v>
      </c>
      <c r="D1951" s="7" t="s">
        <v>19</v>
      </c>
      <c r="E1951" s="7" t="s">
        <v>20</v>
      </c>
      <c r="F1951" s="6" t="s">
        <v>21</v>
      </c>
      <c r="G1951" s="8">
        <v>292564</v>
      </c>
      <c r="H1951" s="8">
        <v>178966</v>
      </c>
      <c r="I1951" s="8">
        <v>149774</v>
      </c>
      <c r="J1951" s="8">
        <v>12620</v>
      </c>
      <c r="K1951" s="8">
        <v>1263</v>
      </c>
      <c r="L1951" s="8">
        <v>403</v>
      </c>
      <c r="M1951" s="8">
        <v>2524</v>
      </c>
      <c r="N1951" s="8">
        <v>4901</v>
      </c>
      <c r="O1951" s="9">
        <f t="shared" si="30"/>
        <v>0.11223576855796066</v>
      </c>
      <c r="P1951" s="6" t="s">
        <v>29</v>
      </c>
    </row>
    <row r="1952" spans="1:16" x14ac:dyDescent="0.25">
      <c r="A1952" s="2" t="s">
        <v>3973</v>
      </c>
      <c r="B1952" s="2" t="s">
        <v>3974</v>
      </c>
      <c r="C1952" s="2" t="s">
        <v>43</v>
      </c>
      <c r="D1952" s="3" t="s">
        <v>172</v>
      </c>
      <c r="E1952" s="3" t="s">
        <v>39</v>
      </c>
      <c r="F1952" s="2" t="s">
        <v>46</v>
      </c>
      <c r="G1952" s="4">
        <v>777285</v>
      </c>
      <c r="H1952" s="4">
        <v>372769</v>
      </c>
      <c r="I1952" s="4">
        <v>306170</v>
      </c>
      <c r="J1952" s="4">
        <v>16700</v>
      </c>
      <c r="K1952" s="4">
        <v>673</v>
      </c>
      <c r="L1952" s="4">
        <v>1486</v>
      </c>
      <c r="M1952" s="4">
        <v>32</v>
      </c>
      <c r="N1952" s="4">
        <v>2896</v>
      </c>
      <c r="O1952" s="5">
        <f t="shared" si="30"/>
        <v>6.1701015775549532E-2</v>
      </c>
      <c r="P1952" s="2" t="s">
        <v>66</v>
      </c>
    </row>
    <row r="1953" spans="1:16" x14ac:dyDescent="0.25">
      <c r="A1953" s="6" t="s">
        <v>3975</v>
      </c>
      <c r="B1953" s="6" t="s">
        <v>3976</v>
      </c>
      <c r="C1953" s="6" t="s">
        <v>25</v>
      </c>
      <c r="D1953" s="7" t="s">
        <v>145</v>
      </c>
      <c r="E1953" s="7" t="s">
        <v>50</v>
      </c>
      <c r="F1953" s="6" t="s">
        <v>146</v>
      </c>
      <c r="G1953" s="8">
        <v>525887</v>
      </c>
      <c r="H1953" s="8">
        <v>107222</v>
      </c>
      <c r="I1953" s="8">
        <v>98116</v>
      </c>
      <c r="J1953" s="8">
        <v>3557</v>
      </c>
      <c r="K1953" s="8">
        <v>174</v>
      </c>
      <c r="L1953" s="8">
        <v>488</v>
      </c>
      <c r="M1953" s="8">
        <v>592</v>
      </c>
      <c r="N1953" s="8">
        <v>680</v>
      </c>
      <c r="O1953" s="9">
        <f t="shared" si="30"/>
        <v>4.9033796730400751E-2</v>
      </c>
      <c r="P1953" s="6" t="s">
        <v>66</v>
      </c>
    </row>
    <row r="1954" spans="1:16" x14ac:dyDescent="0.25">
      <c r="A1954" s="2" t="s">
        <v>3977</v>
      </c>
      <c r="B1954" s="2" t="s">
        <v>3978</v>
      </c>
      <c r="C1954" s="2" t="s">
        <v>25</v>
      </c>
      <c r="D1954" s="3" t="s">
        <v>64</v>
      </c>
      <c r="E1954" s="3" t="s">
        <v>27</v>
      </c>
      <c r="F1954" s="2" t="s">
        <v>28</v>
      </c>
      <c r="G1954" s="4">
        <v>279364</v>
      </c>
      <c r="H1954" s="4">
        <v>170341</v>
      </c>
      <c r="I1954" s="4">
        <v>119755</v>
      </c>
      <c r="J1954" s="4">
        <v>8010</v>
      </c>
      <c r="K1954" s="4">
        <v>1064</v>
      </c>
      <c r="L1954" s="4">
        <v>1181</v>
      </c>
      <c r="M1954" s="4">
        <v>1572</v>
      </c>
      <c r="N1954" s="4">
        <v>5340</v>
      </c>
      <c r="O1954" s="5">
        <f t="shared" si="30"/>
        <v>9.8759968268548284E-2</v>
      </c>
      <c r="P1954" s="2" t="s">
        <v>29</v>
      </c>
    </row>
    <row r="1955" spans="1:16" x14ac:dyDescent="0.25">
      <c r="A1955" s="6" t="s">
        <v>3979</v>
      </c>
      <c r="B1955" s="6" t="s">
        <v>3980</v>
      </c>
      <c r="C1955" s="6" t="s">
        <v>43</v>
      </c>
      <c r="D1955" s="7" t="s">
        <v>69</v>
      </c>
      <c r="E1955" s="7" t="s">
        <v>50</v>
      </c>
      <c r="F1955" s="6" t="s">
        <v>46</v>
      </c>
      <c r="G1955" s="8">
        <v>497007</v>
      </c>
      <c r="H1955" s="8">
        <v>180379</v>
      </c>
      <c r="I1955" s="8">
        <v>144481</v>
      </c>
      <c r="J1955" s="8">
        <v>6001</v>
      </c>
      <c r="K1955" s="8">
        <v>526</v>
      </c>
      <c r="L1955" s="8">
        <v>790</v>
      </c>
      <c r="M1955" s="8">
        <v>48</v>
      </c>
      <c r="N1955" s="8">
        <v>2813</v>
      </c>
      <c r="O1955" s="9">
        <f t="shared" si="30"/>
        <v>5.0975560800382055E-2</v>
      </c>
      <c r="P1955" s="6" t="s">
        <v>22</v>
      </c>
    </row>
    <row r="1956" spans="1:16" x14ac:dyDescent="0.25">
      <c r="A1956" s="2" t="s">
        <v>3981</v>
      </c>
      <c r="B1956" s="2" t="s">
        <v>3982</v>
      </c>
      <c r="C1956" s="2" t="s">
        <v>25</v>
      </c>
      <c r="D1956" s="3" t="s">
        <v>64</v>
      </c>
      <c r="E1956" s="3" t="s">
        <v>27</v>
      </c>
      <c r="F1956" s="2" t="s">
        <v>146</v>
      </c>
      <c r="G1956" s="4">
        <v>128482</v>
      </c>
      <c r="H1956" s="4">
        <v>23532</v>
      </c>
      <c r="I1956" s="4">
        <v>19811</v>
      </c>
      <c r="J1956" s="4">
        <v>650</v>
      </c>
      <c r="K1956" s="4">
        <v>76</v>
      </c>
      <c r="L1956" s="4">
        <v>91</v>
      </c>
      <c r="M1956" s="4">
        <v>144</v>
      </c>
      <c r="N1956" s="4">
        <v>473</v>
      </c>
      <c r="O1956" s="5">
        <f t="shared" si="30"/>
        <v>4.8508404421785875E-2</v>
      </c>
      <c r="P1956" s="2" t="s">
        <v>29</v>
      </c>
    </row>
    <row r="1957" spans="1:16" x14ac:dyDescent="0.25">
      <c r="A1957" s="6" t="s">
        <v>3983</v>
      </c>
      <c r="B1957" s="6" t="s">
        <v>3984</v>
      </c>
      <c r="C1957" s="6" t="s">
        <v>18</v>
      </c>
      <c r="D1957" s="7" t="s">
        <v>57</v>
      </c>
      <c r="E1957" s="7" t="s">
        <v>20</v>
      </c>
      <c r="F1957" s="6" t="s">
        <v>58</v>
      </c>
      <c r="G1957" s="8">
        <v>276627</v>
      </c>
      <c r="H1957" s="8">
        <v>56108</v>
      </c>
      <c r="I1957" s="8">
        <v>41714</v>
      </c>
      <c r="J1957" s="8">
        <v>1159</v>
      </c>
      <c r="K1957" s="8">
        <v>86</v>
      </c>
      <c r="L1957" s="8">
        <v>140</v>
      </c>
      <c r="M1957" s="8">
        <v>207</v>
      </c>
      <c r="N1957" s="8">
        <v>1960</v>
      </c>
      <c r="O1957" s="9">
        <f t="shared" si="30"/>
        <v>3.816464496332167E-2</v>
      </c>
      <c r="P1957" s="6" t="s">
        <v>22</v>
      </c>
    </row>
    <row r="1958" spans="1:16" x14ac:dyDescent="0.25">
      <c r="A1958" s="2" t="s">
        <v>3985</v>
      </c>
      <c r="B1958" s="2" t="s">
        <v>3986</v>
      </c>
      <c r="C1958" s="2" t="s">
        <v>32</v>
      </c>
      <c r="D1958" s="3" t="s">
        <v>121</v>
      </c>
      <c r="E1958" s="3" t="s">
        <v>45</v>
      </c>
      <c r="F1958" s="2" t="s">
        <v>35</v>
      </c>
      <c r="G1958" s="4">
        <v>36538</v>
      </c>
      <c r="H1958" s="4">
        <v>14233</v>
      </c>
      <c r="I1958" s="4">
        <v>10259</v>
      </c>
      <c r="J1958" s="4">
        <v>457</v>
      </c>
      <c r="K1958" s="4">
        <v>58</v>
      </c>
      <c r="L1958" s="4">
        <v>24</v>
      </c>
      <c r="M1958" s="4">
        <v>21</v>
      </c>
      <c r="N1958" s="4">
        <v>293</v>
      </c>
      <c r="O1958" s="5">
        <f t="shared" si="30"/>
        <v>5.4586216980212494E-2</v>
      </c>
      <c r="P1958" s="2" t="s">
        <v>29</v>
      </c>
    </row>
    <row r="1959" spans="1:16" x14ac:dyDescent="0.25">
      <c r="A1959" s="6" t="s">
        <v>3987</v>
      </c>
      <c r="B1959" s="6" t="s">
        <v>3988</v>
      </c>
      <c r="C1959" s="6" t="s">
        <v>43</v>
      </c>
      <c r="D1959" s="7" t="s">
        <v>110</v>
      </c>
      <c r="E1959" s="7" t="s">
        <v>39</v>
      </c>
      <c r="F1959" s="6" t="s">
        <v>46</v>
      </c>
      <c r="G1959" s="8">
        <v>105342</v>
      </c>
      <c r="H1959" s="8">
        <v>24122</v>
      </c>
      <c r="I1959" s="8">
        <v>17039</v>
      </c>
      <c r="J1959" s="8">
        <v>1045</v>
      </c>
      <c r="K1959" s="8">
        <v>68</v>
      </c>
      <c r="L1959" s="8">
        <v>96</v>
      </c>
      <c r="M1959" s="8">
        <v>5</v>
      </c>
      <c r="N1959" s="8">
        <v>463</v>
      </c>
      <c r="O1959" s="9">
        <f t="shared" si="30"/>
        <v>7.1248312694406943E-2</v>
      </c>
      <c r="P1959" s="6" t="s">
        <v>29</v>
      </c>
    </row>
    <row r="1960" spans="1:16" x14ac:dyDescent="0.25">
      <c r="A1960" s="2" t="s">
        <v>3989</v>
      </c>
      <c r="B1960" s="2" t="s">
        <v>3990</v>
      </c>
      <c r="C1960" s="2" t="s">
        <v>25</v>
      </c>
      <c r="D1960" s="3" t="s">
        <v>26</v>
      </c>
      <c r="E1960" s="3" t="s">
        <v>50</v>
      </c>
      <c r="F1960" s="2" t="s">
        <v>54</v>
      </c>
      <c r="G1960" s="4">
        <v>89703</v>
      </c>
      <c r="H1960" s="4">
        <v>44328</v>
      </c>
      <c r="I1960" s="4">
        <v>34439</v>
      </c>
      <c r="J1960" s="4">
        <v>1847</v>
      </c>
      <c r="K1960" s="4">
        <v>328</v>
      </c>
      <c r="L1960" s="4">
        <v>169</v>
      </c>
      <c r="M1960" s="4">
        <v>323</v>
      </c>
      <c r="N1960" s="4">
        <v>716</v>
      </c>
      <c r="O1960" s="5">
        <f t="shared" si="30"/>
        <v>7.7441272975405789E-2</v>
      </c>
      <c r="P1960" s="2" t="s">
        <v>66</v>
      </c>
    </row>
    <row r="1961" spans="1:16" x14ac:dyDescent="0.25">
      <c r="A1961" s="6" t="s">
        <v>3991</v>
      </c>
      <c r="B1961" s="6" t="s">
        <v>3992</v>
      </c>
      <c r="C1961" s="6" t="s">
        <v>32</v>
      </c>
      <c r="D1961" s="7" t="s">
        <v>33</v>
      </c>
      <c r="E1961" s="7" t="s">
        <v>20</v>
      </c>
      <c r="F1961" s="6" t="s">
        <v>128</v>
      </c>
      <c r="G1961" s="8">
        <v>221205</v>
      </c>
      <c r="H1961" s="8">
        <v>69406</v>
      </c>
      <c r="I1961" s="8">
        <v>54598</v>
      </c>
      <c r="J1961" s="8">
        <v>3787</v>
      </c>
      <c r="K1961" s="8">
        <v>214</v>
      </c>
      <c r="L1961" s="8">
        <v>272</v>
      </c>
      <c r="M1961" s="8">
        <v>27</v>
      </c>
      <c r="N1961" s="8">
        <v>1429</v>
      </c>
      <c r="O1961" s="9">
        <f t="shared" si="30"/>
        <v>7.8757463643356895E-2</v>
      </c>
      <c r="P1961" s="6" t="s">
        <v>22</v>
      </c>
    </row>
    <row r="1962" spans="1:16" x14ac:dyDescent="0.25">
      <c r="A1962" s="2" t="s">
        <v>3993</v>
      </c>
      <c r="B1962" s="2" t="s">
        <v>3994</v>
      </c>
      <c r="C1962" s="2" t="s">
        <v>43</v>
      </c>
      <c r="D1962" s="3" t="s">
        <v>69</v>
      </c>
      <c r="E1962" s="3" t="s">
        <v>34</v>
      </c>
      <c r="F1962" s="2" t="s">
        <v>70</v>
      </c>
      <c r="G1962" s="4">
        <v>815731</v>
      </c>
      <c r="H1962" s="4">
        <v>291012</v>
      </c>
      <c r="I1962" s="4">
        <v>208380</v>
      </c>
      <c r="J1962" s="4">
        <v>11862</v>
      </c>
      <c r="K1962" s="4">
        <v>1733</v>
      </c>
      <c r="L1962" s="4">
        <v>1772</v>
      </c>
      <c r="M1962" s="4">
        <v>1</v>
      </c>
      <c r="N1962" s="4">
        <v>9835</v>
      </c>
      <c r="O1962" s="5">
        <f t="shared" si="30"/>
        <v>7.3749880026873979E-2</v>
      </c>
      <c r="P1962" s="2" t="s">
        <v>29</v>
      </c>
    </row>
    <row r="1963" spans="1:16" x14ac:dyDescent="0.25">
      <c r="A1963" s="6" t="s">
        <v>3995</v>
      </c>
      <c r="B1963" s="6" t="s">
        <v>3996</v>
      </c>
      <c r="C1963" s="6" t="s">
        <v>32</v>
      </c>
      <c r="D1963" s="7" t="s">
        <v>49</v>
      </c>
      <c r="E1963" s="7" t="s">
        <v>20</v>
      </c>
      <c r="F1963" s="6" t="s">
        <v>51</v>
      </c>
      <c r="G1963" s="8">
        <v>639830</v>
      </c>
      <c r="H1963" s="8">
        <v>299030</v>
      </c>
      <c r="I1963" s="8">
        <v>265208</v>
      </c>
      <c r="J1963" s="8">
        <v>8043</v>
      </c>
      <c r="K1963" s="8">
        <v>1285</v>
      </c>
      <c r="L1963" s="8">
        <v>195</v>
      </c>
      <c r="M1963" s="8">
        <v>4</v>
      </c>
      <c r="N1963" s="8">
        <v>2230</v>
      </c>
      <c r="O1963" s="9">
        <f t="shared" si="30"/>
        <v>3.592274742843353E-2</v>
      </c>
      <c r="P1963" s="6" t="s">
        <v>29</v>
      </c>
    </row>
    <row r="1964" spans="1:16" x14ac:dyDescent="0.25">
      <c r="A1964" s="2" t="s">
        <v>3997</v>
      </c>
      <c r="B1964" s="2" t="s">
        <v>3998</v>
      </c>
      <c r="C1964" s="2" t="s">
        <v>18</v>
      </c>
      <c r="D1964" s="3" t="s">
        <v>231</v>
      </c>
      <c r="E1964" s="3" t="s">
        <v>20</v>
      </c>
      <c r="F1964" s="2" t="s">
        <v>73</v>
      </c>
      <c r="G1964" s="4">
        <v>210967</v>
      </c>
      <c r="H1964" s="4">
        <v>47074</v>
      </c>
      <c r="I1964" s="4">
        <v>34570</v>
      </c>
      <c r="J1964" s="4">
        <v>1152</v>
      </c>
      <c r="K1964" s="4">
        <v>206</v>
      </c>
      <c r="L1964" s="4">
        <v>113</v>
      </c>
      <c r="M1964" s="4">
        <v>77</v>
      </c>
      <c r="N1964" s="4">
        <v>1455</v>
      </c>
      <c r="O1964" s="5">
        <f t="shared" si="30"/>
        <v>4.4778709864043968E-2</v>
      </c>
      <c r="P1964" s="2" t="s">
        <v>22</v>
      </c>
    </row>
    <row r="1965" spans="1:16" x14ac:dyDescent="0.25">
      <c r="A1965" s="6" t="s">
        <v>3999</v>
      </c>
      <c r="B1965" s="6" t="s">
        <v>4000</v>
      </c>
      <c r="C1965" s="6" t="s">
        <v>32</v>
      </c>
      <c r="D1965" s="7" t="s">
        <v>38</v>
      </c>
      <c r="E1965" s="7" t="s">
        <v>39</v>
      </c>
      <c r="F1965" s="6" t="s">
        <v>128</v>
      </c>
      <c r="G1965" s="8">
        <v>329515</v>
      </c>
      <c r="H1965" s="8">
        <v>210572</v>
      </c>
      <c r="I1965" s="8">
        <v>175325</v>
      </c>
      <c r="J1965" s="8">
        <v>16286</v>
      </c>
      <c r="K1965" s="8">
        <v>1325</v>
      </c>
      <c r="L1965" s="8">
        <v>2243</v>
      </c>
      <c r="M1965" s="8">
        <v>14</v>
      </c>
      <c r="N1965" s="8">
        <v>4402</v>
      </c>
      <c r="O1965" s="9">
        <f t="shared" si="30"/>
        <v>0.11332097533152716</v>
      </c>
      <c r="P1965" s="6" t="s">
        <v>66</v>
      </c>
    </row>
    <row r="1966" spans="1:16" x14ac:dyDescent="0.25">
      <c r="A1966" s="2" t="s">
        <v>4001</v>
      </c>
      <c r="B1966" s="2" t="s">
        <v>4002</v>
      </c>
      <c r="C1966" s="2" t="s">
        <v>32</v>
      </c>
      <c r="D1966" s="3" t="s">
        <v>121</v>
      </c>
      <c r="E1966" s="3" t="s">
        <v>45</v>
      </c>
      <c r="F1966" s="2" t="s">
        <v>51</v>
      </c>
      <c r="G1966" s="4">
        <v>408408</v>
      </c>
      <c r="H1966" s="4">
        <v>260299</v>
      </c>
      <c r="I1966" s="4">
        <v>220897</v>
      </c>
      <c r="J1966" s="4">
        <v>7051</v>
      </c>
      <c r="K1966" s="4">
        <v>1058</v>
      </c>
      <c r="L1966" s="4">
        <v>839</v>
      </c>
      <c r="M1966" s="4">
        <v>29</v>
      </c>
      <c r="N1966" s="4">
        <v>2716</v>
      </c>
      <c r="O1966" s="5">
        <f t="shared" si="30"/>
        <v>4.0638849780667008E-2</v>
      </c>
      <c r="P1966" s="2" t="s">
        <v>22</v>
      </c>
    </row>
    <row r="1967" spans="1:16" x14ac:dyDescent="0.25">
      <c r="A1967" s="6" t="s">
        <v>4003</v>
      </c>
      <c r="B1967" s="6" t="s">
        <v>4004</v>
      </c>
      <c r="C1967" s="6" t="s">
        <v>43</v>
      </c>
      <c r="D1967" s="7" t="s">
        <v>69</v>
      </c>
      <c r="E1967" s="7" t="s">
        <v>27</v>
      </c>
      <c r="F1967" s="6" t="s">
        <v>107</v>
      </c>
      <c r="G1967" s="8">
        <v>462648</v>
      </c>
      <c r="H1967" s="8">
        <v>273244</v>
      </c>
      <c r="I1967" s="8">
        <v>228568</v>
      </c>
      <c r="J1967" s="8">
        <v>13153</v>
      </c>
      <c r="K1967" s="8">
        <v>1705</v>
      </c>
      <c r="L1967" s="8">
        <v>1550</v>
      </c>
      <c r="M1967" s="8">
        <v>23</v>
      </c>
      <c r="N1967" s="8">
        <v>4332</v>
      </c>
      <c r="O1967" s="9">
        <f t="shared" si="30"/>
        <v>7.1886703300549512E-2</v>
      </c>
      <c r="P1967" s="6" t="s">
        <v>29</v>
      </c>
    </row>
    <row r="1968" spans="1:16" x14ac:dyDescent="0.25">
      <c r="A1968" s="2" t="s">
        <v>4005</v>
      </c>
      <c r="B1968" s="2" t="s">
        <v>4006</v>
      </c>
      <c r="C1968" s="2" t="s">
        <v>32</v>
      </c>
      <c r="D1968" s="3" t="s">
        <v>121</v>
      </c>
      <c r="E1968" s="3" t="s">
        <v>34</v>
      </c>
      <c r="F1968" s="2" t="s">
        <v>128</v>
      </c>
      <c r="G1968" s="4">
        <v>123748</v>
      </c>
      <c r="H1968" s="4">
        <v>31642</v>
      </c>
      <c r="I1968" s="4">
        <v>22816</v>
      </c>
      <c r="J1968" s="4">
        <v>2465</v>
      </c>
      <c r="K1968" s="4">
        <v>323</v>
      </c>
      <c r="L1968" s="4">
        <v>115</v>
      </c>
      <c r="M1968" s="4">
        <v>11</v>
      </c>
      <c r="N1968" s="4">
        <v>851</v>
      </c>
      <c r="O1968" s="5">
        <f t="shared" si="30"/>
        <v>0.12771739130434784</v>
      </c>
      <c r="P1968" s="2" t="s">
        <v>29</v>
      </c>
    </row>
    <row r="1969" spans="1:16" x14ac:dyDescent="0.25">
      <c r="A1969" s="6" t="s">
        <v>4007</v>
      </c>
      <c r="B1969" s="6" t="s">
        <v>4008</v>
      </c>
      <c r="C1969" s="6" t="s">
        <v>18</v>
      </c>
      <c r="D1969" s="7" t="s">
        <v>57</v>
      </c>
      <c r="E1969" s="7" t="s">
        <v>27</v>
      </c>
      <c r="F1969" s="6" t="s">
        <v>73</v>
      </c>
      <c r="G1969" s="8">
        <v>723773</v>
      </c>
      <c r="H1969" s="8">
        <v>322285</v>
      </c>
      <c r="I1969" s="8">
        <v>255385</v>
      </c>
      <c r="J1969" s="8">
        <v>7660</v>
      </c>
      <c r="K1969" s="8">
        <v>1295</v>
      </c>
      <c r="L1969" s="8">
        <v>674</v>
      </c>
      <c r="M1969" s="8">
        <v>1414</v>
      </c>
      <c r="N1969" s="8">
        <v>6197</v>
      </c>
      <c r="O1969" s="9">
        <f t="shared" si="30"/>
        <v>4.324059752922059E-2</v>
      </c>
      <c r="P1969" s="6" t="s">
        <v>66</v>
      </c>
    </row>
    <row r="1970" spans="1:16" x14ac:dyDescent="0.25">
      <c r="A1970" s="2" t="s">
        <v>4009</v>
      </c>
      <c r="B1970" s="2" t="s">
        <v>4010</v>
      </c>
      <c r="C1970" s="2" t="s">
        <v>43</v>
      </c>
      <c r="D1970" s="3" t="s">
        <v>110</v>
      </c>
      <c r="E1970" s="3" t="s">
        <v>20</v>
      </c>
      <c r="F1970" s="2" t="s">
        <v>107</v>
      </c>
      <c r="G1970" s="4">
        <v>206497</v>
      </c>
      <c r="H1970" s="4">
        <v>64863</v>
      </c>
      <c r="I1970" s="4">
        <v>58014</v>
      </c>
      <c r="J1970" s="4">
        <v>1495</v>
      </c>
      <c r="K1970" s="4">
        <v>130</v>
      </c>
      <c r="L1970" s="4">
        <v>59</v>
      </c>
      <c r="M1970" s="4">
        <v>25</v>
      </c>
      <c r="N1970" s="4">
        <v>1958</v>
      </c>
      <c r="O1970" s="5">
        <f t="shared" si="30"/>
        <v>2.9458406591512394E-2</v>
      </c>
      <c r="P1970" s="2" t="s">
        <v>29</v>
      </c>
    </row>
    <row r="1971" spans="1:16" x14ac:dyDescent="0.25">
      <c r="A1971" s="6" t="s">
        <v>4011</v>
      </c>
      <c r="B1971" s="6" t="s">
        <v>4012</v>
      </c>
      <c r="C1971" s="6" t="s">
        <v>18</v>
      </c>
      <c r="D1971" s="7" t="s">
        <v>231</v>
      </c>
      <c r="E1971" s="7" t="s">
        <v>27</v>
      </c>
      <c r="F1971" s="6" t="s">
        <v>58</v>
      </c>
      <c r="G1971" s="8">
        <v>690179</v>
      </c>
      <c r="H1971" s="8">
        <v>206678</v>
      </c>
      <c r="I1971" s="8">
        <v>181925</v>
      </c>
      <c r="J1971" s="8">
        <v>11983</v>
      </c>
      <c r="K1971" s="8">
        <v>2107</v>
      </c>
      <c r="L1971" s="8">
        <v>1399</v>
      </c>
      <c r="M1971" s="8">
        <v>1435</v>
      </c>
      <c r="N1971" s="8">
        <v>6253</v>
      </c>
      <c r="O1971" s="9">
        <f t="shared" si="30"/>
        <v>9.3027346433970037E-2</v>
      </c>
      <c r="P1971" s="6" t="s">
        <v>29</v>
      </c>
    </row>
    <row r="1972" spans="1:16" x14ac:dyDescent="0.25">
      <c r="A1972" s="2" t="s">
        <v>4013</v>
      </c>
      <c r="B1972" s="2" t="s">
        <v>4014</v>
      </c>
      <c r="C1972" s="2" t="s">
        <v>18</v>
      </c>
      <c r="D1972" s="3" t="s">
        <v>231</v>
      </c>
      <c r="E1972" s="3" t="s">
        <v>45</v>
      </c>
      <c r="F1972" s="2" t="s">
        <v>21</v>
      </c>
      <c r="G1972" s="4">
        <v>754225</v>
      </c>
      <c r="H1972" s="4">
        <v>169185</v>
      </c>
      <c r="I1972" s="4">
        <v>131998</v>
      </c>
      <c r="J1972" s="4">
        <v>7877</v>
      </c>
      <c r="K1972" s="4">
        <v>436</v>
      </c>
      <c r="L1972" s="4">
        <v>820</v>
      </c>
      <c r="M1972" s="4">
        <v>1274</v>
      </c>
      <c r="N1972" s="4">
        <v>2231</v>
      </c>
      <c r="O1972" s="5">
        <f t="shared" si="30"/>
        <v>7.8842103668237393E-2</v>
      </c>
      <c r="P1972" s="2" t="s">
        <v>29</v>
      </c>
    </row>
    <row r="1973" spans="1:16" x14ac:dyDescent="0.25">
      <c r="A1973" s="6" t="s">
        <v>4015</v>
      </c>
      <c r="B1973" s="6" t="s">
        <v>4016</v>
      </c>
      <c r="C1973" s="6" t="s">
        <v>25</v>
      </c>
      <c r="D1973" s="7" t="s">
        <v>61</v>
      </c>
      <c r="E1973" s="7" t="s">
        <v>50</v>
      </c>
      <c r="F1973" s="6" t="s">
        <v>28</v>
      </c>
      <c r="G1973" s="8">
        <v>30796</v>
      </c>
      <c r="H1973" s="8">
        <v>16589</v>
      </c>
      <c r="I1973" s="8">
        <v>12632</v>
      </c>
      <c r="J1973" s="8">
        <v>1194</v>
      </c>
      <c r="K1973" s="8">
        <v>41</v>
      </c>
      <c r="L1973" s="8">
        <v>174</v>
      </c>
      <c r="M1973" s="8">
        <v>185</v>
      </c>
      <c r="N1973" s="8">
        <v>269</v>
      </c>
      <c r="O1973" s="9">
        <f t="shared" si="30"/>
        <v>0.12618746041798606</v>
      </c>
      <c r="P1973" s="6" t="s">
        <v>22</v>
      </c>
    </row>
    <row r="1974" spans="1:16" x14ac:dyDescent="0.25">
      <c r="A1974" s="2" t="s">
        <v>4017</v>
      </c>
      <c r="B1974" s="2" t="s">
        <v>4018</v>
      </c>
      <c r="C1974" s="2" t="s">
        <v>32</v>
      </c>
      <c r="D1974" s="3" t="s">
        <v>33</v>
      </c>
      <c r="E1974" s="3" t="s">
        <v>20</v>
      </c>
      <c r="F1974" s="2" t="s">
        <v>51</v>
      </c>
      <c r="G1974" s="4">
        <v>759168</v>
      </c>
      <c r="H1974" s="4">
        <v>167908</v>
      </c>
      <c r="I1974" s="4">
        <v>131564</v>
      </c>
      <c r="J1974" s="4">
        <v>13191</v>
      </c>
      <c r="K1974" s="4">
        <v>1434</v>
      </c>
      <c r="L1974" s="4">
        <v>1458</v>
      </c>
      <c r="M1974" s="4">
        <v>17</v>
      </c>
      <c r="N1974" s="4">
        <v>4926</v>
      </c>
      <c r="O1974" s="5">
        <f t="shared" si="30"/>
        <v>0.12237390167523031</v>
      </c>
      <c r="P1974" s="2" t="s">
        <v>22</v>
      </c>
    </row>
    <row r="1975" spans="1:16" x14ac:dyDescent="0.25">
      <c r="A1975" s="6" t="s">
        <v>4019</v>
      </c>
      <c r="B1975" s="6" t="s">
        <v>4020</v>
      </c>
      <c r="C1975" s="6" t="s">
        <v>18</v>
      </c>
      <c r="D1975" s="7" t="s">
        <v>226</v>
      </c>
      <c r="E1975" s="7" t="s">
        <v>50</v>
      </c>
      <c r="F1975" s="6" t="s">
        <v>21</v>
      </c>
      <c r="G1975" s="8">
        <v>759268</v>
      </c>
      <c r="H1975" s="8">
        <v>155271</v>
      </c>
      <c r="I1975" s="8">
        <v>142488</v>
      </c>
      <c r="J1975" s="8">
        <v>5504</v>
      </c>
      <c r="K1975" s="8">
        <v>189</v>
      </c>
      <c r="L1975" s="8">
        <v>184</v>
      </c>
      <c r="M1975" s="8">
        <v>1158</v>
      </c>
      <c r="N1975" s="8">
        <v>4873</v>
      </c>
      <c r="O1975" s="9">
        <f t="shared" si="30"/>
        <v>4.9372578743473138E-2</v>
      </c>
      <c r="P1975" s="6" t="s">
        <v>22</v>
      </c>
    </row>
    <row r="1976" spans="1:16" x14ac:dyDescent="0.25">
      <c r="A1976" s="2" t="s">
        <v>4021</v>
      </c>
      <c r="B1976" s="2" t="s">
        <v>4022</v>
      </c>
      <c r="C1976" s="2" t="s">
        <v>32</v>
      </c>
      <c r="D1976" s="3" t="s">
        <v>33</v>
      </c>
      <c r="E1976" s="3" t="s">
        <v>39</v>
      </c>
      <c r="F1976" s="2" t="s">
        <v>51</v>
      </c>
      <c r="G1976" s="4">
        <v>214407</v>
      </c>
      <c r="H1976" s="4">
        <v>130140</v>
      </c>
      <c r="I1976" s="4">
        <v>99147</v>
      </c>
      <c r="J1976" s="4">
        <v>5937</v>
      </c>
      <c r="K1976" s="4">
        <v>794</v>
      </c>
      <c r="L1976" s="4">
        <v>888</v>
      </c>
      <c r="M1976" s="4">
        <v>25</v>
      </c>
      <c r="N1976" s="4">
        <v>4023</v>
      </c>
      <c r="O1976" s="5">
        <f t="shared" si="30"/>
        <v>7.7097642893884835E-2</v>
      </c>
      <c r="P1976" s="2" t="s">
        <v>29</v>
      </c>
    </row>
    <row r="1977" spans="1:16" x14ac:dyDescent="0.25">
      <c r="A1977" s="6" t="s">
        <v>4023</v>
      </c>
      <c r="B1977" s="6" t="s">
        <v>4024</v>
      </c>
      <c r="C1977" s="6" t="s">
        <v>25</v>
      </c>
      <c r="D1977" s="7" t="s">
        <v>26</v>
      </c>
      <c r="E1977" s="7" t="s">
        <v>20</v>
      </c>
      <c r="F1977" s="6" t="s">
        <v>65</v>
      </c>
      <c r="G1977" s="8">
        <v>279802</v>
      </c>
      <c r="H1977" s="8">
        <v>117220</v>
      </c>
      <c r="I1977" s="8">
        <v>83438</v>
      </c>
      <c r="J1977" s="8">
        <v>9060</v>
      </c>
      <c r="K1977" s="8">
        <v>1053</v>
      </c>
      <c r="L1977" s="8">
        <v>1144</v>
      </c>
      <c r="M1977" s="8">
        <v>579</v>
      </c>
      <c r="N1977" s="8">
        <v>3670</v>
      </c>
      <c r="O1977" s="9">
        <f t="shared" si="30"/>
        <v>0.14185383158752607</v>
      </c>
      <c r="P1977" s="6" t="s">
        <v>22</v>
      </c>
    </row>
    <row r="1978" spans="1:16" x14ac:dyDescent="0.25">
      <c r="A1978" s="2" t="s">
        <v>4025</v>
      </c>
      <c r="B1978" s="2" t="s">
        <v>4026</v>
      </c>
      <c r="C1978" s="2" t="s">
        <v>32</v>
      </c>
      <c r="D1978" s="3" t="s">
        <v>33</v>
      </c>
      <c r="E1978" s="3" t="s">
        <v>34</v>
      </c>
      <c r="F1978" s="2" t="s">
        <v>40</v>
      </c>
      <c r="G1978" s="4">
        <v>123070</v>
      </c>
      <c r="H1978" s="4">
        <v>78364</v>
      </c>
      <c r="I1978" s="4">
        <v>65059</v>
      </c>
      <c r="J1978" s="4">
        <v>3737</v>
      </c>
      <c r="K1978" s="4">
        <v>429</v>
      </c>
      <c r="L1978" s="4">
        <v>302</v>
      </c>
      <c r="M1978" s="4">
        <v>33</v>
      </c>
      <c r="N1978" s="4">
        <v>853</v>
      </c>
      <c r="O1978" s="5">
        <f t="shared" si="30"/>
        <v>6.9183356645506386E-2</v>
      </c>
      <c r="P1978" s="2" t="s">
        <v>22</v>
      </c>
    </row>
    <row r="1979" spans="1:16" x14ac:dyDescent="0.25">
      <c r="A1979" s="6" t="s">
        <v>4027</v>
      </c>
      <c r="B1979" s="6" t="s">
        <v>4028</v>
      </c>
      <c r="C1979" s="6" t="s">
        <v>18</v>
      </c>
      <c r="D1979" s="7" t="s">
        <v>231</v>
      </c>
      <c r="E1979" s="7" t="s">
        <v>20</v>
      </c>
      <c r="F1979" s="6" t="s">
        <v>58</v>
      </c>
      <c r="G1979" s="8">
        <v>471409</v>
      </c>
      <c r="H1979" s="8">
        <v>137456</v>
      </c>
      <c r="I1979" s="8">
        <v>124841</v>
      </c>
      <c r="J1979" s="8">
        <v>7104</v>
      </c>
      <c r="K1979" s="8">
        <v>437</v>
      </c>
      <c r="L1979" s="8">
        <v>457</v>
      </c>
      <c r="M1979" s="8">
        <v>1699</v>
      </c>
      <c r="N1979" s="8">
        <v>4445</v>
      </c>
      <c r="O1979" s="9">
        <f t="shared" si="30"/>
        <v>7.767480234858741E-2</v>
      </c>
      <c r="P1979" s="6" t="s">
        <v>29</v>
      </c>
    </row>
    <row r="1980" spans="1:16" x14ac:dyDescent="0.25">
      <c r="A1980" s="2" t="s">
        <v>4029</v>
      </c>
      <c r="B1980" s="2" t="s">
        <v>4030</v>
      </c>
      <c r="C1980" s="2" t="s">
        <v>32</v>
      </c>
      <c r="D1980" s="3" t="s">
        <v>175</v>
      </c>
      <c r="E1980" s="3" t="s">
        <v>20</v>
      </c>
      <c r="F1980" s="2" t="s">
        <v>35</v>
      </c>
      <c r="G1980" s="4">
        <v>32901</v>
      </c>
      <c r="H1980" s="4">
        <v>18773</v>
      </c>
      <c r="I1980" s="4">
        <v>14521</v>
      </c>
      <c r="J1980" s="4">
        <v>1227</v>
      </c>
      <c r="K1980" s="4">
        <v>47</v>
      </c>
      <c r="L1980" s="4">
        <v>38</v>
      </c>
      <c r="M1980" s="4">
        <v>44</v>
      </c>
      <c r="N1980" s="4">
        <v>398</v>
      </c>
      <c r="O1980" s="5">
        <f t="shared" si="30"/>
        <v>9.3381998484952822E-2</v>
      </c>
      <c r="P1980" s="2" t="s">
        <v>66</v>
      </c>
    </row>
    <row r="1981" spans="1:16" x14ac:dyDescent="0.25">
      <c r="A1981" s="6" t="s">
        <v>4031</v>
      </c>
      <c r="B1981" s="6" t="s">
        <v>4032</v>
      </c>
      <c r="C1981" s="6" t="s">
        <v>32</v>
      </c>
      <c r="D1981" s="7" t="s">
        <v>175</v>
      </c>
      <c r="E1981" s="7" t="s">
        <v>20</v>
      </c>
      <c r="F1981" s="6" t="s">
        <v>128</v>
      </c>
      <c r="G1981" s="8">
        <v>136063</v>
      </c>
      <c r="H1981" s="8">
        <v>46694</v>
      </c>
      <c r="I1981" s="8">
        <v>38831</v>
      </c>
      <c r="J1981" s="8">
        <v>2581</v>
      </c>
      <c r="K1981" s="8">
        <v>451</v>
      </c>
      <c r="L1981" s="8">
        <v>373</v>
      </c>
      <c r="M1981" s="8">
        <v>6</v>
      </c>
      <c r="N1981" s="8">
        <v>1213</v>
      </c>
      <c r="O1981" s="9">
        <f t="shared" si="30"/>
        <v>8.7842187942623162E-2</v>
      </c>
      <c r="P1981" s="6" t="s">
        <v>66</v>
      </c>
    </row>
    <row r="1982" spans="1:16" x14ac:dyDescent="0.25">
      <c r="A1982" s="2" t="s">
        <v>4033</v>
      </c>
      <c r="B1982" s="2" t="s">
        <v>4034</v>
      </c>
      <c r="C1982" s="2" t="s">
        <v>43</v>
      </c>
      <c r="D1982" s="3" t="s">
        <v>69</v>
      </c>
      <c r="E1982" s="3" t="s">
        <v>34</v>
      </c>
      <c r="F1982" s="2" t="s">
        <v>46</v>
      </c>
      <c r="G1982" s="4">
        <v>729607</v>
      </c>
      <c r="H1982" s="4">
        <v>465599</v>
      </c>
      <c r="I1982" s="4">
        <v>385204</v>
      </c>
      <c r="J1982" s="4">
        <v>30501</v>
      </c>
      <c r="K1982" s="4">
        <v>3788</v>
      </c>
      <c r="L1982" s="4">
        <v>3599</v>
      </c>
      <c r="M1982" s="4">
        <v>41</v>
      </c>
      <c r="N1982" s="4">
        <v>7403</v>
      </c>
      <c r="O1982" s="5">
        <f t="shared" si="30"/>
        <v>9.8464709608415288E-2</v>
      </c>
      <c r="P1982" s="2" t="s">
        <v>66</v>
      </c>
    </row>
    <row r="1983" spans="1:16" x14ac:dyDescent="0.25">
      <c r="A1983" s="6" t="s">
        <v>4035</v>
      </c>
      <c r="B1983" s="6" t="s">
        <v>4036</v>
      </c>
      <c r="C1983" s="6" t="s">
        <v>32</v>
      </c>
      <c r="D1983" s="7" t="s">
        <v>175</v>
      </c>
      <c r="E1983" s="7" t="s">
        <v>39</v>
      </c>
      <c r="F1983" s="6" t="s">
        <v>51</v>
      </c>
      <c r="G1983" s="8">
        <v>800835</v>
      </c>
      <c r="H1983" s="8">
        <v>358716</v>
      </c>
      <c r="I1983" s="8">
        <v>292999</v>
      </c>
      <c r="J1983" s="8">
        <v>12961</v>
      </c>
      <c r="K1983" s="8">
        <v>2272</v>
      </c>
      <c r="L1983" s="8">
        <v>1616</v>
      </c>
      <c r="M1983" s="8">
        <v>14</v>
      </c>
      <c r="N1983" s="8">
        <v>4530</v>
      </c>
      <c r="O1983" s="9">
        <f t="shared" si="30"/>
        <v>5.755309745084454E-2</v>
      </c>
      <c r="P1983" s="6" t="s">
        <v>29</v>
      </c>
    </row>
    <row r="1984" spans="1:16" x14ac:dyDescent="0.25">
      <c r="A1984" s="2" t="s">
        <v>4037</v>
      </c>
      <c r="B1984" s="2" t="s">
        <v>4038</v>
      </c>
      <c r="C1984" s="2" t="s">
        <v>18</v>
      </c>
      <c r="D1984" s="3" t="s">
        <v>231</v>
      </c>
      <c r="E1984" s="3" t="s">
        <v>45</v>
      </c>
      <c r="F1984" s="2" t="s">
        <v>73</v>
      </c>
      <c r="G1984" s="4">
        <v>10090</v>
      </c>
      <c r="H1984" s="4">
        <v>5854</v>
      </c>
      <c r="I1984" s="4">
        <v>4264</v>
      </c>
      <c r="J1984" s="4">
        <v>181</v>
      </c>
      <c r="K1984" s="4">
        <v>6</v>
      </c>
      <c r="L1984" s="4">
        <v>3</v>
      </c>
      <c r="M1984" s="4">
        <v>13</v>
      </c>
      <c r="N1984" s="4">
        <v>108</v>
      </c>
      <c r="O1984" s="5">
        <f t="shared" si="30"/>
        <v>4.7607879924953099E-2</v>
      </c>
      <c r="P1984" s="2" t="s">
        <v>29</v>
      </c>
    </row>
    <row r="1985" spans="1:16" x14ac:dyDescent="0.25">
      <c r="A1985" s="6" t="s">
        <v>4039</v>
      </c>
      <c r="B1985" s="6" t="s">
        <v>4040</v>
      </c>
      <c r="C1985" s="6" t="s">
        <v>32</v>
      </c>
      <c r="D1985" s="7" t="s">
        <v>38</v>
      </c>
      <c r="E1985" s="7" t="s">
        <v>20</v>
      </c>
      <c r="F1985" s="6" t="s">
        <v>128</v>
      </c>
      <c r="G1985" s="8">
        <v>451314</v>
      </c>
      <c r="H1985" s="8">
        <v>169683</v>
      </c>
      <c r="I1985" s="8">
        <v>142078</v>
      </c>
      <c r="J1985" s="8">
        <v>11829</v>
      </c>
      <c r="K1985" s="8">
        <v>2037</v>
      </c>
      <c r="L1985" s="8">
        <v>1764</v>
      </c>
      <c r="M1985" s="8">
        <v>2</v>
      </c>
      <c r="N1985" s="8">
        <v>3652</v>
      </c>
      <c r="O1985" s="9">
        <f t="shared" si="30"/>
        <v>0.11002407128478722</v>
      </c>
      <c r="P1985" s="6" t="s">
        <v>29</v>
      </c>
    </row>
    <row r="1986" spans="1:16" x14ac:dyDescent="0.25">
      <c r="A1986" s="2" t="s">
        <v>4041</v>
      </c>
      <c r="B1986" s="2" t="s">
        <v>4042</v>
      </c>
      <c r="C1986" s="2" t="s">
        <v>25</v>
      </c>
      <c r="D1986" s="3" t="s">
        <v>145</v>
      </c>
      <c r="E1986" s="3" t="s">
        <v>20</v>
      </c>
      <c r="F1986" s="2" t="s">
        <v>146</v>
      </c>
      <c r="G1986" s="4">
        <v>658506</v>
      </c>
      <c r="H1986" s="4">
        <v>2843758</v>
      </c>
      <c r="I1986" s="4">
        <v>2263224</v>
      </c>
      <c r="J1986" s="4">
        <v>201009</v>
      </c>
      <c r="K1986" s="4">
        <v>30900</v>
      </c>
      <c r="L1986" s="4">
        <v>8057</v>
      </c>
      <c r="M1986" s="4">
        <v>34947</v>
      </c>
      <c r="N1986" s="4">
        <v>80868</v>
      </c>
      <c r="O1986" s="5">
        <f t="shared" ref="O1986:O2049" si="31">IF(I1986&gt;0, (J1986+K1986+L1986+M1986)/I1986, 0)</f>
        <v>0.12146963800313182</v>
      </c>
      <c r="P1986" s="2" t="s">
        <v>22</v>
      </c>
    </row>
    <row r="1987" spans="1:16" x14ac:dyDescent="0.25">
      <c r="A1987" s="6" t="s">
        <v>4043</v>
      </c>
      <c r="B1987" s="6" t="s">
        <v>4044</v>
      </c>
      <c r="C1987" s="6" t="s">
        <v>76</v>
      </c>
      <c r="D1987" s="7" t="s">
        <v>86</v>
      </c>
      <c r="E1987" s="7" t="s">
        <v>27</v>
      </c>
      <c r="F1987" s="6" t="s">
        <v>104</v>
      </c>
      <c r="G1987" s="8">
        <v>402109</v>
      </c>
      <c r="H1987" s="8">
        <v>37057</v>
      </c>
      <c r="I1987" s="8">
        <v>32645</v>
      </c>
      <c r="J1987" s="8">
        <v>1108</v>
      </c>
      <c r="K1987" s="8">
        <v>74</v>
      </c>
      <c r="L1987" s="8">
        <v>144</v>
      </c>
      <c r="M1987" s="8">
        <v>143</v>
      </c>
      <c r="N1987" s="8">
        <v>479</v>
      </c>
      <c r="O1987" s="9">
        <f t="shared" si="31"/>
        <v>4.4999234185939652E-2</v>
      </c>
      <c r="P1987" s="6" t="s">
        <v>22</v>
      </c>
    </row>
    <row r="1988" spans="1:16" x14ac:dyDescent="0.25">
      <c r="A1988" s="2" t="s">
        <v>4045</v>
      </c>
      <c r="B1988" s="2" t="s">
        <v>4046</v>
      </c>
      <c r="C1988" s="2" t="s">
        <v>43</v>
      </c>
      <c r="D1988" s="3" t="s">
        <v>81</v>
      </c>
      <c r="E1988" s="3" t="s">
        <v>50</v>
      </c>
      <c r="F1988" s="2" t="s">
        <v>46</v>
      </c>
      <c r="G1988" s="4">
        <v>846702</v>
      </c>
      <c r="H1988" s="4">
        <v>96751</v>
      </c>
      <c r="I1988" s="4">
        <v>82255</v>
      </c>
      <c r="J1988" s="4">
        <v>3145</v>
      </c>
      <c r="K1988" s="4">
        <v>171</v>
      </c>
      <c r="L1988" s="4">
        <v>110</v>
      </c>
      <c r="M1988" s="4">
        <v>40</v>
      </c>
      <c r="N1988" s="4">
        <v>2252</v>
      </c>
      <c r="O1988" s="5">
        <f t="shared" si="31"/>
        <v>4.2137256093854478E-2</v>
      </c>
      <c r="P1988" s="2" t="s">
        <v>22</v>
      </c>
    </row>
    <row r="1989" spans="1:16" x14ac:dyDescent="0.25">
      <c r="A1989" s="6" t="s">
        <v>4047</v>
      </c>
      <c r="B1989" s="6" t="s">
        <v>4048</v>
      </c>
      <c r="C1989" s="6" t="s">
        <v>18</v>
      </c>
      <c r="D1989" s="7" t="s">
        <v>19</v>
      </c>
      <c r="E1989" s="7" t="s">
        <v>20</v>
      </c>
      <c r="F1989" s="6" t="s">
        <v>21</v>
      </c>
      <c r="G1989" s="8">
        <v>699070</v>
      </c>
      <c r="H1989" s="8">
        <v>111723</v>
      </c>
      <c r="I1989" s="8">
        <v>96838</v>
      </c>
      <c r="J1989" s="8">
        <v>6879</v>
      </c>
      <c r="K1989" s="8">
        <v>603</v>
      </c>
      <c r="L1989" s="8">
        <v>600</v>
      </c>
      <c r="M1989" s="8">
        <v>1455</v>
      </c>
      <c r="N1989" s="8">
        <v>744</v>
      </c>
      <c r="O1989" s="9">
        <f t="shared" si="31"/>
        <v>9.8484066172370349E-2</v>
      </c>
      <c r="P1989" s="6" t="s">
        <v>22</v>
      </c>
    </row>
    <row r="1990" spans="1:16" x14ac:dyDescent="0.25">
      <c r="A1990" s="2" t="s">
        <v>4049</v>
      </c>
      <c r="B1990" s="2" t="s">
        <v>4050</v>
      </c>
      <c r="C1990" s="2" t="s">
        <v>25</v>
      </c>
      <c r="D1990" s="3" t="s">
        <v>145</v>
      </c>
      <c r="E1990" s="3" t="s">
        <v>50</v>
      </c>
      <c r="F1990" s="2" t="s">
        <v>28</v>
      </c>
      <c r="G1990" s="4">
        <v>558965</v>
      </c>
      <c r="H1990" s="4">
        <v>187546</v>
      </c>
      <c r="I1990" s="4">
        <v>146091</v>
      </c>
      <c r="J1990" s="4">
        <v>12263</v>
      </c>
      <c r="K1990" s="4">
        <v>1260</v>
      </c>
      <c r="L1990" s="4">
        <v>957</v>
      </c>
      <c r="M1990" s="4">
        <v>1114</v>
      </c>
      <c r="N1990" s="4">
        <v>5502</v>
      </c>
      <c r="O1990" s="5">
        <f t="shared" si="31"/>
        <v>0.10674168839969608</v>
      </c>
      <c r="P1990" s="2" t="s">
        <v>66</v>
      </c>
    </row>
    <row r="1991" spans="1:16" x14ac:dyDescent="0.25">
      <c r="A1991" s="6" t="s">
        <v>4051</v>
      </c>
      <c r="B1991" s="6" t="s">
        <v>4052</v>
      </c>
      <c r="C1991" s="6" t="s">
        <v>18</v>
      </c>
      <c r="D1991" s="7" t="s">
        <v>231</v>
      </c>
      <c r="E1991" s="7" t="s">
        <v>20</v>
      </c>
      <c r="F1991" s="6" t="s">
        <v>73</v>
      </c>
      <c r="G1991" s="8">
        <v>112577</v>
      </c>
      <c r="H1991" s="8">
        <v>14437</v>
      </c>
      <c r="I1991" s="8">
        <v>11649</v>
      </c>
      <c r="J1991" s="8">
        <v>1033</v>
      </c>
      <c r="K1991" s="8">
        <v>60</v>
      </c>
      <c r="L1991" s="8">
        <v>89</v>
      </c>
      <c r="M1991" s="8">
        <v>80</v>
      </c>
      <c r="N1991" s="8">
        <v>475</v>
      </c>
      <c r="O1991" s="9">
        <f t="shared" si="31"/>
        <v>0.1083354794402953</v>
      </c>
      <c r="P1991" s="6" t="s">
        <v>29</v>
      </c>
    </row>
    <row r="1992" spans="1:16" x14ac:dyDescent="0.25">
      <c r="A1992" s="2" t="s">
        <v>4053</v>
      </c>
      <c r="B1992" s="2" t="s">
        <v>4054</v>
      </c>
      <c r="C1992" s="2" t="s">
        <v>43</v>
      </c>
      <c r="D1992" s="3" t="s">
        <v>110</v>
      </c>
      <c r="E1992" s="3" t="s">
        <v>20</v>
      </c>
      <c r="F1992" s="2" t="s">
        <v>46</v>
      </c>
      <c r="G1992" s="4">
        <v>385366</v>
      </c>
      <c r="H1992" s="4">
        <v>181418</v>
      </c>
      <c r="I1992" s="4">
        <v>148060</v>
      </c>
      <c r="J1992" s="4">
        <v>9353</v>
      </c>
      <c r="K1992" s="4">
        <v>1296</v>
      </c>
      <c r="L1992" s="4">
        <v>596</v>
      </c>
      <c r="M1992" s="4">
        <v>21</v>
      </c>
      <c r="N1992" s="4">
        <v>4127</v>
      </c>
      <c r="O1992" s="5">
        <f t="shared" si="31"/>
        <v>7.6090774010536266E-2</v>
      </c>
      <c r="P1992" s="2" t="s">
        <v>22</v>
      </c>
    </row>
    <row r="1993" spans="1:16" x14ac:dyDescent="0.25">
      <c r="A1993" s="6" t="s">
        <v>4055</v>
      </c>
      <c r="B1993" s="6" t="s">
        <v>4056</v>
      </c>
      <c r="C1993" s="6" t="s">
        <v>43</v>
      </c>
      <c r="D1993" s="7" t="s">
        <v>110</v>
      </c>
      <c r="E1993" s="7" t="s">
        <v>50</v>
      </c>
      <c r="F1993" s="6" t="s">
        <v>46</v>
      </c>
      <c r="G1993" s="8">
        <v>780272</v>
      </c>
      <c r="H1993" s="8">
        <v>234844</v>
      </c>
      <c r="I1993" s="8">
        <v>205682</v>
      </c>
      <c r="J1993" s="8">
        <v>4906</v>
      </c>
      <c r="K1993" s="8">
        <v>668</v>
      </c>
      <c r="L1993" s="8">
        <v>285</v>
      </c>
      <c r="M1993" s="8">
        <v>35</v>
      </c>
      <c r="N1993" s="8">
        <v>3159</v>
      </c>
      <c r="O1993" s="9">
        <f t="shared" si="31"/>
        <v>2.8655886271039762E-2</v>
      </c>
      <c r="P1993" s="6" t="s">
        <v>29</v>
      </c>
    </row>
    <row r="1994" spans="1:16" x14ac:dyDescent="0.25">
      <c r="A1994" s="2" t="s">
        <v>4057</v>
      </c>
      <c r="B1994" s="2" t="s">
        <v>4058</v>
      </c>
      <c r="C1994" s="2" t="s">
        <v>76</v>
      </c>
      <c r="D1994" s="3" t="s">
        <v>189</v>
      </c>
      <c r="E1994" s="3" t="s">
        <v>27</v>
      </c>
      <c r="F1994" s="2" t="s">
        <v>155</v>
      </c>
      <c r="G1994" s="4">
        <v>688695</v>
      </c>
      <c r="H1994" s="4">
        <v>214953</v>
      </c>
      <c r="I1994" s="4">
        <v>152409</v>
      </c>
      <c r="J1994" s="4">
        <v>16131</v>
      </c>
      <c r="K1994" s="4">
        <v>548</v>
      </c>
      <c r="L1994" s="4">
        <v>2278</v>
      </c>
      <c r="M1994" s="4">
        <v>2138</v>
      </c>
      <c r="N1994" s="4">
        <v>7073</v>
      </c>
      <c r="O1994" s="5">
        <f t="shared" si="31"/>
        <v>0.13841046132446247</v>
      </c>
      <c r="P1994" s="2" t="s">
        <v>22</v>
      </c>
    </row>
    <row r="1995" spans="1:16" x14ac:dyDescent="0.25">
      <c r="A1995" s="6" t="s">
        <v>4059</v>
      </c>
      <c r="B1995" s="6" t="s">
        <v>4060</v>
      </c>
      <c r="C1995" s="6" t="s">
        <v>25</v>
      </c>
      <c r="D1995" s="7" t="s">
        <v>244</v>
      </c>
      <c r="E1995" s="7" t="s">
        <v>50</v>
      </c>
      <c r="F1995" s="6" t="s">
        <v>54</v>
      </c>
      <c r="G1995" s="8">
        <v>67514</v>
      </c>
      <c r="H1995" s="8">
        <v>32793</v>
      </c>
      <c r="I1995" s="8">
        <v>24055</v>
      </c>
      <c r="J1995" s="8">
        <v>1518</v>
      </c>
      <c r="K1995" s="8">
        <v>120</v>
      </c>
      <c r="L1995" s="8">
        <v>118</v>
      </c>
      <c r="M1995" s="8">
        <v>329</v>
      </c>
      <c r="N1995" s="8">
        <v>781</v>
      </c>
      <c r="O1995" s="9">
        <f t="shared" si="31"/>
        <v>8.6676366659738102E-2</v>
      </c>
      <c r="P1995" s="6" t="s">
        <v>66</v>
      </c>
    </row>
    <row r="1996" spans="1:16" x14ac:dyDescent="0.25">
      <c r="A1996" s="2" t="s">
        <v>4061</v>
      </c>
      <c r="B1996" s="2" t="s">
        <v>4062</v>
      </c>
      <c r="C1996" s="2" t="s">
        <v>25</v>
      </c>
      <c r="D1996" s="3" t="s">
        <v>244</v>
      </c>
      <c r="E1996" s="3" t="s">
        <v>50</v>
      </c>
      <c r="F1996" s="2" t="s">
        <v>54</v>
      </c>
      <c r="G1996" s="4">
        <v>134820</v>
      </c>
      <c r="H1996" s="4">
        <v>45165</v>
      </c>
      <c r="I1996" s="4">
        <v>38935</v>
      </c>
      <c r="J1996" s="4">
        <v>3104</v>
      </c>
      <c r="K1996" s="4">
        <v>208</v>
      </c>
      <c r="L1996" s="4">
        <v>302</v>
      </c>
      <c r="M1996" s="4">
        <v>537</v>
      </c>
      <c r="N1996" s="4">
        <v>248</v>
      </c>
      <c r="O1996" s="5">
        <f t="shared" si="31"/>
        <v>0.10661358674714268</v>
      </c>
      <c r="P1996" s="2" t="s">
        <v>22</v>
      </c>
    </row>
    <row r="1997" spans="1:16" x14ac:dyDescent="0.25">
      <c r="A1997" s="6" t="s">
        <v>4063</v>
      </c>
      <c r="B1997" s="6" t="s">
        <v>4064</v>
      </c>
      <c r="C1997" s="6" t="s">
        <v>43</v>
      </c>
      <c r="D1997" s="7" t="s">
        <v>110</v>
      </c>
      <c r="E1997" s="7" t="s">
        <v>27</v>
      </c>
      <c r="F1997" s="6" t="s">
        <v>46</v>
      </c>
      <c r="G1997" s="8">
        <v>599339</v>
      </c>
      <c r="H1997" s="8">
        <v>190081</v>
      </c>
      <c r="I1997" s="8">
        <v>171613</v>
      </c>
      <c r="J1997" s="8">
        <v>13443</v>
      </c>
      <c r="K1997" s="8">
        <v>616</v>
      </c>
      <c r="L1997" s="8">
        <v>1013</v>
      </c>
      <c r="M1997" s="8">
        <v>12</v>
      </c>
      <c r="N1997" s="8">
        <v>4815</v>
      </c>
      <c r="O1997" s="9">
        <f t="shared" si="31"/>
        <v>8.7895439156707236E-2</v>
      </c>
      <c r="P1997" s="6" t="s">
        <v>22</v>
      </c>
    </row>
    <row r="1998" spans="1:16" x14ac:dyDescent="0.25">
      <c r="A1998" s="2" t="s">
        <v>4065</v>
      </c>
      <c r="B1998" s="2" t="s">
        <v>4066</v>
      </c>
      <c r="C1998" s="2" t="s">
        <v>76</v>
      </c>
      <c r="D1998" s="3" t="s">
        <v>86</v>
      </c>
      <c r="E1998" s="3" t="s">
        <v>50</v>
      </c>
      <c r="F1998" s="2" t="s">
        <v>78</v>
      </c>
      <c r="G1998" s="4">
        <v>617094</v>
      </c>
      <c r="H1998" s="4">
        <v>366512</v>
      </c>
      <c r="I1998" s="4">
        <v>319171</v>
      </c>
      <c r="J1998" s="4">
        <v>16806</v>
      </c>
      <c r="K1998" s="4">
        <v>1168</v>
      </c>
      <c r="L1998" s="4">
        <v>1940</v>
      </c>
      <c r="M1998" s="4">
        <v>910</v>
      </c>
      <c r="N1998" s="4">
        <v>5143</v>
      </c>
      <c r="O1998" s="5">
        <f t="shared" si="31"/>
        <v>6.5244022796557333E-2</v>
      </c>
      <c r="P1998" s="2" t="s">
        <v>29</v>
      </c>
    </row>
    <row r="1999" spans="1:16" x14ac:dyDescent="0.25">
      <c r="A1999" s="6" t="s">
        <v>4067</v>
      </c>
      <c r="B1999" s="6" t="s">
        <v>4068</v>
      </c>
      <c r="C1999" s="6" t="s">
        <v>32</v>
      </c>
      <c r="D1999" s="7" t="s">
        <v>121</v>
      </c>
      <c r="E1999" s="7" t="s">
        <v>50</v>
      </c>
      <c r="F1999" s="6" t="s">
        <v>51</v>
      </c>
      <c r="G1999" s="8">
        <v>846886</v>
      </c>
      <c r="H1999" s="8">
        <v>204374</v>
      </c>
      <c r="I1999" s="8">
        <v>185705</v>
      </c>
      <c r="J1999" s="8">
        <v>12590</v>
      </c>
      <c r="K1999" s="8">
        <v>759</v>
      </c>
      <c r="L1999" s="8">
        <v>420</v>
      </c>
      <c r="M1999" s="8">
        <v>40</v>
      </c>
      <c r="N1999" s="8">
        <v>6044</v>
      </c>
      <c r="O1999" s="9">
        <f t="shared" si="31"/>
        <v>7.4359871839745836E-2</v>
      </c>
      <c r="P1999" s="6" t="s">
        <v>22</v>
      </c>
    </row>
    <row r="2000" spans="1:16" x14ac:dyDescent="0.25">
      <c r="A2000" s="2" t="s">
        <v>4069</v>
      </c>
      <c r="B2000" s="2" t="s">
        <v>4070</v>
      </c>
      <c r="C2000" s="2" t="s">
        <v>25</v>
      </c>
      <c r="D2000" s="3" t="s">
        <v>244</v>
      </c>
      <c r="E2000" s="3" t="s">
        <v>50</v>
      </c>
      <c r="F2000" s="2" t="s">
        <v>28</v>
      </c>
      <c r="G2000" s="4">
        <v>655224</v>
      </c>
      <c r="H2000" s="4">
        <v>383965</v>
      </c>
      <c r="I2000" s="4">
        <v>346796</v>
      </c>
      <c r="J2000" s="4">
        <v>26142</v>
      </c>
      <c r="K2000" s="4">
        <v>4541</v>
      </c>
      <c r="L2000" s="4">
        <v>1963</v>
      </c>
      <c r="M2000" s="4">
        <v>4225</v>
      </c>
      <c r="N2000" s="4">
        <v>13091</v>
      </c>
      <c r="O2000" s="5">
        <f t="shared" si="31"/>
        <v>0.1063189886849906</v>
      </c>
      <c r="P2000" s="2" t="s">
        <v>22</v>
      </c>
    </row>
    <row r="2001" spans="1:16" x14ac:dyDescent="0.25">
      <c r="A2001" s="6" t="s">
        <v>4071</v>
      </c>
      <c r="B2001" s="6" t="s">
        <v>4072</v>
      </c>
      <c r="C2001" s="6" t="s">
        <v>32</v>
      </c>
      <c r="D2001" s="7" t="s">
        <v>121</v>
      </c>
      <c r="E2001" s="7" t="s">
        <v>27</v>
      </c>
      <c r="F2001" s="6" t="s">
        <v>128</v>
      </c>
      <c r="G2001" s="8">
        <v>590217</v>
      </c>
      <c r="H2001" s="8">
        <v>253364</v>
      </c>
      <c r="I2001" s="8">
        <v>177788</v>
      </c>
      <c r="J2001" s="8">
        <v>20094</v>
      </c>
      <c r="K2001" s="8">
        <v>2844</v>
      </c>
      <c r="L2001" s="8">
        <v>641</v>
      </c>
      <c r="M2001" s="8">
        <v>32</v>
      </c>
      <c r="N2001" s="8">
        <v>4439</v>
      </c>
      <c r="O2001" s="9">
        <f t="shared" si="31"/>
        <v>0.13280423875627151</v>
      </c>
      <c r="P2001" s="6" t="s">
        <v>29</v>
      </c>
    </row>
    <row r="2002" spans="1:16" x14ac:dyDescent="0.25">
      <c r="A2002" s="2" t="s">
        <v>4073</v>
      </c>
      <c r="B2002" s="2" t="s">
        <v>4074</v>
      </c>
      <c r="C2002" s="2" t="s">
        <v>76</v>
      </c>
      <c r="D2002" s="3" t="s">
        <v>103</v>
      </c>
      <c r="E2002" s="3" t="s">
        <v>50</v>
      </c>
      <c r="F2002" s="2" t="s">
        <v>104</v>
      </c>
      <c r="G2002" s="4">
        <v>588816</v>
      </c>
      <c r="H2002" s="4">
        <v>100360</v>
      </c>
      <c r="I2002" s="4">
        <v>86109</v>
      </c>
      <c r="J2002" s="4">
        <v>4757</v>
      </c>
      <c r="K2002" s="4">
        <v>307</v>
      </c>
      <c r="L2002" s="4">
        <v>336</v>
      </c>
      <c r="M2002" s="4">
        <v>602</v>
      </c>
      <c r="N2002" s="4">
        <v>640</v>
      </c>
      <c r="O2002" s="5">
        <f t="shared" si="31"/>
        <v>6.9702353993194674E-2</v>
      </c>
      <c r="P2002" s="2" t="s">
        <v>66</v>
      </c>
    </row>
    <row r="2003" spans="1:16" x14ac:dyDescent="0.25">
      <c r="A2003" s="6" t="s">
        <v>4075</v>
      </c>
      <c r="B2003" s="6" t="s">
        <v>4076</v>
      </c>
      <c r="C2003" s="6" t="s">
        <v>32</v>
      </c>
      <c r="D2003" s="7" t="s">
        <v>175</v>
      </c>
      <c r="E2003" s="7" t="s">
        <v>27</v>
      </c>
      <c r="F2003" s="6" t="s">
        <v>40</v>
      </c>
      <c r="G2003" s="8">
        <v>680121</v>
      </c>
      <c r="H2003" s="8">
        <v>434138</v>
      </c>
      <c r="I2003" s="8">
        <v>339097</v>
      </c>
      <c r="J2003" s="8">
        <v>29262</v>
      </c>
      <c r="K2003" s="8">
        <v>3300</v>
      </c>
      <c r="L2003" s="8">
        <v>2857</v>
      </c>
      <c r="M2003" s="8">
        <v>5</v>
      </c>
      <c r="N2003" s="8">
        <v>3577</v>
      </c>
      <c r="O2003" s="9">
        <f t="shared" si="31"/>
        <v>0.10446568386037033</v>
      </c>
      <c r="P2003" s="6" t="s">
        <v>29</v>
      </c>
    </row>
    <row r="2004" spans="1:16" x14ac:dyDescent="0.25">
      <c r="A2004" s="2" t="s">
        <v>4077</v>
      </c>
      <c r="B2004" s="2" t="s">
        <v>4078</v>
      </c>
      <c r="C2004" s="2" t="s">
        <v>18</v>
      </c>
      <c r="D2004" s="3" t="s">
        <v>226</v>
      </c>
      <c r="E2004" s="3" t="s">
        <v>34</v>
      </c>
      <c r="F2004" s="2" t="s">
        <v>73</v>
      </c>
      <c r="G2004" s="4">
        <v>745062</v>
      </c>
      <c r="H2004" s="4">
        <v>347484</v>
      </c>
      <c r="I2004" s="4">
        <v>297333</v>
      </c>
      <c r="J2004" s="4">
        <v>26556</v>
      </c>
      <c r="K2004" s="4">
        <v>2523</v>
      </c>
      <c r="L2004" s="4">
        <v>2256</v>
      </c>
      <c r="M2004" s="4">
        <v>1553</v>
      </c>
      <c r="N2004" s="4">
        <v>11220</v>
      </c>
      <c r="O2004" s="5">
        <f t="shared" si="31"/>
        <v>0.11060998947308237</v>
      </c>
      <c r="P2004" s="2" t="s">
        <v>29</v>
      </c>
    </row>
    <row r="2005" spans="1:16" x14ac:dyDescent="0.25">
      <c r="A2005" s="6" t="s">
        <v>4079</v>
      </c>
      <c r="B2005" s="6" t="s">
        <v>4080</v>
      </c>
      <c r="C2005" s="6" t="s">
        <v>32</v>
      </c>
      <c r="D2005" s="7" t="s">
        <v>33</v>
      </c>
      <c r="E2005" s="7" t="s">
        <v>20</v>
      </c>
      <c r="F2005" s="6" t="s">
        <v>128</v>
      </c>
      <c r="G2005" s="8">
        <v>589280</v>
      </c>
      <c r="H2005" s="8">
        <v>118100</v>
      </c>
      <c r="I2005" s="8">
        <v>90031</v>
      </c>
      <c r="J2005" s="8">
        <v>9016</v>
      </c>
      <c r="K2005" s="8">
        <v>973</v>
      </c>
      <c r="L2005" s="8">
        <v>1062</v>
      </c>
      <c r="M2005" s="8">
        <v>26</v>
      </c>
      <c r="N2005" s="8">
        <v>3328</v>
      </c>
      <c r="O2005" s="9">
        <f t="shared" si="31"/>
        <v>0.12303539891815042</v>
      </c>
      <c r="P2005" s="6" t="s">
        <v>22</v>
      </c>
    </row>
    <row r="2006" spans="1:16" x14ac:dyDescent="0.25">
      <c r="A2006" s="2" t="s">
        <v>4081</v>
      </c>
      <c r="B2006" s="2" t="s">
        <v>4082</v>
      </c>
      <c r="C2006" s="2" t="s">
        <v>25</v>
      </c>
      <c r="D2006" s="3" t="s">
        <v>145</v>
      </c>
      <c r="E2006" s="3" t="s">
        <v>27</v>
      </c>
      <c r="F2006" s="2" t="s">
        <v>146</v>
      </c>
      <c r="G2006" s="4">
        <v>316000</v>
      </c>
      <c r="H2006" s="4">
        <v>41978</v>
      </c>
      <c r="I2006" s="4">
        <v>31105</v>
      </c>
      <c r="J2006" s="4">
        <v>2768</v>
      </c>
      <c r="K2006" s="4">
        <v>263</v>
      </c>
      <c r="L2006" s="4">
        <v>228</v>
      </c>
      <c r="M2006" s="4">
        <v>220</v>
      </c>
      <c r="N2006" s="4">
        <v>1237</v>
      </c>
      <c r="O2006" s="5">
        <f t="shared" si="31"/>
        <v>0.11184696994052404</v>
      </c>
      <c r="P2006" s="2" t="s">
        <v>22</v>
      </c>
    </row>
    <row r="2007" spans="1:16" x14ac:dyDescent="0.25">
      <c r="A2007" s="6" t="s">
        <v>4083</v>
      </c>
      <c r="B2007" s="6" t="s">
        <v>4084</v>
      </c>
      <c r="C2007" s="6" t="s">
        <v>43</v>
      </c>
      <c r="D2007" s="7" t="s">
        <v>44</v>
      </c>
      <c r="E2007" s="7" t="s">
        <v>45</v>
      </c>
      <c r="F2007" s="6" t="s">
        <v>70</v>
      </c>
      <c r="G2007" s="8">
        <v>801122</v>
      </c>
      <c r="H2007" s="8">
        <v>438730</v>
      </c>
      <c r="I2007" s="8">
        <v>330239</v>
      </c>
      <c r="J2007" s="8">
        <v>24407</v>
      </c>
      <c r="K2007" s="8">
        <v>3116</v>
      </c>
      <c r="L2007" s="8">
        <v>2132</v>
      </c>
      <c r="M2007" s="8">
        <v>43</v>
      </c>
      <c r="N2007" s="8">
        <v>11315</v>
      </c>
      <c r="O2007" s="9">
        <f t="shared" si="31"/>
        <v>8.9928809135202084E-2</v>
      </c>
      <c r="P2007" s="6" t="s">
        <v>22</v>
      </c>
    </row>
    <row r="2008" spans="1:16" x14ac:dyDescent="0.25">
      <c r="A2008" s="2" t="s">
        <v>4085</v>
      </c>
      <c r="B2008" s="2" t="s">
        <v>4086</v>
      </c>
      <c r="C2008" s="2" t="s">
        <v>43</v>
      </c>
      <c r="D2008" s="3" t="s">
        <v>44</v>
      </c>
      <c r="E2008" s="3" t="s">
        <v>50</v>
      </c>
      <c r="F2008" s="2" t="s">
        <v>46</v>
      </c>
      <c r="G2008" s="4">
        <v>554548</v>
      </c>
      <c r="H2008" s="4">
        <v>72278</v>
      </c>
      <c r="I2008" s="4">
        <v>56700</v>
      </c>
      <c r="J2008" s="4">
        <v>4090</v>
      </c>
      <c r="K2008" s="4">
        <v>725</v>
      </c>
      <c r="L2008" s="4">
        <v>384</v>
      </c>
      <c r="M2008" s="4">
        <v>45</v>
      </c>
      <c r="N2008" s="4">
        <v>1087</v>
      </c>
      <c r="O2008" s="5">
        <f t="shared" si="31"/>
        <v>9.2486772486772492E-2</v>
      </c>
      <c r="P2008" s="2" t="s">
        <v>22</v>
      </c>
    </row>
    <row r="2009" spans="1:16" x14ac:dyDescent="0.25">
      <c r="A2009" s="6" t="s">
        <v>4087</v>
      </c>
      <c r="B2009" s="6" t="s">
        <v>4088</v>
      </c>
      <c r="C2009" s="6" t="s">
        <v>32</v>
      </c>
      <c r="D2009" s="7" t="s">
        <v>38</v>
      </c>
      <c r="E2009" s="7" t="s">
        <v>45</v>
      </c>
      <c r="F2009" s="6" t="s">
        <v>51</v>
      </c>
      <c r="G2009" s="8">
        <v>208004</v>
      </c>
      <c r="H2009" s="8">
        <v>17854</v>
      </c>
      <c r="I2009" s="8">
        <v>14959</v>
      </c>
      <c r="J2009" s="8">
        <v>1205</v>
      </c>
      <c r="K2009" s="8">
        <v>141</v>
      </c>
      <c r="L2009" s="8">
        <v>25</v>
      </c>
      <c r="M2009" s="8">
        <v>35</v>
      </c>
      <c r="N2009" s="8">
        <v>592</v>
      </c>
      <c r="O2009" s="9">
        <f t="shared" si="31"/>
        <v>9.39902399893041E-2</v>
      </c>
      <c r="P2009" s="6" t="s">
        <v>29</v>
      </c>
    </row>
    <row r="2010" spans="1:16" x14ac:dyDescent="0.25">
      <c r="A2010" s="2" t="s">
        <v>4089</v>
      </c>
      <c r="B2010" s="2" t="s">
        <v>4090</v>
      </c>
      <c r="C2010" s="2" t="s">
        <v>32</v>
      </c>
      <c r="D2010" s="3" t="s">
        <v>33</v>
      </c>
      <c r="E2010" s="3" t="s">
        <v>34</v>
      </c>
      <c r="F2010" s="2" t="s">
        <v>128</v>
      </c>
      <c r="G2010" s="4">
        <v>695910</v>
      </c>
      <c r="H2010" s="4">
        <v>127890</v>
      </c>
      <c r="I2010" s="4">
        <v>105744</v>
      </c>
      <c r="J2010" s="4">
        <v>8624</v>
      </c>
      <c r="K2010" s="4">
        <v>573</v>
      </c>
      <c r="L2010" s="4">
        <v>1038</v>
      </c>
      <c r="M2010" s="4">
        <v>40</v>
      </c>
      <c r="N2010" s="4">
        <v>4379</v>
      </c>
      <c r="O2010" s="5">
        <f t="shared" si="31"/>
        <v>9.7168633681343625E-2</v>
      </c>
      <c r="P2010" s="2" t="s">
        <v>29</v>
      </c>
    </row>
    <row r="2011" spans="1:16" x14ac:dyDescent="0.25">
      <c r="A2011" s="6" t="s">
        <v>4091</v>
      </c>
      <c r="B2011" s="6" t="s">
        <v>4092</v>
      </c>
      <c r="C2011" s="6" t="s">
        <v>25</v>
      </c>
      <c r="D2011" s="7" t="s">
        <v>64</v>
      </c>
      <c r="E2011" s="7" t="s">
        <v>34</v>
      </c>
      <c r="F2011" s="6" t="s">
        <v>146</v>
      </c>
      <c r="G2011" s="8">
        <v>492929</v>
      </c>
      <c r="H2011" s="8">
        <v>175977</v>
      </c>
      <c r="I2011" s="8">
        <v>153131</v>
      </c>
      <c r="J2011" s="8">
        <v>4081</v>
      </c>
      <c r="K2011" s="8">
        <v>359</v>
      </c>
      <c r="L2011" s="8">
        <v>459</v>
      </c>
      <c r="M2011" s="8">
        <v>370</v>
      </c>
      <c r="N2011" s="8">
        <v>3063</v>
      </c>
      <c r="O2011" s="9">
        <f t="shared" si="31"/>
        <v>3.4408447668989296E-2</v>
      </c>
      <c r="P2011" s="6" t="s">
        <v>66</v>
      </c>
    </row>
    <row r="2012" spans="1:16" x14ac:dyDescent="0.25">
      <c r="A2012" s="2" t="s">
        <v>4093</v>
      </c>
      <c r="B2012" s="2" t="s">
        <v>4094</v>
      </c>
      <c r="C2012" s="2" t="s">
        <v>43</v>
      </c>
      <c r="D2012" s="3" t="s">
        <v>44</v>
      </c>
      <c r="E2012" s="3" t="s">
        <v>34</v>
      </c>
      <c r="F2012" s="2" t="s">
        <v>46</v>
      </c>
      <c r="G2012" s="4">
        <v>827963</v>
      </c>
      <c r="H2012" s="4">
        <v>341906</v>
      </c>
      <c r="I2012" s="4">
        <v>299515</v>
      </c>
      <c r="J2012" s="4">
        <v>25085</v>
      </c>
      <c r="K2012" s="4">
        <v>3295</v>
      </c>
      <c r="L2012" s="4">
        <v>1967</v>
      </c>
      <c r="M2012" s="4">
        <v>25</v>
      </c>
      <c r="N2012" s="4">
        <v>8394</v>
      </c>
      <c r="O2012" s="5">
        <f t="shared" si="31"/>
        <v>0.10140393636378812</v>
      </c>
      <c r="P2012" s="2" t="s">
        <v>29</v>
      </c>
    </row>
    <row r="2013" spans="1:16" x14ac:dyDescent="0.25">
      <c r="A2013" s="6" t="s">
        <v>4095</v>
      </c>
      <c r="B2013" s="6" t="s">
        <v>4096</v>
      </c>
      <c r="C2013" s="6" t="s">
        <v>32</v>
      </c>
      <c r="D2013" s="7" t="s">
        <v>33</v>
      </c>
      <c r="E2013" s="7" t="s">
        <v>39</v>
      </c>
      <c r="F2013" s="6" t="s">
        <v>128</v>
      </c>
      <c r="G2013" s="8">
        <v>59240</v>
      </c>
      <c r="H2013" s="8">
        <v>16129</v>
      </c>
      <c r="I2013" s="8">
        <v>11757</v>
      </c>
      <c r="J2013" s="8">
        <v>705</v>
      </c>
      <c r="K2013" s="8">
        <v>100</v>
      </c>
      <c r="L2013" s="8">
        <v>73</v>
      </c>
      <c r="M2013" s="8">
        <v>16</v>
      </c>
      <c r="N2013" s="8">
        <v>389</v>
      </c>
      <c r="O2013" s="9">
        <f t="shared" si="31"/>
        <v>7.6039806072977806E-2</v>
      </c>
      <c r="P2013" s="6" t="s">
        <v>66</v>
      </c>
    </row>
    <row r="2014" spans="1:16" x14ac:dyDescent="0.25">
      <c r="A2014" s="2" t="s">
        <v>4097</v>
      </c>
      <c r="B2014" s="2" t="s">
        <v>4098</v>
      </c>
      <c r="C2014" s="2" t="s">
        <v>25</v>
      </c>
      <c r="D2014" s="3" t="s">
        <v>64</v>
      </c>
      <c r="E2014" s="3" t="s">
        <v>39</v>
      </c>
      <c r="F2014" s="2" t="s">
        <v>54</v>
      </c>
      <c r="G2014" s="4">
        <v>388003</v>
      </c>
      <c r="H2014" s="4">
        <v>87516</v>
      </c>
      <c r="I2014" s="4">
        <v>68098</v>
      </c>
      <c r="J2014" s="4">
        <v>6385</v>
      </c>
      <c r="K2014" s="4">
        <v>957</v>
      </c>
      <c r="L2014" s="4">
        <v>275</v>
      </c>
      <c r="M2014" s="4">
        <v>397</v>
      </c>
      <c r="N2014" s="4">
        <v>833</v>
      </c>
      <c r="O2014" s="5">
        <f t="shared" si="31"/>
        <v>0.11768333871773033</v>
      </c>
      <c r="P2014" s="2" t="s">
        <v>66</v>
      </c>
    </row>
    <row r="2015" spans="1:16" x14ac:dyDescent="0.25">
      <c r="A2015" s="6" t="s">
        <v>4099</v>
      </c>
      <c r="B2015" s="6" t="s">
        <v>4100</v>
      </c>
      <c r="C2015" s="6" t="s">
        <v>32</v>
      </c>
      <c r="D2015" s="7" t="s">
        <v>175</v>
      </c>
      <c r="E2015" s="7" t="s">
        <v>50</v>
      </c>
      <c r="F2015" s="6" t="s">
        <v>51</v>
      </c>
      <c r="G2015" s="8">
        <v>55672</v>
      </c>
      <c r="H2015" s="8">
        <v>7081</v>
      </c>
      <c r="I2015" s="8">
        <v>5101</v>
      </c>
      <c r="J2015" s="8">
        <v>554</v>
      </c>
      <c r="K2015" s="8">
        <v>45</v>
      </c>
      <c r="L2015" s="8">
        <v>79</v>
      </c>
      <c r="M2015" s="8">
        <v>1</v>
      </c>
      <c r="N2015" s="8">
        <v>206</v>
      </c>
      <c r="O2015" s="9">
        <f t="shared" si="31"/>
        <v>0.13311115467555382</v>
      </c>
      <c r="P2015" s="6" t="s">
        <v>22</v>
      </c>
    </row>
    <row r="2016" spans="1:16" x14ac:dyDescent="0.25">
      <c r="A2016" s="2" t="s">
        <v>4101</v>
      </c>
      <c r="B2016" s="2" t="s">
        <v>4102</v>
      </c>
      <c r="C2016" s="2" t="s">
        <v>18</v>
      </c>
      <c r="D2016" s="3" t="s">
        <v>92</v>
      </c>
      <c r="E2016" s="3" t="s">
        <v>50</v>
      </c>
      <c r="F2016" s="2" t="s">
        <v>21</v>
      </c>
      <c r="G2016" s="4">
        <v>572320</v>
      </c>
      <c r="H2016" s="4">
        <v>131618</v>
      </c>
      <c r="I2016" s="4">
        <v>118553</v>
      </c>
      <c r="J2016" s="4">
        <v>9210</v>
      </c>
      <c r="K2016" s="4">
        <v>1256</v>
      </c>
      <c r="L2016" s="4">
        <v>783</v>
      </c>
      <c r="M2016" s="4">
        <v>2171</v>
      </c>
      <c r="N2016" s="4">
        <v>4207</v>
      </c>
      <c r="O2016" s="5">
        <f t="shared" si="31"/>
        <v>0.1131983163648326</v>
      </c>
      <c r="P2016" s="2" t="s">
        <v>22</v>
      </c>
    </row>
    <row r="2017" spans="1:16" x14ac:dyDescent="0.25">
      <c r="A2017" s="6" t="s">
        <v>4103</v>
      </c>
      <c r="B2017" s="6" t="s">
        <v>4104</v>
      </c>
      <c r="C2017" s="6" t="s">
        <v>43</v>
      </c>
      <c r="D2017" s="7" t="s">
        <v>81</v>
      </c>
      <c r="E2017" s="7" t="s">
        <v>50</v>
      </c>
      <c r="F2017" s="6" t="s">
        <v>70</v>
      </c>
      <c r="G2017" s="8">
        <v>219772</v>
      </c>
      <c r="H2017" s="8">
        <v>29581</v>
      </c>
      <c r="I2017" s="8">
        <v>20970</v>
      </c>
      <c r="J2017" s="8">
        <v>2334</v>
      </c>
      <c r="K2017" s="8">
        <v>350</v>
      </c>
      <c r="L2017" s="8">
        <v>233</v>
      </c>
      <c r="M2017" s="8">
        <v>4</v>
      </c>
      <c r="N2017" s="8">
        <v>801</v>
      </c>
      <c r="O2017" s="9">
        <f t="shared" si="31"/>
        <v>0.13929422985216977</v>
      </c>
      <c r="P2017" s="6" t="s">
        <v>22</v>
      </c>
    </row>
    <row r="2018" spans="1:16" x14ac:dyDescent="0.25">
      <c r="A2018" s="2" t="s">
        <v>4105</v>
      </c>
      <c r="B2018" s="2" t="s">
        <v>4106</v>
      </c>
      <c r="C2018" s="2" t="s">
        <v>43</v>
      </c>
      <c r="D2018" s="3" t="s">
        <v>81</v>
      </c>
      <c r="E2018" s="3" t="s">
        <v>27</v>
      </c>
      <c r="F2018" s="2" t="s">
        <v>46</v>
      </c>
      <c r="G2018" s="4">
        <v>369052</v>
      </c>
      <c r="H2018" s="4">
        <v>205930</v>
      </c>
      <c r="I2018" s="4">
        <v>181910</v>
      </c>
      <c r="J2018" s="4">
        <v>7769</v>
      </c>
      <c r="K2018" s="4">
        <v>1202</v>
      </c>
      <c r="L2018" s="4">
        <v>565</v>
      </c>
      <c r="M2018" s="4">
        <v>39</v>
      </c>
      <c r="N2018" s="4">
        <v>4727</v>
      </c>
      <c r="O2018" s="5">
        <f t="shared" si="31"/>
        <v>5.2635918860975205E-2</v>
      </c>
      <c r="P2018" s="2" t="s">
        <v>22</v>
      </c>
    </row>
    <row r="2019" spans="1:16" x14ac:dyDescent="0.25">
      <c r="A2019" s="6" t="s">
        <v>4107</v>
      </c>
      <c r="B2019" s="6" t="s">
        <v>4108</v>
      </c>
      <c r="C2019" s="6" t="s">
        <v>25</v>
      </c>
      <c r="D2019" s="7" t="s">
        <v>244</v>
      </c>
      <c r="E2019" s="7" t="s">
        <v>27</v>
      </c>
      <c r="F2019" s="6" t="s">
        <v>65</v>
      </c>
      <c r="G2019" s="8">
        <v>102830</v>
      </c>
      <c r="H2019" s="8">
        <v>55220</v>
      </c>
      <c r="I2019" s="8">
        <v>42499</v>
      </c>
      <c r="J2019" s="8">
        <v>4351</v>
      </c>
      <c r="K2019" s="8">
        <v>666</v>
      </c>
      <c r="L2019" s="8">
        <v>112</v>
      </c>
      <c r="M2019" s="8">
        <v>1037</v>
      </c>
      <c r="N2019" s="8">
        <v>286</v>
      </c>
      <c r="O2019" s="9">
        <f t="shared" si="31"/>
        <v>0.14508576672392293</v>
      </c>
      <c r="P2019" s="6" t="s">
        <v>22</v>
      </c>
    </row>
    <row r="2020" spans="1:16" x14ac:dyDescent="0.25">
      <c r="A2020" s="2" t="s">
        <v>4109</v>
      </c>
      <c r="B2020" s="2" t="s">
        <v>4110</v>
      </c>
      <c r="C2020" s="2" t="s">
        <v>76</v>
      </c>
      <c r="D2020" s="3" t="s">
        <v>86</v>
      </c>
      <c r="E2020" s="3" t="s">
        <v>34</v>
      </c>
      <c r="F2020" s="2" t="s">
        <v>104</v>
      </c>
      <c r="G2020" s="4">
        <v>83041</v>
      </c>
      <c r="H2020" s="4">
        <v>405262</v>
      </c>
      <c r="I2020" s="4">
        <v>293377</v>
      </c>
      <c r="J2020" s="4">
        <v>21473</v>
      </c>
      <c r="K2020" s="4">
        <v>2112</v>
      </c>
      <c r="L2020" s="4">
        <v>1376</v>
      </c>
      <c r="M2020" s="4">
        <v>5092</v>
      </c>
      <c r="N2020" s="4">
        <v>12033</v>
      </c>
      <c r="O2020" s="5">
        <f t="shared" si="31"/>
        <v>0.10243815977394274</v>
      </c>
      <c r="P2020" s="2" t="s">
        <v>22</v>
      </c>
    </row>
    <row r="2021" spans="1:16" x14ac:dyDescent="0.25">
      <c r="A2021" s="6" t="s">
        <v>4111</v>
      </c>
      <c r="B2021" s="6" t="s">
        <v>4112</v>
      </c>
      <c r="C2021" s="6" t="s">
        <v>76</v>
      </c>
      <c r="D2021" s="7" t="s">
        <v>103</v>
      </c>
      <c r="E2021" s="7" t="s">
        <v>20</v>
      </c>
      <c r="F2021" s="6" t="s">
        <v>87</v>
      </c>
      <c r="G2021" s="8">
        <v>641700</v>
      </c>
      <c r="H2021" s="8">
        <v>154484</v>
      </c>
      <c r="I2021" s="8">
        <v>111095</v>
      </c>
      <c r="J2021" s="8">
        <v>6924</v>
      </c>
      <c r="K2021" s="8">
        <v>634</v>
      </c>
      <c r="L2021" s="8">
        <v>496</v>
      </c>
      <c r="M2021" s="8">
        <v>406</v>
      </c>
      <c r="N2021" s="8">
        <v>1799</v>
      </c>
      <c r="O2021" s="9">
        <f t="shared" si="31"/>
        <v>7.6151041901075661E-2</v>
      </c>
      <c r="P2021" s="6" t="s">
        <v>22</v>
      </c>
    </row>
    <row r="2022" spans="1:16" x14ac:dyDescent="0.25">
      <c r="A2022" s="2" t="s">
        <v>4113</v>
      </c>
      <c r="B2022" s="2" t="s">
        <v>4114</v>
      </c>
      <c r="C2022" s="2" t="s">
        <v>76</v>
      </c>
      <c r="D2022" s="3" t="s">
        <v>182</v>
      </c>
      <c r="E2022" s="3" t="s">
        <v>20</v>
      </c>
      <c r="F2022" s="2" t="s">
        <v>78</v>
      </c>
      <c r="G2022" s="4">
        <v>478227</v>
      </c>
      <c r="H2022" s="4">
        <v>130494</v>
      </c>
      <c r="I2022" s="4">
        <v>104462</v>
      </c>
      <c r="J2022" s="4">
        <v>3696</v>
      </c>
      <c r="K2022" s="4">
        <v>140</v>
      </c>
      <c r="L2022" s="4">
        <v>190</v>
      </c>
      <c r="M2022" s="4">
        <v>649</v>
      </c>
      <c r="N2022" s="4">
        <v>2504</v>
      </c>
      <c r="O2022" s="5">
        <f t="shared" si="31"/>
        <v>4.4753115965614293E-2</v>
      </c>
      <c r="P2022" s="2" t="s">
        <v>22</v>
      </c>
    </row>
    <row r="2023" spans="1:16" x14ac:dyDescent="0.25">
      <c r="A2023" s="6" t="s">
        <v>4115</v>
      </c>
      <c r="B2023" s="6" t="s">
        <v>4116</v>
      </c>
      <c r="C2023" s="6" t="s">
        <v>76</v>
      </c>
      <c r="D2023" s="7" t="s">
        <v>77</v>
      </c>
      <c r="E2023" s="7" t="s">
        <v>50</v>
      </c>
      <c r="F2023" s="6" t="s">
        <v>104</v>
      </c>
      <c r="G2023" s="8">
        <v>579069</v>
      </c>
      <c r="H2023" s="8">
        <v>187022</v>
      </c>
      <c r="I2023" s="8">
        <v>144049</v>
      </c>
      <c r="J2023" s="8">
        <v>14478</v>
      </c>
      <c r="K2023" s="8">
        <v>2112</v>
      </c>
      <c r="L2023" s="8">
        <v>2118</v>
      </c>
      <c r="M2023" s="8">
        <v>964</v>
      </c>
      <c r="N2023" s="8">
        <v>3866</v>
      </c>
      <c r="O2023" s="9">
        <f t="shared" si="31"/>
        <v>0.13656464119848108</v>
      </c>
      <c r="P2023" s="6" t="s">
        <v>29</v>
      </c>
    </row>
    <row r="2024" spans="1:16" x14ac:dyDescent="0.25">
      <c r="A2024" s="2" t="s">
        <v>4117</v>
      </c>
      <c r="B2024" s="2" t="s">
        <v>4118</v>
      </c>
      <c r="C2024" s="2" t="s">
        <v>25</v>
      </c>
      <c r="D2024" s="3" t="s">
        <v>64</v>
      </c>
      <c r="E2024" s="3" t="s">
        <v>50</v>
      </c>
      <c r="F2024" s="2" t="s">
        <v>146</v>
      </c>
      <c r="G2024" s="4">
        <v>604749</v>
      </c>
      <c r="H2024" s="4">
        <v>310440</v>
      </c>
      <c r="I2024" s="4">
        <v>218448</v>
      </c>
      <c r="J2024" s="4">
        <v>22321</v>
      </c>
      <c r="K2024" s="4">
        <v>1582</v>
      </c>
      <c r="L2024" s="4">
        <v>1264</v>
      </c>
      <c r="M2024" s="4">
        <v>3717</v>
      </c>
      <c r="N2024" s="4">
        <v>4529</v>
      </c>
      <c r="O2024" s="5">
        <f t="shared" si="31"/>
        <v>0.13222368710173588</v>
      </c>
      <c r="P2024" s="2" t="s">
        <v>22</v>
      </c>
    </row>
    <row r="2025" spans="1:16" x14ac:dyDescent="0.25">
      <c r="A2025" s="6" t="s">
        <v>4119</v>
      </c>
      <c r="B2025" s="6" t="s">
        <v>4120</v>
      </c>
      <c r="C2025" s="6" t="s">
        <v>76</v>
      </c>
      <c r="D2025" s="7" t="s">
        <v>182</v>
      </c>
      <c r="E2025" s="7" t="s">
        <v>27</v>
      </c>
      <c r="F2025" s="6" t="s">
        <v>78</v>
      </c>
      <c r="G2025" s="8">
        <v>199994</v>
      </c>
      <c r="H2025" s="8">
        <v>28342</v>
      </c>
      <c r="I2025" s="8">
        <v>21256</v>
      </c>
      <c r="J2025" s="8">
        <v>818</v>
      </c>
      <c r="K2025" s="8">
        <v>46</v>
      </c>
      <c r="L2025" s="8">
        <v>89</v>
      </c>
      <c r="M2025" s="8">
        <v>108</v>
      </c>
      <c r="N2025" s="8">
        <v>590</v>
      </c>
      <c r="O2025" s="9">
        <f t="shared" si="31"/>
        <v>4.9915318027850958E-2</v>
      </c>
      <c r="P2025" s="6" t="s">
        <v>22</v>
      </c>
    </row>
    <row r="2026" spans="1:16" x14ac:dyDescent="0.25">
      <c r="A2026" s="2" t="s">
        <v>4121</v>
      </c>
      <c r="B2026" s="2" t="s">
        <v>4122</v>
      </c>
      <c r="C2026" s="2" t="s">
        <v>43</v>
      </c>
      <c r="D2026" s="3" t="s">
        <v>81</v>
      </c>
      <c r="E2026" s="3" t="s">
        <v>20</v>
      </c>
      <c r="F2026" s="2" t="s">
        <v>107</v>
      </c>
      <c r="G2026" s="4">
        <v>38698</v>
      </c>
      <c r="H2026" s="4">
        <v>21981</v>
      </c>
      <c r="I2026" s="4">
        <v>19767</v>
      </c>
      <c r="J2026" s="4">
        <v>865</v>
      </c>
      <c r="K2026" s="4">
        <v>65</v>
      </c>
      <c r="L2026" s="4">
        <v>74</v>
      </c>
      <c r="M2026" s="4">
        <v>49</v>
      </c>
      <c r="N2026" s="4">
        <v>318</v>
      </c>
      <c r="O2026" s="5">
        <f t="shared" si="31"/>
        <v>5.3270602519350431E-2</v>
      </c>
      <c r="P2026" s="2" t="s">
        <v>22</v>
      </c>
    </row>
    <row r="2027" spans="1:16" x14ac:dyDescent="0.25">
      <c r="A2027" s="6" t="s">
        <v>4123</v>
      </c>
      <c r="B2027" s="6" t="s">
        <v>4124</v>
      </c>
      <c r="C2027" s="6" t="s">
        <v>18</v>
      </c>
      <c r="D2027" s="7" t="s">
        <v>19</v>
      </c>
      <c r="E2027" s="7" t="s">
        <v>20</v>
      </c>
      <c r="F2027" s="6" t="s">
        <v>58</v>
      </c>
      <c r="G2027" s="8">
        <v>215447</v>
      </c>
      <c r="H2027" s="8">
        <v>18035</v>
      </c>
      <c r="I2027" s="8">
        <v>15436</v>
      </c>
      <c r="J2027" s="8">
        <v>759</v>
      </c>
      <c r="K2027" s="8">
        <v>57</v>
      </c>
      <c r="L2027" s="8">
        <v>61</v>
      </c>
      <c r="M2027" s="8">
        <v>170</v>
      </c>
      <c r="N2027" s="8">
        <v>91</v>
      </c>
      <c r="O2027" s="9">
        <f t="shared" si="31"/>
        <v>6.7828452967089919E-2</v>
      </c>
      <c r="P2027" s="6" t="s">
        <v>29</v>
      </c>
    </row>
    <row r="2028" spans="1:16" x14ac:dyDescent="0.25">
      <c r="A2028" s="2" t="s">
        <v>4125</v>
      </c>
      <c r="B2028" s="2" t="s">
        <v>4126</v>
      </c>
      <c r="C2028" s="2" t="s">
        <v>18</v>
      </c>
      <c r="D2028" s="3" t="s">
        <v>19</v>
      </c>
      <c r="E2028" s="3" t="s">
        <v>39</v>
      </c>
      <c r="F2028" s="2" t="s">
        <v>58</v>
      </c>
      <c r="G2028" s="4">
        <v>37108</v>
      </c>
      <c r="H2028" s="4">
        <v>6072</v>
      </c>
      <c r="I2028" s="4">
        <v>4868</v>
      </c>
      <c r="J2028" s="4">
        <v>423</v>
      </c>
      <c r="K2028" s="4">
        <v>60</v>
      </c>
      <c r="L2028" s="4">
        <v>32</v>
      </c>
      <c r="M2028" s="4">
        <v>30</v>
      </c>
      <c r="N2028" s="4">
        <v>63</v>
      </c>
      <c r="O2028" s="5">
        <f t="shared" si="31"/>
        <v>0.1119556285949055</v>
      </c>
      <c r="P2028" s="2" t="s">
        <v>29</v>
      </c>
    </row>
    <row r="2029" spans="1:16" x14ac:dyDescent="0.25">
      <c r="A2029" s="6" t="s">
        <v>4127</v>
      </c>
      <c r="B2029" s="6" t="s">
        <v>4128</v>
      </c>
      <c r="C2029" s="6" t="s">
        <v>25</v>
      </c>
      <c r="D2029" s="7" t="s">
        <v>64</v>
      </c>
      <c r="E2029" s="7" t="s">
        <v>45</v>
      </c>
      <c r="F2029" s="6" t="s">
        <v>65</v>
      </c>
      <c r="G2029" s="8">
        <v>99529</v>
      </c>
      <c r="H2029" s="8">
        <v>55649</v>
      </c>
      <c r="I2029" s="8">
        <v>43534</v>
      </c>
      <c r="J2029" s="8">
        <v>2879</v>
      </c>
      <c r="K2029" s="8">
        <v>282</v>
      </c>
      <c r="L2029" s="8">
        <v>284</v>
      </c>
      <c r="M2029" s="8">
        <v>359</v>
      </c>
      <c r="N2029" s="8">
        <v>870</v>
      </c>
      <c r="O2029" s="9">
        <f t="shared" si="31"/>
        <v>8.7379978867092381E-2</v>
      </c>
      <c r="P2029" s="6" t="s">
        <v>22</v>
      </c>
    </row>
    <row r="2030" spans="1:16" x14ac:dyDescent="0.25">
      <c r="A2030" s="2" t="s">
        <v>4129</v>
      </c>
      <c r="B2030" s="2" t="s">
        <v>4130</v>
      </c>
      <c r="C2030" s="2" t="s">
        <v>43</v>
      </c>
      <c r="D2030" s="3" t="s">
        <v>44</v>
      </c>
      <c r="E2030" s="3" t="s">
        <v>34</v>
      </c>
      <c r="F2030" s="2" t="s">
        <v>107</v>
      </c>
      <c r="G2030" s="4">
        <v>75050</v>
      </c>
      <c r="H2030" s="4">
        <v>35334</v>
      </c>
      <c r="I2030" s="4">
        <v>27556</v>
      </c>
      <c r="J2030" s="4">
        <v>2456</v>
      </c>
      <c r="K2030" s="4">
        <v>104</v>
      </c>
      <c r="L2030" s="4">
        <v>169</v>
      </c>
      <c r="M2030" s="4">
        <v>49</v>
      </c>
      <c r="N2030" s="4">
        <v>757</v>
      </c>
      <c r="O2030" s="5">
        <f t="shared" si="31"/>
        <v>0.10081289011467556</v>
      </c>
      <c r="P2030" s="2" t="s">
        <v>22</v>
      </c>
    </row>
    <row r="2031" spans="1:16" x14ac:dyDescent="0.25">
      <c r="A2031" s="6" t="s">
        <v>4131</v>
      </c>
      <c r="B2031" s="6" t="s">
        <v>4132</v>
      </c>
      <c r="C2031" s="6" t="s">
        <v>25</v>
      </c>
      <c r="D2031" s="7" t="s">
        <v>26</v>
      </c>
      <c r="E2031" s="7" t="s">
        <v>50</v>
      </c>
      <c r="F2031" s="6" t="s">
        <v>65</v>
      </c>
      <c r="G2031" s="8">
        <v>31786</v>
      </c>
      <c r="H2031" s="8">
        <v>15468</v>
      </c>
      <c r="I2031" s="8">
        <v>13286</v>
      </c>
      <c r="J2031" s="8">
        <v>349</v>
      </c>
      <c r="K2031" s="8">
        <v>28</v>
      </c>
      <c r="L2031" s="8">
        <v>39</v>
      </c>
      <c r="M2031" s="8">
        <v>61</v>
      </c>
      <c r="N2031" s="8">
        <v>508</v>
      </c>
      <c r="O2031" s="9">
        <f t="shared" si="31"/>
        <v>3.5902453710672889E-2</v>
      </c>
      <c r="P2031" s="6" t="s">
        <v>29</v>
      </c>
    </row>
    <row r="2032" spans="1:16" x14ac:dyDescent="0.25">
      <c r="A2032" s="2" t="s">
        <v>4133</v>
      </c>
      <c r="B2032" s="2" t="s">
        <v>4134</v>
      </c>
      <c r="C2032" s="2" t="s">
        <v>43</v>
      </c>
      <c r="D2032" s="3" t="s">
        <v>44</v>
      </c>
      <c r="E2032" s="3" t="s">
        <v>50</v>
      </c>
      <c r="F2032" s="2" t="s">
        <v>46</v>
      </c>
      <c r="G2032" s="4">
        <v>24996</v>
      </c>
      <c r="H2032" s="4">
        <v>14145</v>
      </c>
      <c r="I2032" s="4">
        <v>12593</v>
      </c>
      <c r="J2032" s="4">
        <v>288</v>
      </c>
      <c r="K2032" s="4">
        <v>19</v>
      </c>
      <c r="L2032" s="4">
        <v>12</v>
      </c>
      <c r="M2032" s="4">
        <v>0</v>
      </c>
      <c r="N2032" s="4">
        <v>269</v>
      </c>
      <c r="O2032" s="5">
        <f t="shared" si="31"/>
        <v>2.5331533391566744E-2</v>
      </c>
      <c r="P2032" s="2" t="s">
        <v>66</v>
      </c>
    </row>
    <row r="2033" spans="1:16" x14ac:dyDescent="0.25">
      <c r="A2033" s="6" t="s">
        <v>4135</v>
      </c>
      <c r="B2033" s="6" t="s">
        <v>4136</v>
      </c>
      <c r="C2033" s="6" t="s">
        <v>25</v>
      </c>
      <c r="D2033" s="7" t="s">
        <v>26</v>
      </c>
      <c r="E2033" s="7" t="s">
        <v>34</v>
      </c>
      <c r="F2033" s="6" t="s">
        <v>146</v>
      </c>
      <c r="G2033" s="8">
        <v>433118</v>
      </c>
      <c r="H2033" s="8">
        <v>900459</v>
      </c>
      <c r="I2033" s="8">
        <v>755437</v>
      </c>
      <c r="J2033" s="8">
        <v>38703</v>
      </c>
      <c r="K2033" s="8">
        <v>5454</v>
      </c>
      <c r="L2033" s="8">
        <v>5601</v>
      </c>
      <c r="M2033" s="8">
        <v>2873</v>
      </c>
      <c r="N2033" s="8">
        <v>16283</v>
      </c>
      <c r="O2033" s="9">
        <f t="shared" si="31"/>
        <v>6.9669608451796775E-2</v>
      </c>
      <c r="P2033" s="6" t="s">
        <v>29</v>
      </c>
    </row>
    <row r="2034" spans="1:16" x14ac:dyDescent="0.25">
      <c r="A2034" s="2" t="s">
        <v>4137</v>
      </c>
      <c r="B2034" s="2" t="s">
        <v>4138</v>
      </c>
      <c r="C2034" s="2" t="s">
        <v>43</v>
      </c>
      <c r="D2034" s="3" t="s">
        <v>44</v>
      </c>
      <c r="E2034" s="3" t="s">
        <v>39</v>
      </c>
      <c r="F2034" s="2" t="s">
        <v>70</v>
      </c>
      <c r="G2034" s="4">
        <v>618679</v>
      </c>
      <c r="H2034" s="4">
        <v>257403</v>
      </c>
      <c r="I2034" s="4">
        <v>180379</v>
      </c>
      <c r="J2034" s="4">
        <v>13731</v>
      </c>
      <c r="K2034" s="4">
        <v>1758</v>
      </c>
      <c r="L2034" s="4">
        <v>362</v>
      </c>
      <c r="M2034" s="4">
        <v>12</v>
      </c>
      <c r="N2034" s="4">
        <v>8967</v>
      </c>
      <c r="O2034" s="5">
        <f t="shared" si="31"/>
        <v>8.7942609727296409E-2</v>
      </c>
      <c r="P2034" s="2" t="s">
        <v>22</v>
      </c>
    </row>
    <row r="2035" spans="1:16" x14ac:dyDescent="0.25">
      <c r="A2035" s="6" t="s">
        <v>4139</v>
      </c>
      <c r="B2035" s="6" t="s">
        <v>4140</v>
      </c>
      <c r="C2035" s="6" t="s">
        <v>76</v>
      </c>
      <c r="D2035" s="7" t="s">
        <v>103</v>
      </c>
      <c r="E2035" s="7" t="s">
        <v>45</v>
      </c>
      <c r="F2035" s="6" t="s">
        <v>104</v>
      </c>
      <c r="G2035" s="8">
        <v>490024</v>
      </c>
      <c r="H2035" s="8">
        <v>276936</v>
      </c>
      <c r="I2035" s="8">
        <v>196886</v>
      </c>
      <c r="J2035" s="8">
        <v>10150</v>
      </c>
      <c r="K2035" s="8">
        <v>1200</v>
      </c>
      <c r="L2035" s="8">
        <v>379</v>
      </c>
      <c r="M2035" s="8">
        <v>1290</v>
      </c>
      <c r="N2035" s="8">
        <v>2460</v>
      </c>
      <c r="O2035" s="9">
        <f t="shared" si="31"/>
        <v>6.6124559389697593E-2</v>
      </c>
      <c r="P2035" s="6" t="s">
        <v>66</v>
      </c>
    </row>
    <row r="2036" spans="1:16" x14ac:dyDescent="0.25">
      <c r="A2036" s="2" t="s">
        <v>4141</v>
      </c>
      <c r="B2036" s="2" t="s">
        <v>4142</v>
      </c>
      <c r="C2036" s="2" t="s">
        <v>43</v>
      </c>
      <c r="D2036" s="3" t="s">
        <v>69</v>
      </c>
      <c r="E2036" s="3" t="s">
        <v>50</v>
      </c>
      <c r="F2036" s="2" t="s">
        <v>46</v>
      </c>
      <c r="G2036" s="4">
        <v>32039</v>
      </c>
      <c r="H2036" s="4">
        <v>10773</v>
      </c>
      <c r="I2036" s="4">
        <v>8294</v>
      </c>
      <c r="J2036" s="4">
        <v>599</v>
      </c>
      <c r="K2036" s="4">
        <v>53</v>
      </c>
      <c r="L2036" s="4">
        <v>74</v>
      </c>
      <c r="M2036" s="4">
        <v>43</v>
      </c>
      <c r="N2036" s="4">
        <v>90</v>
      </c>
      <c r="O2036" s="5">
        <f t="shared" si="31"/>
        <v>9.2717627200385816E-2</v>
      </c>
      <c r="P2036" s="2" t="s">
        <v>22</v>
      </c>
    </row>
    <row r="2037" spans="1:16" x14ac:dyDescent="0.25">
      <c r="A2037" s="6" t="s">
        <v>4143</v>
      </c>
      <c r="B2037" s="6" t="s">
        <v>4144</v>
      </c>
      <c r="C2037" s="6" t="s">
        <v>76</v>
      </c>
      <c r="D2037" s="7" t="s">
        <v>86</v>
      </c>
      <c r="E2037" s="7" t="s">
        <v>50</v>
      </c>
      <c r="F2037" s="6" t="s">
        <v>104</v>
      </c>
      <c r="G2037" s="8">
        <v>254324</v>
      </c>
      <c r="H2037" s="8">
        <v>126073</v>
      </c>
      <c r="I2037" s="8">
        <v>114149</v>
      </c>
      <c r="J2037" s="8">
        <v>7535</v>
      </c>
      <c r="K2037" s="8">
        <v>1126</v>
      </c>
      <c r="L2037" s="8">
        <v>866</v>
      </c>
      <c r="M2037" s="8">
        <v>1555</v>
      </c>
      <c r="N2037" s="8">
        <v>2936</v>
      </c>
      <c r="O2037" s="9">
        <f t="shared" si="31"/>
        <v>9.7083636299923781E-2</v>
      </c>
      <c r="P2037" s="6" t="s">
        <v>22</v>
      </c>
    </row>
    <row r="2038" spans="1:16" x14ac:dyDescent="0.25">
      <c r="A2038" s="2" t="s">
        <v>4145</v>
      </c>
      <c r="B2038" s="2" t="s">
        <v>4146</v>
      </c>
      <c r="C2038" s="2" t="s">
        <v>32</v>
      </c>
      <c r="D2038" s="3" t="s">
        <v>121</v>
      </c>
      <c r="E2038" s="3" t="s">
        <v>45</v>
      </c>
      <c r="F2038" s="2" t="s">
        <v>40</v>
      </c>
      <c r="G2038" s="4">
        <v>760074</v>
      </c>
      <c r="H2038" s="4">
        <v>337631</v>
      </c>
      <c r="I2038" s="4">
        <v>263312</v>
      </c>
      <c r="J2038" s="4">
        <v>9196</v>
      </c>
      <c r="K2038" s="4">
        <v>456</v>
      </c>
      <c r="L2038" s="4">
        <v>319</v>
      </c>
      <c r="M2038" s="4">
        <v>46</v>
      </c>
      <c r="N2038" s="4">
        <v>6718</v>
      </c>
      <c r="O2038" s="5">
        <f t="shared" si="31"/>
        <v>3.8042322415993195E-2</v>
      </c>
      <c r="P2038" s="2" t="s">
        <v>22</v>
      </c>
    </row>
    <row r="2039" spans="1:16" x14ac:dyDescent="0.25">
      <c r="A2039" s="6" t="s">
        <v>4147</v>
      </c>
      <c r="B2039" s="6" t="s">
        <v>4148</v>
      </c>
      <c r="C2039" s="6" t="s">
        <v>25</v>
      </c>
      <c r="D2039" s="7" t="s">
        <v>244</v>
      </c>
      <c r="E2039" s="7" t="s">
        <v>27</v>
      </c>
      <c r="F2039" s="6" t="s">
        <v>28</v>
      </c>
      <c r="G2039" s="8">
        <v>688903</v>
      </c>
      <c r="H2039" s="8">
        <v>139992</v>
      </c>
      <c r="I2039" s="8">
        <v>109477</v>
      </c>
      <c r="J2039" s="8">
        <v>7876</v>
      </c>
      <c r="K2039" s="8">
        <v>933</v>
      </c>
      <c r="L2039" s="8">
        <v>927</v>
      </c>
      <c r="M2039" s="8">
        <v>673</v>
      </c>
      <c r="N2039" s="8">
        <v>1307</v>
      </c>
      <c r="O2039" s="9">
        <f t="shared" si="31"/>
        <v>9.5079331731779279E-2</v>
      </c>
      <c r="P2039" s="6" t="s">
        <v>22</v>
      </c>
    </row>
    <row r="2040" spans="1:16" x14ac:dyDescent="0.25">
      <c r="A2040" s="2" t="s">
        <v>4149</v>
      </c>
      <c r="B2040" s="2" t="s">
        <v>4150</v>
      </c>
      <c r="C2040" s="2" t="s">
        <v>32</v>
      </c>
      <c r="D2040" s="3" t="s">
        <v>38</v>
      </c>
      <c r="E2040" s="3" t="s">
        <v>39</v>
      </c>
      <c r="F2040" s="2" t="s">
        <v>128</v>
      </c>
      <c r="G2040" s="4">
        <v>158427</v>
      </c>
      <c r="H2040" s="4">
        <v>57004</v>
      </c>
      <c r="I2040" s="4">
        <v>41019</v>
      </c>
      <c r="J2040" s="4">
        <v>2577</v>
      </c>
      <c r="K2040" s="4">
        <v>303</v>
      </c>
      <c r="L2040" s="4">
        <v>114</v>
      </c>
      <c r="M2040" s="4">
        <v>23</v>
      </c>
      <c r="N2040" s="4">
        <v>693</v>
      </c>
      <c r="O2040" s="5">
        <f t="shared" si="31"/>
        <v>7.3551281113630268E-2</v>
      </c>
      <c r="P2040" s="2" t="s">
        <v>22</v>
      </c>
    </row>
    <row r="2041" spans="1:16" x14ac:dyDescent="0.25">
      <c r="A2041" s="6" t="s">
        <v>4151</v>
      </c>
      <c r="B2041" s="6" t="s">
        <v>4152</v>
      </c>
      <c r="C2041" s="6" t="s">
        <v>43</v>
      </c>
      <c r="D2041" s="7" t="s">
        <v>69</v>
      </c>
      <c r="E2041" s="7" t="s">
        <v>27</v>
      </c>
      <c r="F2041" s="6" t="s">
        <v>70</v>
      </c>
      <c r="G2041" s="8">
        <v>44029</v>
      </c>
      <c r="H2041" s="8">
        <v>13393</v>
      </c>
      <c r="I2041" s="8">
        <v>10894</v>
      </c>
      <c r="J2041" s="8">
        <v>860</v>
      </c>
      <c r="K2041" s="8">
        <v>126</v>
      </c>
      <c r="L2041" s="8">
        <v>59</v>
      </c>
      <c r="M2041" s="8">
        <v>15</v>
      </c>
      <c r="N2041" s="8">
        <v>199</v>
      </c>
      <c r="O2041" s="9">
        <f t="shared" si="31"/>
        <v>9.7301266752340743E-2</v>
      </c>
      <c r="P2041" s="6" t="s">
        <v>22</v>
      </c>
    </row>
    <row r="2042" spans="1:16" x14ac:dyDescent="0.25">
      <c r="A2042" s="2" t="s">
        <v>4153</v>
      </c>
      <c r="B2042" s="2" t="s">
        <v>4154</v>
      </c>
      <c r="C2042" s="2" t="s">
        <v>25</v>
      </c>
      <c r="D2042" s="3" t="s">
        <v>61</v>
      </c>
      <c r="E2042" s="3" t="s">
        <v>45</v>
      </c>
      <c r="F2042" s="2" t="s">
        <v>28</v>
      </c>
      <c r="G2042" s="4">
        <v>815725</v>
      </c>
      <c r="H2042" s="4">
        <v>293536</v>
      </c>
      <c r="I2042" s="4">
        <v>238034</v>
      </c>
      <c r="J2042" s="4">
        <v>7873</v>
      </c>
      <c r="K2042" s="4">
        <v>895</v>
      </c>
      <c r="L2042" s="4">
        <v>570</v>
      </c>
      <c r="M2042" s="4">
        <v>1739</v>
      </c>
      <c r="N2042" s="4">
        <v>6656</v>
      </c>
      <c r="O2042" s="5">
        <f t="shared" si="31"/>
        <v>4.6535368896880279E-2</v>
      </c>
      <c r="P2042" s="2" t="s">
        <v>22</v>
      </c>
    </row>
    <row r="2043" spans="1:16" x14ac:dyDescent="0.25">
      <c r="A2043" s="6" t="s">
        <v>4155</v>
      </c>
      <c r="B2043" s="6" t="s">
        <v>4156</v>
      </c>
      <c r="C2043" s="6" t="s">
        <v>43</v>
      </c>
      <c r="D2043" s="7" t="s">
        <v>44</v>
      </c>
      <c r="E2043" s="7" t="s">
        <v>20</v>
      </c>
      <c r="F2043" s="6" t="s">
        <v>70</v>
      </c>
      <c r="G2043" s="8">
        <v>609635</v>
      </c>
      <c r="H2043" s="8">
        <v>201839</v>
      </c>
      <c r="I2043" s="8">
        <v>163963</v>
      </c>
      <c r="J2043" s="8">
        <v>8101</v>
      </c>
      <c r="K2043" s="8">
        <v>1376</v>
      </c>
      <c r="L2043" s="8">
        <v>997</v>
      </c>
      <c r="M2043" s="8">
        <v>36</v>
      </c>
      <c r="N2043" s="8">
        <v>4951</v>
      </c>
      <c r="O2043" s="9">
        <f t="shared" si="31"/>
        <v>6.4099827400084172E-2</v>
      </c>
      <c r="P2043" s="6" t="s">
        <v>29</v>
      </c>
    </row>
    <row r="2044" spans="1:16" x14ac:dyDescent="0.25">
      <c r="A2044" s="2" t="s">
        <v>4157</v>
      </c>
      <c r="B2044" s="2" t="s">
        <v>4158</v>
      </c>
      <c r="C2044" s="2" t="s">
        <v>76</v>
      </c>
      <c r="D2044" s="3" t="s">
        <v>103</v>
      </c>
      <c r="E2044" s="3" t="s">
        <v>50</v>
      </c>
      <c r="F2044" s="2" t="s">
        <v>104</v>
      </c>
      <c r="G2044" s="4">
        <v>728872</v>
      </c>
      <c r="H2044" s="4">
        <v>359420</v>
      </c>
      <c r="I2044" s="4">
        <v>318412</v>
      </c>
      <c r="J2044" s="4">
        <v>8889</v>
      </c>
      <c r="K2044" s="4">
        <v>667</v>
      </c>
      <c r="L2044" s="4">
        <v>263</v>
      </c>
      <c r="M2044" s="4">
        <v>667</v>
      </c>
      <c r="N2044" s="4">
        <v>5045</v>
      </c>
      <c r="O2044" s="5">
        <f t="shared" si="31"/>
        <v>3.2932175923017976E-2</v>
      </c>
      <c r="P2044" s="2" t="s">
        <v>22</v>
      </c>
    </row>
    <row r="2045" spans="1:16" x14ac:dyDescent="0.25">
      <c r="A2045" s="6" t="s">
        <v>4159</v>
      </c>
      <c r="B2045" s="6" t="s">
        <v>4160</v>
      </c>
      <c r="C2045" s="6" t="s">
        <v>43</v>
      </c>
      <c r="D2045" s="7" t="s">
        <v>81</v>
      </c>
      <c r="E2045" s="7" t="s">
        <v>34</v>
      </c>
      <c r="F2045" s="6" t="s">
        <v>107</v>
      </c>
      <c r="G2045" s="8">
        <v>348976</v>
      </c>
      <c r="H2045" s="8">
        <v>34215</v>
      </c>
      <c r="I2045" s="8">
        <v>25009</v>
      </c>
      <c r="J2045" s="8">
        <v>2672</v>
      </c>
      <c r="K2045" s="8">
        <v>143</v>
      </c>
      <c r="L2045" s="8">
        <v>268</v>
      </c>
      <c r="M2045" s="8">
        <v>32</v>
      </c>
      <c r="N2045" s="8">
        <v>206</v>
      </c>
      <c r="O2045" s="9">
        <f t="shared" si="31"/>
        <v>0.12455516014234876</v>
      </c>
      <c r="P2045" s="6" t="s">
        <v>29</v>
      </c>
    </row>
    <row r="2046" spans="1:16" x14ac:dyDescent="0.25">
      <c r="A2046" s="2" t="s">
        <v>4161</v>
      </c>
      <c r="B2046" s="2" t="s">
        <v>4162</v>
      </c>
      <c r="C2046" s="2" t="s">
        <v>18</v>
      </c>
      <c r="D2046" s="3" t="s">
        <v>57</v>
      </c>
      <c r="E2046" s="3" t="s">
        <v>45</v>
      </c>
      <c r="F2046" s="2" t="s">
        <v>58</v>
      </c>
      <c r="G2046" s="4">
        <v>440495</v>
      </c>
      <c r="H2046" s="4">
        <v>188854</v>
      </c>
      <c r="I2046" s="4">
        <v>140485</v>
      </c>
      <c r="J2046" s="4">
        <v>4914</v>
      </c>
      <c r="K2046" s="4">
        <v>542</v>
      </c>
      <c r="L2046" s="4">
        <v>666</v>
      </c>
      <c r="M2046" s="4">
        <v>1023</v>
      </c>
      <c r="N2046" s="4">
        <v>6476</v>
      </c>
      <c r="O2046" s="5">
        <f t="shared" si="31"/>
        <v>5.0859522368936184E-2</v>
      </c>
      <c r="P2046" s="2" t="s">
        <v>29</v>
      </c>
    </row>
    <row r="2047" spans="1:16" x14ac:dyDescent="0.25">
      <c r="A2047" s="6" t="s">
        <v>4163</v>
      </c>
      <c r="B2047" s="6" t="s">
        <v>4164</v>
      </c>
      <c r="C2047" s="6" t="s">
        <v>32</v>
      </c>
      <c r="D2047" s="7" t="s">
        <v>33</v>
      </c>
      <c r="E2047" s="7" t="s">
        <v>50</v>
      </c>
      <c r="F2047" s="6" t="s">
        <v>51</v>
      </c>
      <c r="G2047" s="8">
        <v>814109</v>
      </c>
      <c r="H2047" s="8">
        <v>363608</v>
      </c>
      <c r="I2047" s="8">
        <v>275805</v>
      </c>
      <c r="J2047" s="8">
        <v>9588</v>
      </c>
      <c r="K2047" s="8">
        <v>1417</v>
      </c>
      <c r="L2047" s="8">
        <v>275</v>
      </c>
      <c r="M2047" s="8">
        <v>19</v>
      </c>
      <c r="N2047" s="8">
        <v>3409</v>
      </c>
      <c r="O2047" s="9">
        <f t="shared" si="31"/>
        <v>4.096735012055619E-2</v>
      </c>
      <c r="P2047" s="6" t="s">
        <v>22</v>
      </c>
    </row>
    <row r="2048" spans="1:16" x14ac:dyDescent="0.25">
      <c r="A2048" s="2" t="s">
        <v>4165</v>
      </c>
      <c r="B2048" s="2" t="s">
        <v>4166</v>
      </c>
      <c r="C2048" s="2" t="s">
        <v>43</v>
      </c>
      <c r="D2048" s="3" t="s">
        <v>44</v>
      </c>
      <c r="E2048" s="3" t="s">
        <v>50</v>
      </c>
      <c r="F2048" s="2" t="s">
        <v>46</v>
      </c>
      <c r="G2048" s="4">
        <v>615430</v>
      </c>
      <c r="H2048" s="4">
        <v>372254</v>
      </c>
      <c r="I2048" s="4">
        <v>269324</v>
      </c>
      <c r="J2048" s="4">
        <v>19161</v>
      </c>
      <c r="K2048" s="4">
        <v>778</v>
      </c>
      <c r="L2048" s="4">
        <v>1742</v>
      </c>
      <c r="M2048" s="4">
        <v>40</v>
      </c>
      <c r="N2048" s="4">
        <v>8728</v>
      </c>
      <c r="O2048" s="5">
        <f t="shared" si="31"/>
        <v>8.0650072032199135E-2</v>
      </c>
      <c r="P2048" s="2" t="s">
        <v>29</v>
      </c>
    </row>
    <row r="2049" spans="1:16" x14ac:dyDescent="0.25">
      <c r="A2049" s="6" t="s">
        <v>4167</v>
      </c>
      <c r="B2049" s="6" t="s">
        <v>4168</v>
      </c>
      <c r="C2049" s="6" t="s">
        <v>25</v>
      </c>
      <c r="D2049" s="7" t="s">
        <v>61</v>
      </c>
      <c r="E2049" s="7" t="s">
        <v>20</v>
      </c>
      <c r="F2049" s="6" t="s">
        <v>28</v>
      </c>
      <c r="G2049" s="8">
        <v>472574</v>
      </c>
      <c r="H2049" s="8">
        <v>124261</v>
      </c>
      <c r="I2049" s="8">
        <v>95366</v>
      </c>
      <c r="J2049" s="8">
        <v>6233</v>
      </c>
      <c r="K2049" s="8">
        <v>779</v>
      </c>
      <c r="L2049" s="8">
        <v>206</v>
      </c>
      <c r="M2049" s="8">
        <v>716</v>
      </c>
      <c r="N2049" s="8">
        <v>2483</v>
      </c>
      <c r="O2049" s="9">
        <f t="shared" si="31"/>
        <v>8.3195268754063287E-2</v>
      </c>
      <c r="P2049" s="6" t="s">
        <v>29</v>
      </c>
    </row>
    <row r="2050" spans="1:16" x14ac:dyDescent="0.25">
      <c r="A2050" s="2" t="s">
        <v>4169</v>
      </c>
      <c r="B2050" s="2" t="s">
        <v>4170</v>
      </c>
      <c r="C2050" s="2" t="s">
        <v>76</v>
      </c>
      <c r="D2050" s="3" t="s">
        <v>77</v>
      </c>
      <c r="E2050" s="3" t="s">
        <v>39</v>
      </c>
      <c r="F2050" s="2" t="s">
        <v>78</v>
      </c>
      <c r="G2050" s="4">
        <v>722993</v>
      </c>
      <c r="H2050" s="4">
        <v>135058</v>
      </c>
      <c r="I2050" s="4">
        <v>121537</v>
      </c>
      <c r="J2050" s="4">
        <v>5001</v>
      </c>
      <c r="K2050" s="4">
        <v>892</v>
      </c>
      <c r="L2050" s="4">
        <v>102</v>
      </c>
      <c r="M2050" s="4">
        <v>427</v>
      </c>
      <c r="N2050" s="4">
        <v>1175</v>
      </c>
      <c r="O2050" s="5">
        <f t="shared" ref="O2050:O2113" si="32">IF(I2050&gt;0, (J2050+K2050+L2050+M2050)/I2050, 0)</f>
        <v>5.2839875922558566E-2</v>
      </c>
      <c r="P2050" s="2" t="s">
        <v>22</v>
      </c>
    </row>
    <row r="2051" spans="1:16" x14ac:dyDescent="0.25">
      <c r="A2051" s="6" t="s">
        <v>4171</v>
      </c>
      <c r="B2051" s="6" t="s">
        <v>4172</v>
      </c>
      <c r="C2051" s="6" t="s">
        <v>43</v>
      </c>
      <c r="D2051" s="7" t="s">
        <v>44</v>
      </c>
      <c r="E2051" s="7" t="s">
        <v>20</v>
      </c>
      <c r="F2051" s="6" t="s">
        <v>107</v>
      </c>
      <c r="G2051" s="8">
        <v>264600</v>
      </c>
      <c r="H2051" s="8">
        <v>21766</v>
      </c>
      <c r="I2051" s="8">
        <v>18831</v>
      </c>
      <c r="J2051" s="8">
        <v>756</v>
      </c>
      <c r="K2051" s="8">
        <v>56</v>
      </c>
      <c r="L2051" s="8">
        <v>42</v>
      </c>
      <c r="M2051" s="8">
        <v>24</v>
      </c>
      <c r="N2051" s="8">
        <v>705</v>
      </c>
      <c r="O2051" s="9">
        <f t="shared" si="32"/>
        <v>4.6625245605650255E-2</v>
      </c>
      <c r="P2051" s="6" t="s">
        <v>66</v>
      </c>
    </row>
    <row r="2052" spans="1:16" x14ac:dyDescent="0.25">
      <c r="A2052" s="2" t="s">
        <v>4173</v>
      </c>
      <c r="B2052" s="2" t="s">
        <v>4174</v>
      </c>
      <c r="C2052" s="2" t="s">
        <v>18</v>
      </c>
      <c r="D2052" s="3" t="s">
        <v>57</v>
      </c>
      <c r="E2052" s="3" t="s">
        <v>45</v>
      </c>
      <c r="F2052" s="2" t="s">
        <v>21</v>
      </c>
      <c r="G2052" s="4">
        <v>758253</v>
      </c>
      <c r="H2052" s="4">
        <v>240941</v>
      </c>
      <c r="I2052" s="4">
        <v>210608</v>
      </c>
      <c r="J2052" s="4">
        <v>18210</v>
      </c>
      <c r="K2052" s="4">
        <v>1981</v>
      </c>
      <c r="L2052" s="4">
        <v>2696</v>
      </c>
      <c r="M2052" s="4">
        <v>1097</v>
      </c>
      <c r="N2052" s="4">
        <v>5383</v>
      </c>
      <c r="O2052" s="5">
        <f t="shared" si="32"/>
        <v>0.11387981463192282</v>
      </c>
      <c r="P2052" s="2" t="s">
        <v>29</v>
      </c>
    </row>
    <row r="2053" spans="1:16" x14ac:dyDescent="0.25">
      <c r="A2053" s="6" t="s">
        <v>4175</v>
      </c>
      <c r="B2053" s="6" t="s">
        <v>4176</v>
      </c>
      <c r="C2053" s="6" t="s">
        <v>25</v>
      </c>
      <c r="D2053" s="7" t="s">
        <v>145</v>
      </c>
      <c r="E2053" s="7" t="s">
        <v>50</v>
      </c>
      <c r="F2053" s="6" t="s">
        <v>54</v>
      </c>
      <c r="G2053" s="8">
        <v>778669</v>
      </c>
      <c r="H2053" s="8">
        <v>467356</v>
      </c>
      <c r="I2053" s="8">
        <v>357076</v>
      </c>
      <c r="J2053" s="8">
        <v>12338</v>
      </c>
      <c r="K2053" s="8">
        <v>995</v>
      </c>
      <c r="L2053" s="8">
        <v>354</v>
      </c>
      <c r="M2053" s="8">
        <v>1886</v>
      </c>
      <c r="N2053" s="8">
        <v>15031</v>
      </c>
      <c r="O2053" s="9">
        <f t="shared" si="32"/>
        <v>4.3612564272031723E-2</v>
      </c>
      <c r="P2053" s="6" t="s">
        <v>22</v>
      </c>
    </row>
    <row r="2054" spans="1:16" x14ac:dyDescent="0.25">
      <c r="A2054" s="2" t="s">
        <v>4177</v>
      </c>
      <c r="B2054" s="2" t="s">
        <v>4178</v>
      </c>
      <c r="C2054" s="2" t="s">
        <v>43</v>
      </c>
      <c r="D2054" s="3" t="s">
        <v>110</v>
      </c>
      <c r="E2054" s="3" t="s">
        <v>50</v>
      </c>
      <c r="F2054" s="2" t="s">
        <v>70</v>
      </c>
      <c r="G2054" s="4">
        <v>203559</v>
      </c>
      <c r="H2054" s="4">
        <v>39149</v>
      </c>
      <c r="I2054" s="4">
        <v>30501</v>
      </c>
      <c r="J2054" s="4">
        <v>2670</v>
      </c>
      <c r="K2054" s="4">
        <v>136</v>
      </c>
      <c r="L2054" s="4">
        <v>171</v>
      </c>
      <c r="M2054" s="4">
        <v>38</v>
      </c>
      <c r="N2054" s="4">
        <v>1135</v>
      </c>
      <c r="O2054" s="5">
        <f t="shared" si="32"/>
        <v>9.884921805842431E-2</v>
      </c>
      <c r="P2054" s="2" t="s">
        <v>22</v>
      </c>
    </row>
    <row r="2055" spans="1:16" x14ac:dyDescent="0.25">
      <c r="A2055" s="6" t="s">
        <v>4179</v>
      </c>
      <c r="B2055" s="6" t="s">
        <v>4180</v>
      </c>
      <c r="C2055" s="6" t="s">
        <v>18</v>
      </c>
      <c r="D2055" s="7" t="s">
        <v>92</v>
      </c>
      <c r="E2055" s="7" t="s">
        <v>34</v>
      </c>
      <c r="F2055" s="6" t="s">
        <v>58</v>
      </c>
      <c r="G2055" s="8">
        <v>680715</v>
      </c>
      <c r="H2055" s="8">
        <v>313251</v>
      </c>
      <c r="I2055" s="8">
        <v>251903</v>
      </c>
      <c r="J2055" s="8">
        <v>9468</v>
      </c>
      <c r="K2055" s="8">
        <v>368</v>
      </c>
      <c r="L2055" s="8">
        <v>594</v>
      </c>
      <c r="M2055" s="8">
        <v>1870</v>
      </c>
      <c r="N2055" s="8">
        <v>4423</v>
      </c>
      <c r="O2055" s="9">
        <f t="shared" si="32"/>
        <v>4.8828318837012663E-2</v>
      </c>
      <c r="P2055" s="6" t="s">
        <v>22</v>
      </c>
    </row>
    <row r="2056" spans="1:16" x14ac:dyDescent="0.25">
      <c r="A2056" s="2" t="s">
        <v>4181</v>
      </c>
      <c r="B2056" s="2" t="s">
        <v>4182</v>
      </c>
      <c r="C2056" s="2" t="s">
        <v>76</v>
      </c>
      <c r="D2056" s="3" t="s">
        <v>103</v>
      </c>
      <c r="E2056" s="3" t="s">
        <v>20</v>
      </c>
      <c r="F2056" s="2" t="s">
        <v>78</v>
      </c>
      <c r="G2056" s="4">
        <v>530748</v>
      </c>
      <c r="H2056" s="4">
        <v>75785</v>
      </c>
      <c r="I2056" s="4">
        <v>65572</v>
      </c>
      <c r="J2056" s="4">
        <v>2499</v>
      </c>
      <c r="K2056" s="4">
        <v>267</v>
      </c>
      <c r="L2056" s="4">
        <v>167</v>
      </c>
      <c r="M2056" s="4">
        <v>476</v>
      </c>
      <c r="N2056" s="4">
        <v>2428</v>
      </c>
      <c r="O2056" s="5">
        <f t="shared" si="32"/>
        <v>5.1988653693649731E-2</v>
      </c>
      <c r="P2056" s="2" t="s">
        <v>22</v>
      </c>
    </row>
    <row r="2057" spans="1:16" x14ac:dyDescent="0.25">
      <c r="A2057" s="6" t="s">
        <v>4183</v>
      </c>
      <c r="B2057" s="6" t="s">
        <v>4184</v>
      </c>
      <c r="C2057" s="6" t="s">
        <v>25</v>
      </c>
      <c r="D2057" s="7" t="s">
        <v>26</v>
      </c>
      <c r="E2057" s="7" t="s">
        <v>50</v>
      </c>
      <c r="F2057" s="6" t="s">
        <v>146</v>
      </c>
      <c r="G2057" s="8">
        <v>8499</v>
      </c>
      <c r="H2057" s="8">
        <v>4695</v>
      </c>
      <c r="I2057" s="8">
        <v>4020</v>
      </c>
      <c r="J2057" s="8">
        <v>124</v>
      </c>
      <c r="K2057" s="8">
        <v>9</v>
      </c>
      <c r="L2057" s="8">
        <v>3</v>
      </c>
      <c r="M2057" s="8">
        <v>7</v>
      </c>
      <c r="N2057" s="8">
        <v>150</v>
      </c>
      <c r="O2057" s="9">
        <f t="shared" si="32"/>
        <v>3.5572139303482589E-2</v>
      </c>
      <c r="P2057" s="6" t="s">
        <v>29</v>
      </c>
    </row>
    <row r="2058" spans="1:16" x14ac:dyDescent="0.25">
      <c r="A2058" s="2" t="s">
        <v>4185</v>
      </c>
      <c r="B2058" s="2" t="s">
        <v>4186</v>
      </c>
      <c r="C2058" s="2" t="s">
        <v>43</v>
      </c>
      <c r="D2058" s="3" t="s">
        <v>172</v>
      </c>
      <c r="E2058" s="3" t="s">
        <v>27</v>
      </c>
      <c r="F2058" s="2" t="s">
        <v>46</v>
      </c>
      <c r="G2058" s="4">
        <v>425333</v>
      </c>
      <c r="H2058" s="4">
        <v>106102</v>
      </c>
      <c r="I2058" s="4">
        <v>90401</v>
      </c>
      <c r="J2058" s="4">
        <v>3057</v>
      </c>
      <c r="K2058" s="4">
        <v>177</v>
      </c>
      <c r="L2058" s="4">
        <v>378</v>
      </c>
      <c r="M2058" s="4">
        <v>7</v>
      </c>
      <c r="N2058" s="4">
        <v>1317</v>
      </c>
      <c r="O2058" s="5">
        <f t="shared" si="32"/>
        <v>4.0032743000630526E-2</v>
      </c>
      <c r="P2058" s="2" t="s">
        <v>22</v>
      </c>
    </row>
    <row r="2059" spans="1:16" x14ac:dyDescent="0.25">
      <c r="A2059" s="6" t="s">
        <v>4187</v>
      </c>
      <c r="B2059" s="6" t="s">
        <v>4188</v>
      </c>
      <c r="C2059" s="6" t="s">
        <v>76</v>
      </c>
      <c r="D2059" s="7" t="s">
        <v>182</v>
      </c>
      <c r="E2059" s="7" t="s">
        <v>50</v>
      </c>
      <c r="F2059" s="6" t="s">
        <v>78</v>
      </c>
      <c r="G2059" s="8">
        <v>730053</v>
      </c>
      <c r="H2059" s="8">
        <v>109902</v>
      </c>
      <c r="I2059" s="8">
        <v>81558</v>
      </c>
      <c r="J2059" s="8">
        <v>3184</v>
      </c>
      <c r="K2059" s="8">
        <v>149</v>
      </c>
      <c r="L2059" s="8">
        <v>334</v>
      </c>
      <c r="M2059" s="8">
        <v>727</v>
      </c>
      <c r="N2059" s="8">
        <v>873</v>
      </c>
      <c r="O2059" s="9">
        <f t="shared" si="32"/>
        <v>5.3875769391108171E-2</v>
      </c>
      <c r="P2059" s="6" t="s">
        <v>22</v>
      </c>
    </row>
    <row r="2060" spans="1:16" x14ac:dyDescent="0.25">
      <c r="A2060" s="2" t="s">
        <v>4189</v>
      </c>
      <c r="B2060" s="2" t="s">
        <v>4190</v>
      </c>
      <c r="C2060" s="2" t="s">
        <v>18</v>
      </c>
      <c r="D2060" s="3" t="s">
        <v>57</v>
      </c>
      <c r="E2060" s="3" t="s">
        <v>27</v>
      </c>
      <c r="F2060" s="2" t="s">
        <v>21</v>
      </c>
      <c r="G2060" s="4">
        <v>249777</v>
      </c>
      <c r="H2060" s="4">
        <v>97311</v>
      </c>
      <c r="I2060" s="4">
        <v>88944</v>
      </c>
      <c r="J2060" s="4">
        <v>6192</v>
      </c>
      <c r="K2060" s="4">
        <v>322</v>
      </c>
      <c r="L2060" s="4">
        <v>708</v>
      </c>
      <c r="M2060" s="4">
        <v>1219</v>
      </c>
      <c r="N2060" s="4">
        <v>1221</v>
      </c>
      <c r="O2060" s="5">
        <f t="shared" si="32"/>
        <v>9.4902410505486604E-2</v>
      </c>
      <c r="P2060" s="2" t="s">
        <v>22</v>
      </c>
    </row>
    <row r="2061" spans="1:16" x14ac:dyDescent="0.25">
      <c r="A2061" s="6" t="s">
        <v>4191</v>
      </c>
      <c r="B2061" s="6" t="s">
        <v>4192</v>
      </c>
      <c r="C2061" s="6" t="s">
        <v>25</v>
      </c>
      <c r="D2061" s="7" t="s">
        <v>64</v>
      </c>
      <c r="E2061" s="7" t="s">
        <v>34</v>
      </c>
      <c r="F2061" s="6" t="s">
        <v>146</v>
      </c>
      <c r="G2061" s="8">
        <v>330845</v>
      </c>
      <c r="H2061" s="8">
        <v>183939</v>
      </c>
      <c r="I2061" s="8">
        <v>164414</v>
      </c>
      <c r="J2061" s="8">
        <v>5432</v>
      </c>
      <c r="K2061" s="8">
        <v>600</v>
      </c>
      <c r="L2061" s="8">
        <v>420</v>
      </c>
      <c r="M2061" s="8">
        <v>314</v>
      </c>
      <c r="N2061" s="8">
        <v>3392</v>
      </c>
      <c r="O2061" s="9">
        <f t="shared" si="32"/>
        <v>4.1152213315167809E-2</v>
      </c>
      <c r="P2061" s="6" t="s">
        <v>22</v>
      </c>
    </row>
    <row r="2062" spans="1:16" x14ac:dyDescent="0.25">
      <c r="A2062" s="2" t="s">
        <v>4193</v>
      </c>
      <c r="B2062" s="2" t="s">
        <v>4194</v>
      </c>
      <c r="C2062" s="2" t="s">
        <v>25</v>
      </c>
      <c r="D2062" s="3" t="s">
        <v>61</v>
      </c>
      <c r="E2062" s="3" t="s">
        <v>27</v>
      </c>
      <c r="F2062" s="2" t="s">
        <v>65</v>
      </c>
      <c r="G2062" s="4">
        <v>673370</v>
      </c>
      <c r="H2062" s="4">
        <v>399220</v>
      </c>
      <c r="I2062" s="4">
        <v>314158</v>
      </c>
      <c r="J2062" s="4">
        <v>19236</v>
      </c>
      <c r="K2062" s="4">
        <v>726</v>
      </c>
      <c r="L2062" s="4">
        <v>1732</v>
      </c>
      <c r="M2062" s="4">
        <v>4333</v>
      </c>
      <c r="N2062" s="4">
        <v>12357</v>
      </c>
      <c r="O2062" s="5">
        <f t="shared" si="32"/>
        <v>8.2846847764500658E-2</v>
      </c>
      <c r="P2062" s="2" t="s">
        <v>22</v>
      </c>
    </row>
    <row r="2063" spans="1:16" x14ac:dyDescent="0.25">
      <c r="A2063" s="6" t="s">
        <v>4195</v>
      </c>
      <c r="B2063" s="6" t="s">
        <v>4196</v>
      </c>
      <c r="C2063" s="6" t="s">
        <v>18</v>
      </c>
      <c r="D2063" s="7" t="s">
        <v>19</v>
      </c>
      <c r="E2063" s="7" t="s">
        <v>50</v>
      </c>
      <c r="F2063" s="6" t="s">
        <v>73</v>
      </c>
      <c r="G2063" s="8">
        <v>56773</v>
      </c>
      <c r="H2063" s="8">
        <v>297860</v>
      </c>
      <c r="I2063" s="8">
        <v>210847</v>
      </c>
      <c r="J2063" s="8">
        <v>20100</v>
      </c>
      <c r="K2063" s="8">
        <v>3179</v>
      </c>
      <c r="L2063" s="8">
        <v>450</v>
      </c>
      <c r="M2063" s="8">
        <v>3711</v>
      </c>
      <c r="N2063" s="8">
        <v>8672</v>
      </c>
      <c r="O2063" s="9">
        <f t="shared" si="32"/>
        <v>0.13014176156170115</v>
      </c>
      <c r="P2063" s="6" t="s">
        <v>22</v>
      </c>
    </row>
    <row r="2064" spans="1:16" x14ac:dyDescent="0.25">
      <c r="A2064" s="2" t="s">
        <v>4197</v>
      </c>
      <c r="B2064" s="2" t="s">
        <v>4198</v>
      </c>
      <c r="C2064" s="2" t="s">
        <v>18</v>
      </c>
      <c r="D2064" s="3" t="s">
        <v>57</v>
      </c>
      <c r="E2064" s="3" t="s">
        <v>20</v>
      </c>
      <c r="F2064" s="2" t="s">
        <v>58</v>
      </c>
      <c r="G2064" s="4">
        <v>292441</v>
      </c>
      <c r="H2064" s="4">
        <v>81129</v>
      </c>
      <c r="I2064" s="4">
        <v>64587</v>
      </c>
      <c r="J2064" s="4">
        <v>5569</v>
      </c>
      <c r="K2064" s="4">
        <v>993</v>
      </c>
      <c r="L2064" s="4">
        <v>540</v>
      </c>
      <c r="M2064" s="4">
        <v>509</v>
      </c>
      <c r="N2064" s="4">
        <v>838</v>
      </c>
      <c r="O2064" s="5">
        <f t="shared" si="32"/>
        <v>0.11784105160481212</v>
      </c>
      <c r="P2064" s="2" t="s">
        <v>66</v>
      </c>
    </row>
    <row r="2065" spans="1:16" x14ac:dyDescent="0.25">
      <c r="A2065" s="6" t="s">
        <v>4199</v>
      </c>
      <c r="B2065" s="6" t="s">
        <v>4200</v>
      </c>
      <c r="C2065" s="6" t="s">
        <v>25</v>
      </c>
      <c r="D2065" s="7" t="s">
        <v>61</v>
      </c>
      <c r="E2065" s="7" t="s">
        <v>27</v>
      </c>
      <c r="F2065" s="6" t="s">
        <v>28</v>
      </c>
      <c r="G2065" s="8">
        <v>735786</v>
      </c>
      <c r="H2065" s="8">
        <v>291859</v>
      </c>
      <c r="I2065" s="8">
        <v>255985</v>
      </c>
      <c r="J2065" s="8">
        <v>8801</v>
      </c>
      <c r="K2065" s="8">
        <v>1489</v>
      </c>
      <c r="L2065" s="8">
        <v>835</v>
      </c>
      <c r="M2065" s="8">
        <v>2038</v>
      </c>
      <c r="N2065" s="8">
        <v>7133</v>
      </c>
      <c r="O2065" s="9">
        <f t="shared" si="32"/>
        <v>5.1420981698146379E-2</v>
      </c>
      <c r="P2065" s="6" t="s">
        <v>66</v>
      </c>
    </row>
    <row r="2066" spans="1:16" x14ac:dyDescent="0.25">
      <c r="A2066" s="2" t="s">
        <v>4201</v>
      </c>
      <c r="B2066" s="2" t="s">
        <v>4202</v>
      </c>
      <c r="C2066" s="2" t="s">
        <v>32</v>
      </c>
      <c r="D2066" s="3" t="s">
        <v>33</v>
      </c>
      <c r="E2066" s="3" t="s">
        <v>45</v>
      </c>
      <c r="F2066" s="2" t="s">
        <v>35</v>
      </c>
      <c r="G2066" s="4">
        <v>543536</v>
      </c>
      <c r="H2066" s="4">
        <v>2979053</v>
      </c>
      <c r="I2066" s="4">
        <v>2687389</v>
      </c>
      <c r="J2066" s="4">
        <v>108591</v>
      </c>
      <c r="K2066" s="4">
        <v>13856</v>
      </c>
      <c r="L2066" s="4">
        <v>5450</v>
      </c>
      <c r="M2066" s="4">
        <v>29</v>
      </c>
      <c r="N2066" s="4">
        <v>84003</v>
      </c>
      <c r="O2066" s="5">
        <f t="shared" si="32"/>
        <v>4.7602338180293212E-2</v>
      </c>
      <c r="P2066" s="2" t="s">
        <v>22</v>
      </c>
    </row>
    <row r="2067" spans="1:16" x14ac:dyDescent="0.25">
      <c r="A2067" s="6" t="s">
        <v>4203</v>
      </c>
      <c r="B2067" s="6" t="s">
        <v>4204</v>
      </c>
      <c r="C2067" s="6" t="s">
        <v>43</v>
      </c>
      <c r="D2067" s="7" t="s">
        <v>44</v>
      </c>
      <c r="E2067" s="7" t="s">
        <v>34</v>
      </c>
      <c r="F2067" s="6" t="s">
        <v>70</v>
      </c>
      <c r="G2067" s="8">
        <v>763207</v>
      </c>
      <c r="H2067" s="8">
        <v>312762</v>
      </c>
      <c r="I2067" s="8">
        <v>265341</v>
      </c>
      <c r="J2067" s="8">
        <v>18467</v>
      </c>
      <c r="K2067" s="8">
        <v>1436</v>
      </c>
      <c r="L2067" s="8">
        <v>1119</v>
      </c>
      <c r="M2067" s="8">
        <v>29</v>
      </c>
      <c r="N2067" s="8">
        <v>8318</v>
      </c>
      <c r="O2067" s="9">
        <f t="shared" si="32"/>
        <v>7.9335647336823176E-2</v>
      </c>
      <c r="P2067" s="6" t="s">
        <v>22</v>
      </c>
    </row>
    <row r="2068" spans="1:16" x14ac:dyDescent="0.25">
      <c r="A2068" s="2" t="s">
        <v>4205</v>
      </c>
      <c r="B2068" s="2" t="s">
        <v>4206</v>
      </c>
      <c r="C2068" s="2" t="s">
        <v>76</v>
      </c>
      <c r="D2068" s="3" t="s">
        <v>182</v>
      </c>
      <c r="E2068" s="3" t="s">
        <v>39</v>
      </c>
      <c r="F2068" s="2" t="s">
        <v>78</v>
      </c>
      <c r="G2068" s="4">
        <v>8927</v>
      </c>
      <c r="H2068" s="4">
        <v>3520</v>
      </c>
      <c r="I2068" s="4">
        <v>3162</v>
      </c>
      <c r="J2068" s="4">
        <v>190</v>
      </c>
      <c r="K2068" s="4">
        <v>24</v>
      </c>
      <c r="L2068" s="4">
        <v>18</v>
      </c>
      <c r="M2068" s="4">
        <v>39</v>
      </c>
      <c r="N2068" s="4">
        <v>59</v>
      </c>
      <c r="O2068" s="5">
        <f t="shared" si="32"/>
        <v>8.5705249841872236E-2</v>
      </c>
      <c r="P2068" s="2" t="s">
        <v>29</v>
      </c>
    </row>
    <row r="2069" spans="1:16" x14ac:dyDescent="0.25">
      <c r="A2069" s="6" t="s">
        <v>4207</v>
      </c>
      <c r="B2069" s="6" t="s">
        <v>4208</v>
      </c>
      <c r="C2069" s="6" t="s">
        <v>32</v>
      </c>
      <c r="D2069" s="7" t="s">
        <v>49</v>
      </c>
      <c r="E2069" s="7" t="s">
        <v>34</v>
      </c>
      <c r="F2069" s="6" t="s">
        <v>51</v>
      </c>
      <c r="G2069" s="8">
        <v>575897</v>
      </c>
      <c r="H2069" s="8">
        <v>312576</v>
      </c>
      <c r="I2069" s="8">
        <v>243449</v>
      </c>
      <c r="J2069" s="8">
        <v>17708</v>
      </c>
      <c r="K2069" s="8">
        <v>2717</v>
      </c>
      <c r="L2069" s="8">
        <v>1625</v>
      </c>
      <c r="M2069" s="8">
        <v>47</v>
      </c>
      <c r="N2069" s="8">
        <v>4929</v>
      </c>
      <c r="O2069" s="9">
        <f t="shared" si="32"/>
        <v>9.0766443895846774E-2</v>
      </c>
      <c r="P2069" s="6" t="s">
        <v>29</v>
      </c>
    </row>
    <row r="2070" spans="1:16" x14ac:dyDescent="0.25">
      <c r="A2070" s="2" t="s">
        <v>4209</v>
      </c>
      <c r="B2070" s="2" t="s">
        <v>4210</v>
      </c>
      <c r="C2070" s="2" t="s">
        <v>18</v>
      </c>
      <c r="D2070" s="3" t="s">
        <v>226</v>
      </c>
      <c r="E2070" s="3" t="s">
        <v>20</v>
      </c>
      <c r="F2070" s="2" t="s">
        <v>21</v>
      </c>
      <c r="G2070" s="4">
        <v>744872</v>
      </c>
      <c r="H2070" s="4">
        <v>2214748</v>
      </c>
      <c r="I2070" s="4">
        <v>1721355</v>
      </c>
      <c r="J2070" s="4">
        <v>57087</v>
      </c>
      <c r="K2070" s="4">
        <v>5253</v>
      </c>
      <c r="L2070" s="4">
        <v>6035</v>
      </c>
      <c r="M2070" s="4">
        <v>6900</v>
      </c>
      <c r="N2070" s="4">
        <v>72248</v>
      </c>
      <c r="O2070" s="5">
        <f t="shared" si="32"/>
        <v>4.3730084729762309E-2</v>
      </c>
      <c r="P2070" s="2" t="s">
        <v>29</v>
      </c>
    </row>
    <row r="2071" spans="1:16" x14ac:dyDescent="0.25">
      <c r="A2071" s="6" t="s">
        <v>4211</v>
      </c>
      <c r="B2071" s="6" t="s">
        <v>4212</v>
      </c>
      <c r="C2071" s="6" t="s">
        <v>32</v>
      </c>
      <c r="D2071" s="7" t="s">
        <v>38</v>
      </c>
      <c r="E2071" s="7" t="s">
        <v>50</v>
      </c>
      <c r="F2071" s="6" t="s">
        <v>128</v>
      </c>
      <c r="G2071" s="8">
        <v>707692</v>
      </c>
      <c r="H2071" s="8">
        <v>403752</v>
      </c>
      <c r="I2071" s="8">
        <v>303001</v>
      </c>
      <c r="J2071" s="8">
        <v>26396</v>
      </c>
      <c r="K2071" s="8">
        <v>3698</v>
      </c>
      <c r="L2071" s="8">
        <v>561</v>
      </c>
      <c r="M2071" s="8">
        <v>21</v>
      </c>
      <c r="N2071" s="8">
        <v>10909</v>
      </c>
      <c r="O2071" s="9">
        <f t="shared" si="32"/>
        <v>0.10124058996504962</v>
      </c>
      <c r="P2071" s="6" t="s">
        <v>22</v>
      </c>
    </row>
    <row r="2072" spans="1:16" x14ac:dyDescent="0.25">
      <c r="A2072" s="2" t="s">
        <v>4213</v>
      </c>
      <c r="B2072" s="2" t="s">
        <v>4214</v>
      </c>
      <c r="C2072" s="2" t="s">
        <v>25</v>
      </c>
      <c r="D2072" s="3" t="s">
        <v>64</v>
      </c>
      <c r="E2072" s="3" t="s">
        <v>20</v>
      </c>
      <c r="F2072" s="2" t="s">
        <v>28</v>
      </c>
      <c r="G2072" s="4">
        <v>143332</v>
      </c>
      <c r="H2072" s="4">
        <v>68824</v>
      </c>
      <c r="I2072" s="4">
        <v>60090</v>
      </c>
      <c r="J2072" s="4">
        <v>3301</v>
      </c>
      <c r="K2072" s="4">
        <v>574</v>
      </c>
      <c r="L2072" s="4">
        <v>82</v>
      </c>
      <c r="M2072" s="4">
        <v>633</v>
      </c>
      <c r="N2072" s="4">
        <v>2168</v>
      </c>
      <c r="O2072" s="5">
        <f t="shared" si="32"/>
        <v>7.6385421867199196E-2</v>
      </c>
      <c r="P2072" s="2" t="s">
        <v>29</v>
      </c>
    </row>
    <row r="2073" spans="1:16" x14ac:dyDescent="0.25">
      <c r="A2073" s="6" t="s">
        <v>4215</v>
      </c>
      <c r="B2073" s="6" t="s">
        <v>4216</v>
      </c>
      <c r="C2073" s="6" t="s">
        <v>43</v>
      </c>
      <c r="D2073" s="7" t="s">
        <v>81</v>
      </c>
      <c r="E2073" s="7" t="s">
        <v>20</v>
      </c>
      <c r="F2073" s="6" t="s">
        <v>107</v>
      </c>
      <c r="G2073" s="8">
        <v>86573</v>
      </c>
      <c r="H2073" s="8">
        <v>50688</v>
      </c>
      <c r="I2073" s="8">
        <v>44581</v>
      </c>
      <c r="J2073" s="8">
        <v>3002</v>
      </c>
      <c r="K2073" s="8">
        <v>346</v>
      </c>
      <c r="L2073" s="8">
        <v>149</v>
      </c>
      <c r="M2073" s="8">
        <v>19</v>
      </c>
      <c r="N2073" s="8">
        <v>1279</v>
      </c>
      <c r="O2073" s="9">
        <f t="shared" si="32"/>
        <v>7.8867679056100135E-2</v>
      </c>
      <c r="P2073" s="6" t="s">
        <v>29</v>
      </c>
    </row>
    <row r="2074" spans="1:16" x14ac:dyDescent="0.25">
      <c r="A2074" s="2" t="s">
        <v>4217</v>
      </c>
      <c r="B2074" s="2" t="s">
        <v>4218</v>
      </c>
      <c r="C2074" s="2" t="s">
        <v>25</v>
      </c>
      <c r="D2074" s="3" t="s">
        <v>145</v>
      </c>
      <c r="E2074" s="3" t="s">
        <v>34</v>
      </c>
      <c r="F2074" s="2" t="s">
        <v>146</v>
      </c>
      <c r="G2074" s="4">
        <v>465169</v>
      </c>
      <c r="H2074" s="4">
        <v>288569</v>
      </c>
      <c r="I2074" s="4">
        <v>217499</v>
      </c>
      <c r="J2074" s="4">
        <v>20603</v>
      </c>
      <c r="K2074" s="4">
        <v>3372</v>
      </c>
      <c r="L2074" s="4">
        <v>994</v>
      </c>
      <c r="M2074" s="4">
        <v>1391</v>
      </c>
      <c r="N2074" s="4">
        <v>6691</v>
      </c>
      <c r="O2074" s="5">
        <f t="shared" si="32"/>
        <v>0.12119595952165298</v>
      </c>
      <c r="P2074" s="2" t="s">
        <v>66</v>
      </c>
    </row>
    <row r="2075" spans="1:16" x14ac:dyDescent="0.25">
      <c r="A2075" s="6" t="s">
        <v>4219</v>
      </c>
      <c r="B2075" s="6" t="s">
        <v>4220</v>
      </c>
      <c r="C2075" s="6" t="s">
        <v>43</v>
      </c>
      <c r="D2075" s="7" t="s">
        <v>172</v>
      </c>
      <c r="E2075" s="7" t="s">
        <v>39</v>
      </c>
      <c r="F2075" s="6" t="s">
        <v>70</v>
      </c>
      <c r="G2075" s="8">
        <v>254931</v>
      </c>
      <c r="H2075" s="8">
        <v>83166</v>
      </c>
      <c r="I2075" s="8">
        <v>64333</v>
      </c>
      <c r="J2075" s="8">
        <v>6508</v>
      </c>
      <c r="K2075" s="8">
        <v>1062</v>
      </c>
      <c r="L2075" s="8">
        <v>699</v>
      </c>
      <c r="M2075" s="8">
        <v>1</v>
      </c>
      <c r="N2075" s="8">
        <v>482</v>
      </c>
      <c r="O2075" s="9">
        <f t="shared" si="32"/>
        <v>0.12854988885952778</v>
      </c>
      <c r="P2075" s="6" t="s">
        <v>29</v>
      </c>
    </row>
    <row r="2076" spans="1:16" x14ac:dyDescent="0.25">
      <c r="A2076" s="2" t="s">
        <v>4221</v>
      </c>
      <c r="B2076" s="2" t="s">
        <v>4222</v>
      </c>
      <c r="C2076" s="2" t="s">
        <v>76</v>
      </c>
      <c r="D2076" s="3" t="s">
        <v>86</v>
      </c>
      <c r="E2076" s="3" t="s">
        <v>45</v>
      </c>
      <c r="F2076" s="2" t="s">
        <v>104</v>
      </c>
      <c r="G2076" s="4">
        <v>314808</v>
      </c>
      <c r="H2076" s="4">
        <v>91976</v>
      </c>
      <c r="I2076" s="4">
        <v>78092</v>
      </c>
      <c r="J2076" s="4">
        <v>6903</v>
      </c>
      <c r="K2076" s="4">
        <v>340</v>
      </c>
      <c r="L2076" s="4">
        <v>587</v>
      </c>
      <c r="M2076" s="4">
        <v>765</v>
      </c>
      <c r="N2076" s="4">
        <v>2409</v>
      </c>
      <c r="O2076" s="5">
        <f t="shared" si="32"/>
        <v>0.11006249039594325</v>
      </c>
      <c r="P2076" s="2" t="s">
        <v>22</v>
      </c>
    </row>
    <row r="2077" spans="1:16" x14ac:dyDescent="0.25">
      <c r="A2077" s="6" t="s">
        <v>4223</v>
      </c>
      <c r="B2077" s="6" t="s">
        <v>4224</v>
      </c>
      <c r="C2077" s="6" t="s">
        <v>43</v>
      </c>
      <c r="D2077" s="7" t="s">
        <v>110</v>
      </c>
      <c r="E2077" s="7" t="s">
        <v>39</v>
      </c>
      <c r="F2077" s="6" t="s">
        <v>70</v>
      </c>
      <c r="G2077" s="8">
        <v>447737</v>
      </c>
      <c r="H2077" s="8">
        <v>155916</v>
      </c>
      <c r="I2077" s="8">
        <v>131146</v>
      </c>
      <c r="J2077" s="8">
        <v>9033</v>
      </c>
      <c r="K2077" s="8">
        <v>519</v>
      </c>
      <c r="L2077" s="8">
        <v>256</v>
      </c>
      <c r="M2077" s="8">
        <v>36</v>
      </c>
      <c r="N2077" s="8">
        <v>3616</v>
      </c>
      <c r="O2077" s="9">
        <f t="shared" si="32"/>
        <v>7.5061381971238156E-2</v>
      </c>
      <c r="P2077" s="6" t="s">
        <v>22</v>
      </c>
    </row>
    <row r="2078" spans="1:16" x14ac:dyDescent="0.25">
      <c r="A2078" s="2" t="s">
        <v>4225</v>
      </c>
      <c r="B2078" s="2" t="s">
        <v>4226</v>
      </c>
      <c r="C2078" s="2" t="s">
        <v>25</v>
      </c>
      <c r="D2078" s="3" t="s">
        <v>145</v>
      </c>
      <c r="E2078" s="3" t="s">
        <v>50</v>
      </c>
      <c r="F2078" s="2" t="s">
        <v>146</v>
      </c>
      <c r="G2078" s="4">
        <v>678021</v>
      </c>
      <c r="H2078" s="4">
        <v>245767</v>
      </c>
      <c r="I2078" s="4">
        <v>211195</v>
      </c>
      <c r="J2078" s="4">
        <v>9439</v>
      </c>
      <c r="K2078" s="4">
        <v>466</v>
      </c>
      <c r="L2078" s="4">
        <v>242</v>
      </c>
      <c r="M2078" s="4">
        <v>1153</v>
      </c>
      <c r="N2078" s="4">
        <v>7649</v>
      </c>
      <c r="O2078" s="5">
        <f t="shared" si="32"/>
        <v>5.35050545704207E-2</v>
      </c>
      <c r="P2078" s="2" t="s">
        <v>29</v>
      </c>
    </row>
    <row r="2079" spans="1:16" x14ac:dyDescent="0.25">
      <c r="A2079" s="6" t="s">
        <v>4227</v>
      </c>
      <c r="B2079" s="6" t="s">
        <v>4228</v>
      </c>
      <c r="C2079" s="6" t="s">
        <v>76</v>
      </c>
      <c r="D2079" s="7" t="s">
        <v>103</v>
      </c>
      <c r="E2079" s="7" t="s">
        <v>34</v>
      </c>
      <c r="F2079" s="6" t="s">
        <v>155</v>
      </c>
      <c r="G2079" s="8">
        <v>130382</v>
      </c>
      <c r="H2079" s="8">
        <v>37659</v>
      </c>
      <c r="I2079" s="8">
        <v>30132</v>
      </c>
      <c r="J2079" s="8">
        <v>1438</v>
      </c>
      <c r="K2079" s="8">
        <v>53</v>
      </c>
      <c r="L2079" s="8">
        <v>117</v>
      </c>
      <c r="M2079" s="8">
        <v>352</v>
      </c>
      <c r="N2079" s="8">
        <v>354</v>
      </c>
      <c r="O2079" s="9">
        <f t="shared" si="32"/>
        <v>6.5047125979025622E-2</v>
      </c>
      <c r="P2079" s="6" t="s">
        <v>29</v>
      </c>
    </row>
    <row r="2080" spans="1:16" x14ac:dyDescent="0.25">
      <c r="A2080" s="2" t="s">
        <v>4229</v>
      </c>
      <c r="B2080" s="2" t="s">
        <v>4230</v>
      </c>
      <c r="C2080" s="2" t="s">
        <v>32</v>
      </c>
      <c r="D2080" s="3" t="s">
        <v>121</v>
      </c>
      <c r="E2080" s="3" t="s">
        <v>20</v>
      </c>
      <c r="F2080" s="2" t="s">
        <v>128</v>
      </c>
      <c r="G2080" s="4">
        <v>515380</v>
      </c>
      <c r="H2080" s="4">
        <v>270692</v>
      </c>
      <c r="I2080" s="4">
        <v>220614</v>
      </c>
      <c r="J2080" s="4">
        <v>17826</v>
      </c>
      <c r="K2080" s="4">
        <v>2917</v>
      </c>
      <c r="L2080" s="4">
        <v>1652</v>
      </c>
      <c r="M2080" s="4">
        <v>37</v>
      </c>
      <c r="N2080" s="4">
        <v>5854</v>
      </c>
      <c r="O2080" s="5">
        <f t="shared" si="32"/>
        <v>0.10167985712602101</v>
      </c>
      <c r="P2080" s="2" t="s">
        <v>29</v>
      </c>
    </row>
    <row r="2081" spans="1:16" x14ac:dyDescent="0.25">
      <c r="A2081" s="6" t="s">
        <v>4231</v>
      </c>
      <c r="B2081" s="6" t="s">
        <v>4232</v>
      </c>
      <c r="C2081" s="6" t="s">
        <v>32</v>
      </c>
      <c r="D2081" s="7" t="s">
        <v>121</v>
      </c>
      <c r="E2081" s="7" t="s">
        <v>50</v>
      </c>
      <c r="F2081" s="6" t="s">
        <v>128</v>
      </c>
      <c r="G2081" s="8">
        <v>230814</v>
      </c>
      <c r="H2081" s="8">
        <v>79605</v>
      </c>
      <c r="I2081" s="8">
        <v>57979</v>
      </c>
      <c r="J2081" s="8">
        <v>2609</v>
      </c>
      <c r="K2081" s="8">
        <v>288</v>
      </c>
      <c r="L2081" s="8">
        <v>232</v>
      </c>
      <c r="M2081" s="8">
        <v>36</v>
      </c>
      <c r="N2081" s="8">
        <v>931</v>
      </c>
      <c r="O2081" s="9">
        <f t="shared" si="32"/>
        <v>5.458873040238707E-2</v>
      </c>
      <c r="P2081" s="6" t="s">
        <v>22</v>
      </c>
    </row>
    <row r="2082" spans="1:16" x14ac:dyDescent="0.25">
      <c r="A2082" s="2" t="s">
        <v>4233</v>
      </c>
      <c r="B2082" s="2" t="s">
        <v>4234</v>
      </c>
      <c r="C2082" s="2" t="s">
        <v>43</v>
      </c>
      <c r="D2082" s="3" t="s">
        <v>69</v>
      </c>
      <c r="E2082" s="3" t="s">
        <v>20</v>
      </c>
      <c r="F2082" s="2" t="s">
        <v>70</v>
      </c>
      <c r="G2082" s="4">
        <v>290764</v>
      </c>
      <c r="H2082" s="4">
        <v>120536</v>
      </c>
      <c r="I2082" s="4">
        <v>93433</v>
      </c>
      <c r="J2082" s="4">
        <v>6036</v>
      </c>
      <c r="K2082" s="4">
        <v>1022</v>
      </c>
      <c r="L2082" s="4">
        <v>755</v>
      </c>
      <c r="M2082" s="4">
        <v>5</v>
      </c>
      <c r="N2082" s="4">
        <v>2935</v>
      </c>
      <c r="O2082" s="5">
        <f t="shared" si="32"/>
        <v>8.3674932839574889E-2</v>
      </c>
      <c r="P2082" s="2" t="s">
        <v>29</v>
      </c>
    </row>
    <row r="2083" spans="1:16" x14ac:dyDescent="0.25">
      <c r="A2083" s="6" t="s">
        <v>4235</v>
      </c>
      <c r="B2083" s="6" t="s">
        <v>4236</v>
      </c>
      <c r="C2083" s="6" t="s">
        <v>76</v>
      </c>
      <c r="D2083" s="7" t="s">
        <v>189</v>
      </c>
      <c r="E2083" s="7" t="s">
        <v>27</v>
      </c>
      <c r="F2083" s="6" t="s">
        <v>87</v>
      </c>
      <c r="G2083" s="8">
        <v>525352</v>
      </c>
      <c r="H2083" s="8">
        <v>215331</v>
      </c>
      <c r="I2083" s="8">
        <v>187628</v>
      </c>
      <c r="J2083" s="8">
        <v>13711</v>
      </c>
      <c r="K2083" s="8">
        <v>493</v>
      </c>
      <c r="L2083" s="8">
        <v>1390</v>
      </c>
      <c r="M2083" s="8">
        <v>2866</v>
      </c>
      <c r="N2083" s="8">
        <v>3323</v>
      </c>
      <c r="O2083" s="9">
        <f t="shared" si="32"/>
        <v>9.8386168375722172E-2</v>
      </c>
      <c r="P2083" s="6" t="s">
        <v>22</v>
      </c>
    </row>
    <row r="2084" spans="1:16" x14ac:dyDescent="0.25">
      <c r="A2084" s="2" t="s">
        <v>4237</v>
      </c>
      <c r="B2084" s="2" t="s">
        <v>4238</v>
      </c>
      <c r="C2084" s="2" t="s">
        <v>25</v>
      </c>
      <c r="D2084" s="3" t="s">
        <v>61</v>
      </c>
      <c r="E2084" s="3" t="s">
        <v>34</v>
      </c>
      <c r="F2084" s="2" t="s">
        <v>28</v>
      </c>
      <c r="G2084" s="4">
        <v>252507</v>
      </c>
      <c r="H2084" s="4">
        <v>123871</v>
      </c>
      <c r="I2084" s="4">
        <v>96566</v>
      </c>
      <c r="J2084" s="4">
        <v>4550</v>
      </c>
      <c r="K2084" s="4">
        <v>345</v>
      </c>
      <c r="L2084" s="4">
        <v>204</v>
      </c>
      <c r="M2084" s="4">
        <v>441</v>
      </c>
      <c r="N2084" s="4">
        <v>1298</v>
      </c>
      <c r="O2084" s="5">
        <f t="shared" si="32"/>
        <v>5.7370088851148436E-2</v>
      </c>
      <c r="P2084" s="2" t="s">
        <v>22</v>
      </c>
    </row>
    <row r="2085" spans="1:16" x14ac:dyDescent="0.25">
      <c r="A2085" s="6" t="s">
        <v>4239</v>
      </c>
      <c r="B2085" s="6" t="s">
        <v>4240</v>
      </c>
      <c r="C2085" s="6" t="s">
        <v>32</v>
      </c>
      <c r="D2085" s="7" t="s">
        <v>49</v>
      </c>
      <c r="E2085" s="7" t="s">
        <v>27</v>
      </c>
      <c r="F2085" s="6" t="s">
        <v>40</v>
      </c>
      <c r="G2085" s="8">
        <v>443401</v>
      </c>
      <c r="H2085" s="8">
        <v>37603</v>
      </c>
      <c r="I2085" s="8">
        <v>32434</v>
      </c>
      <c r="J2085" s="8">
        <v>2925</v>
      </c>
      <c r="K2085" s="8">
        <v>120</v>
      </c>
      <c r="L2085" s="8">
        <v>193</v>
      </c>
      <c r="M2085" s="8">
        <v>29</v>
      </c>
      <c r="N2085" s="8">
        <v>818</v>
      </c>
      <c r="O2085" s="9">
        <f t="shared" si="32"/>
        <v>0.10072763149781094</v>
      </c>
      <c r="P2085" s="6" t="s">
        <v>22</v>
      </c>
    </row>
    <row r="2086" spans="1:16" x14ac:dyDescent="0.25">
      <c r="A2086" s="2" t="s">
        <v>4241</v>
      </c>
      <c r="B2086" s="2" t="s">
        <v>4242</v>
      </c>
      <c r="C2086" s="2" t="s">
        <v>18</v>
      </c>
      <c r="D2086" s="3" t="s">
        <v>231</v>
      </c>
      <c r="E2086" s="3" t="s">
        <v>45</v>
      </c>
      <c r="F2086" s="2" t="s">
        <v>58</v>
      </c>
      <c r="G2086" s="4">
        <v>794973</v>
      </c>
      <c r="H2086" s="4">
        <v>208424</v>
      </c>
      <c r="I2086" s="4">
        <v>188859</v>
      </c>
      <c r="J2086" s="4">
        <v>14790</v>
      </c>
      <c r="K2086" s="4">
        <v>1442</v>
      </c>
      <c r="L2086" s="4">
        <v>2101</v>
      </c>
      <c r="M2086" s="4">
        <v>2266</v>
      </c>
      <c r="N2086" s="4">
        <v>4752</v>
      </c>
      <c r="O2086" s="5">
        <f t="shared" si="32"/>
        <v>0.10907078826002467</v>
      </c>
      <c r="P2086" s="2" t="s">
        <v>22</v>
      </c>
    </row>
    <row r="2087" spans="1:16" x14ac:dyDescent="0.25">
      <c r="A2087" s="6" t="s">
        <v>4243</v>
      </c>
      <c r="B2087" s="6" t="s">
        <v>4244</v>
      </c>
      <c r="C2087" s="6" t="s">
        <v>43</v>
      </c>
      <c r="D2087" s="7" t="s">
        <v>172</v>
      </c>
      <c r="E2087" s="7" t="s">
        <v>27</v>
      </c>
      <c r="F2087" s="6" t="s">
        <v>70</v>
      </c>
      <c r="G2087" s="8">
        <v>678144</v>
      </c>
      <c r="H2087" s="8">
        <v>336395</v>
      </c>
      <c r="I2087" s="8">
        <v>243310</v>
      </c>
      <c r="J2087" s="8">
        <v>25397</v>
      </c>
      <c r="K2087" s="8">
        <v>3581</v>
      </c>
      <c r="L2087" s="8">
        <v>2011</v>
      </c>
      <c r="M2087" s="8">
        <v>8</v>
      </c>
      <c r="N2087" s="8">
        <v>8535</v>
      </c>
      <c r="O2087" s="9">
        <f t="shared" si="32"/>
        <v>0.12739714767169455</v>
      </c>
      <c r="P2087" s="6" t="s">
        <v>22</v>
      </c>
    </row>
    <row r="2088" spans="1:16" x14ac:dyDescent="0.25">
      <c r="A2088" s="2" t="s">
        <v>4245</v>
      </c>
      <c r="B2088" s="2" t="s">
        <v>4246</v>
      </c>
      <c r="C2088" s="2" t="s">
        <v>43</v>
      </c>
      <c r="D2088" s="3" t="s">
        <v>110</v>
      </c>
      <c r="E2088" s="3" t="s">
        <v>39</v>
      </c>
      <c r="F2088" s="2" t="s">
        <v>70</v>
      </c>
      <c r="G2088" s="4">
        <v>133357</v>
      </c>
      <c r="H2088" s="4">
        <v>33095</v>
      </c>
      <c r="I2088" s="4">
        <v>28176</v>
      </c>
      <c r="J2088" s="4">
        <v>1390</v>
      </c>
      <c r="K2088" s="4">
        <v>144</v>
      </c>
      <c r="L2088" s="4">
        <v>152</v>
      </c>
      <c r="M2088" s="4">
        <v>17</v>
      </c>
      <c r="N2088" s="4">
        <v>259</v>
      </c>
      <c r="O2088" s="5">
        <f t="shared" si="32"/>
        <v>6.0441510505394661E-2</v>
      </c>
      <c r="P2088" s="2" t="s">
        <v>66</v>
      </c>
    </row>
    <row r="2089" spans="1:16" x14ac:dyDescent="0.25">
      <c r="A2089" s="6" t="s">
        <v>4247</v>
      </c>
      <c r="B2089" s="6" t="s">
        <v>4248</v>
      </c>
      <c r="C2089" s="6" t="s">
        <v>32</v>
      </c>
      <c r="D2089" s="7" t="s">
        <v>121</v>
      </c>
      <c r="E2089" s="7" t="s">
        <v>34</v>
      </c>
      <c r="F2089" s="6" t="s">
        <v>35</v>
      </c>
      <c r="G2089" s="8">
        <v>272101</v>
      </c>
      <c r="H2089" s="8">
        <v>44867</v>
      </c>
      <c r="I2089" s="8">
        <v>32651</v>
      </c>
      <c r="J2089" s="8">
        <v>1684</v>
      </c>
      <c r="K2089" s="8">
        <v>258</v>
      </c>
      <c r="L2089" s="8">
        <v>244</v>
      </c>
      <c r="M2089" s="8">
        <v>3</v>
      </c>
      <c r="N2089" s="8">
        <v>1160</v>
      </c>
      <c r="O2089" s="9">
        <f t="shared" si="32"/>
        <v>6.7042357048788706E-2</v>
      </c>
      <c r="P2089" s="6" t="s">
        <v>22</v>
      </c>
    </row>
    <row r="2090" spans="1:16" x14ac:dyDescent="0.25">
      <c r="A2090" s="2" t="s">
        <v>4249</v>
      </c>
      <c r="B2090" s="2" t="s">
        <v>4250</v>
      </c>
      <c r="C2090" s="2" t="s">
        <v>76</v>
      </c>
      <c r="D2090" s="3" t="s">
        <v>77</v>
      </c>
      <c r="E2090" s="3" t="s">
        <v>27</v>
      </c>
      <c r="F2090" s="2" t="s">
        <v>104</v>
      </c>
      <c r="G2090" s="4">
        <v>491347</v>
      </c>
      <c r="H2090" s="4">
        <v>103983</v>
      </c>
      <c r="I2090" s="4">
        <v>80252</v>
      </c>
      <c r="J2090" s="4">
        <v>6924</v>
      </c>
      <c r="K2090" s="4">
        <v>927</v>
      </c>
      <c r="L2090" s="4">
        <v>732</v>
      </c>
      <c r="M2090" s="4">
        <v>656</v>
      </c>
      <c r="N2090" s="4">
        <v>2874</v>
      </c>
      <c r="O2090" s="5">
        <f t="shared" si="32"/>
        <v>0.11512485670139062</v>
      </c>
      <c r="P2090" s="2" t="s">
        <v>22</v>
      </c>
    </row>
    <row r="2091" spans="1:16" x14ac:dyDescent="0.25">
      <c r="A2091" s="6" t="s">
        <v>4251</v>
      </c>
      <c r="B2091" s="6" t="s">
        <v>4252</v>
      </c>
      <c r="C2091" s="6" t="s">
        <v>32</v>
      </c>
      <c r="D2091" s="7" t="s">
        <v>33</v>
      </c>
      <c r="E2091" s="7" t="s">
        <v>27</v>
      </c>
      <c r="F2091" s="6" t="s">
        <v>35</v>
      </c>
      <c r="G2091" s="8">
        <v>691696</v>
      </c>
      <c r="H2091" s="8">
        <v>292179</v>
      </c>
      <c r="I2091" s="8">
        <v>248191</v>
      </c>
      <c r="J2091" s="8">
        <v>19075</v>
      </c>
      <c r="K2091" s="8">
        <v>2400</v>
      </c>
      <c r="L2091" s="8">
        <v>522</v>
      </c>
      <c r="M2091" s="8">
        <v>14</v>
      </c>
      <c r="N2091" s="8">
        <v>5961</v>
      </c>
      <c r="O2091" s="9">
        <f t="shared" si="32"/>
        <v>8.868572994185929E-2</v>
      </c>
      <c r="P2091" s="6" t="s">
        <v>22</v>
      </c>
    </row>
    <row r="2092" spans="1:16" x14ac:dyDescent="0.25">
      <c r="A2092" s="2" t="s">
        <v>4253</v>
      </c>
      <c r="B2092" s="2" t="s">
        <v>4254</v>
      </c>
      <c r="C2092" s="2" t="s">
        <v>43</v>
      </c>
      <c r="D2092" s="3" t="s">
        <v>172</v>
      </c>
      <c r="E2092" s="3" t="s">
        <v>27</v>
      </c>
      <c r="F2092" s="2" t="s">
        <v>70</v>
      </c>
      <c r="G2092" s="4">
        <v>276306</v>
      </c>
      <c r="H2092" s="4">
        <v>112444</v>
      </c>
      <c r="I2092" s="4">
        <v>90266</v>
      </c>
      <c r="J2092" s="4">
        <v>4154</v>
      </c>
      <c r="K2092" s="4">
        <v>453</v>
      </c>
      <c r="L2092" s="4">
        <v>139</v>
      </c>
      <c r="M2092" s="4">
        <v>43</v>
      </c>
      <c r="N2092" s="4">
        <v>1208</v>
      </c>
      <c r="O2092" s="5">
        <f t="shared" si="32"/>
        <v>5.3054306161788495E-2</v>
      </c>
      <c r="P2092" s="2" t="s">
        <v>22</v>
      </c>
    </row>
    <row r="2093" spans="1:16" x14ac:dyDescent="0.25">
      <c r="A2093" s="6" t="s">
        <v>4255</v>
      </c>
      <c r="B2093" s="6" t="s">
        <v>4256</v>
      </c>
      <c r="C2093" s="6" t="s">
        <v>25</v>
      </c>
      <c r="D2093" s="7" t="s">
        <v>145</v>
      </c>
      <c r="E2093" s="7" t="s">
        <v>50</v>
      </c>
      <c r="F2093" s="6" t="s">
        <v>28</v>
      </c>
      <c r="G2093" s="8">
        <v>725325</v>
      </c>
      <c r="H2093" s="8">
        <v>211652</v>
      </c>
      <c r="I2093" s="8">
        <v>184808</v>
      </c>
      <c r="J2093" s="8">
        <v>6341</v>
      </c>
      <c r="K2093" s="8">
        <v>539</v>
      </c>
      <c r="L2093" s="8">
        <v>193</v>
      </c>
      <c r="M2093" s="8">
        <v>1353</v>
      </c>
      <c r="N2093" s="8">
        <v>1419</v>
      </c>
      <c r="O2093" s="9">
        <f t="shared" si="32"/>
        <v>4.5593264360850178E-2</v>
      </c>
      <c r="P2093" s="6" t="s">
        <v>22</v>
      </c>
    </row>
    <row r="2094" spans="1:16" x14ac:dyDescent="0.25">
      <c r="A2094" s="2" t="s">
        <v>4257</v>
      </c>
      <c r="B2094" s="2" t="s">
        <v>4258</v>
      </c>
      <c r="C2094" s="2" t="s">
        <v>25</v>
      </c>
      <c r="D2094" s="3" t="s">
        <v>244</v>
      </c>
      <c r="E2094" s="3" t="s">
        <v>39</v>
      </c>
      <c r="F2094" s="2" t="s">
        <v>65</v>
      </c>
      <c r="G2094" s="4">
        <v>312897</v>
      </c>
      <c r="H2094" s="4">
        <v>1613400</v>
      </c>
      <c r="I2094" s="4">
        <v>1373877</v>
      </c>
      <c r="J2094" s="4">
        <v>52595</v>
      </c>
      <c r="K2094" s="4">
        <v>2667</v>
      </c>
      <c r="L2094" s="4">
        <v>1676</v>
      </c>
      <c r="M2094" s="4">
        <v>9460</v>
      </c>
      <c r="N2094" s="4">
        <v>15561</v>
      </c>
      <c r="O2094" s="5">
        <f t="shared" si="32"/>
        <v>4.8328926097459965E-2</v>
      </c>
      <c r="P2094" s="2" t="s">
        <v>22</v>
      </c>
    </row>
    <row r="2095" spans="1:16" x14ac:dyDescent="0.25">
      <c r="A2095" s="6" t="s">
        <v>4259</v>
      </c>
      <c r="B2095" s="6" t="s">
        <v>4260</v>
      </c>
      <c r="C2095" s="6" t="s">
        <v>76</v>
      </c>
      <c r="D2095" s="7" t="s">
        <v>77</v>
      </c>
      <c r="E2095" s="7" t="s">
        <v>27</v>
      </c>
      <c r="F2095" s="6" t="s">
        <v>87</v>
      </c>
      <c r="G2095" s="8">
        <v>673670</v>
      </c>
      <c r="H2095" s="8">
        <v>199495</v>
      </c>
      <c r="I2095" s="8">
        <v>144143</v>
      </c>
      <c r="J2095" s="8">
        <v>12811</v>
      </c>
      <c r="K2095" s="8">
        <v>1632</v>
      </c>
      <c r="L2095" s="8">
        <v>595</v>
      </c>
      <c r="M2095" s="8">
        <v>2649</v>
      </c>
      <c r="N2095" s="8">
        <v>3154</v>
      </c>
      <c r="O2095" s="9">
        <f t="shared" si="32"/>
        <v>0.12270453646725821</v>
      </c>
      <c r="P2095" s="6" t="s">
        <v>22</v>
      </c>
    </row>
    <row r="2096" spans="1:16" x14ac:dyDescent="0.25">
      <c r="A2096" s="2" t="s">
        <v>4261</v>
      </c>
      <c r="B2096" s="2" t="s">
        <v>4262</v>
      </c>
      <c r="C2096" s="2" t="s">
        <v>25</v>
      </c>
      <c r="D2096" s="3" t="s">
        <v>26</v>
      </c>
      <c r="E2096" s="3" t="s">
        <v>39</v>
      </c>
      <c r="F2096" s="2" t="s">
        <v>146</v>
      </c>
      <c r="G2096" s="4">
        <v>787110</v>
      </c>
      <c r="H2096" s="4">
        <v>429204</v>
      </c>
      <c r="I2096" s="4">
        <v>325513</v>
      </c>
      <c r="J2096" s="4">
        <v>12088</v>
      </c>
      <c r="K2096" s="4">
        <v>1767</v>
      </c>
      <c r="L2096" s="4">
        <v>430</v>
      </c>
      <c r="M2096" s="4">
        <v>2617</v>
      </c>
      <c r="N2096" s="4">
        <v>3545</v>
      </c>
      <c r="O2096" s="5">
        <f t="shared" si="32"/>
        <v>5.1924193503792473E-2</v>
      </c>
      <c r="P2096" s="2" t="s">
        <v>29</v>
      </c>
    </row>
    <row r="2097" spans="1:16" x14ac:dyDescent="0.25">
      <c r="A2097" s="6" t="s">
        <v>4263</v>
      </c>
      <c r="B2097" s="6" t="s">
        <v>4264</v>
      </c>
      <c r="C2097" s="6" t="s">
        <v>43</v>
      </c>
      <c r="D2097" s="7" t="s">
        <v>110</v>
      </c>
      <c r="E2097" s="7" t="s">
        <v>50</v>
      </c>
      <c r="F2097" s="6" t="s">
        <v>107</v>
      </c>
      <c r="G2097" s="8">
        <v>151050</v>
      </c>
      <c r="H2097" s="8">
        <v>72505</v>
      </c>
      <c r="I2097" s="8">
        <v>55143</v>
      </c>
      <c r="J2097" s="8">
        <v>5047</v>
      </c>
      <c r="K2097" s="8">
        <v>389</v>
      </c>
      <c r="L2097" s="8">
        <v>388</v>
      </c>
      <c r="M2097" s="8">
        <v>49</v>
      </c>
      <c r="N2097" s="8">
        <v>2530</v>
      </c>
      <c r="O2097" s="9">
        <f t="shared" si="32"/>
        <v>0.10650490542770615</v>
      </c>
      <c r="P2097" s="6" t="s">
        <v>22</v>
      </c>
    </row>
    <row r="2098" spans="1:16" x14ac:dyDescent="0.25">
      <c r="A2098" s="2" t="s">
        <v>4265</v>
      </c>
      <c r="B2098" s="2" t="s">
        <v>4266</v>
      </c>
      <c r="C2098" s="2" t="s">
        <v>43</v>
      </c>
      <c r="D2098" s="3" t="s">
        <v>110</v>
      </c>
      <c r="E2098" s="3" t="s">
        <v>34</v>
      </c>
      <c r="F2098" s="2" t="s">
        <v>107</v>
      </c>
      <c r="G2098" s="4">
        <v>114138</v>
      </c>
      <c r="H2098" s="4">
        <v>48949</v>
      </c>
      <c r="I2098" s="4">
        <v>43440</v>
      </c>
      <c r="J2098" s="4">
        <v>1892</v>
      </c>
      <c r="K2098" s="4">
        <v>65</v>
      </c>
      <c r="L2098" s="4">
        <v>234</v>
      </c>
      <c r="M2098" s="4">
        <v>8</v>
      </c>
      <c r="N2098" s="4">
        <v>530</v>
      </c>
      <c r="O2098" s="5">
        <f t="shared" si="32"/>
        <v>5.0621546961325967E-2</v>
      </c>
      <c r="P2098" s="2" t="s">
        <v>22</v>
      </c>
    </row>
    <row r="2099" spans="1:16" x14ac:dyDescent="0.25">
      <c r="A2099" s="6" t="s">
        <v>4267</v>
      </c>
      <c r="B2099" s="6" t="s">
        <v>4268</v>
      </c>
      <c r="C2099" s="6" t="s">
        <v>43</v>
      </c>
      <c r="D2099" s="7" t="s">
        <v>81</v>
      </c>
      <c r="E2099" s="7" t="s">
        <v>45</v>
      </c>
      <c r="F2099" s="6" t="s">
        <v>70</v>
      </c>
      <c r="G2099" s="8">
        <v>704692</v>
      </c>
      <c r="H2099" s="8">
        <v>308860</v>
      </c>
      <c r="I2099" s="8">
        <v>227848</v>
      </c>
      <c r="J2099" s="8">
        <v>15774</v>
      </c>
      <c r="K2099" s="8">
        <v>1268</v>
      </c>
      <c r="L2099" s="8">
        <v>2214</v>
      </c>
      <c r="M2099" s="8">
        <v>31</v>
      </c>
      <c r="N2099" s="8">
        <v>4473</v>
      </c>
      <c r="O2099" s="9">
        <f t="shared" si="32"/>
        <v>8.4648537621572276E-2</v>
      </c>
      <c r="P2099" s="6" t="s">
        <v>29</v>
      </c>
    </row>
    <row r="2100" spans="1:16" x14ac:dyDescent="0.25">
      <c r="A2100" s="2" t="s">
        <v>4269</v>
      </c>
      <c r="B2100" s="2" t="s">
        <v>4270</v>
      </c>
      <c r="C2100" s="2" t="s">
        <v>43</v>
      </c>
      <c r="D2100" s="3" t="s">
        <v>69</v>
      </c>
      <c r="E2100" s="3" t="s">
        <v>20</v>
      </c>
      <c r="F2100" s="2" t="s">
        <v>46</v>
      </c>
      <c r="G2100" s="4">
        <v>274340</v>
      </c>
      <c r="H2100" s="4">
        <v>150555</v>
      </c>
      <c r="I2100" s="4">
        <v>117250</v>
      </c>
      <c r="J2100" s="4">
        <v>5544</v>
      </c>
      <c r="K2100" s="4">
        <v>749</v>
      </c>
      <c r="L2100" s="4">
        <v>465</v>
      </c>
      <c r="M2100" s="4">
        <v>30</v>
      </c>
      <c r="N2100" s="4">
        <v>1895</v>
      </c>
      <c r="O2100" s="5">
        <f t="shared" si="32"/>
        <v>5.7893390191897653E-2</v>
      </c>
      <c r="P2100" s="2" t="s">
        <v>29</v>
      </c>
    </row>
    <row r="2101" spans="1:16" x14ac:dyDescent="0.25">
      <c r="A2101" s="6" t="s">
        <v>4271</v>
      </c>
      <c r="B2101" s="6" t="s">
        <v>4272</v>
      </c>
      <c r="C2101" s="6" t="s">
        <v>43</v>
      </c>
      <c r="D2101" s="7" t="s">
        <v>44</v>
      </c>
      <c r="E2101" s="7" t="s">
        <v>34</v>
      </c>
      <c r="F2101" s="6" t="s">
        <v>46</v>
      </c>
      <c r="G2101" s="8">
        <v>450386</v>
      </c>
      <c r="H2101" s="8">
        <v>49603</v>
      </c>
      <c r="I2101" s="8">
        <v>34817</v>
      </c>
      <c r="J2101" s="8">
        <v>2683</v>
      </c>
      <c r="K2101" s="8">
        <v>432</v>
      </c>
      <c r="L2101" s="8">
        <v>375</v>
      </c>
      <c r="M2101" s="8">
        <v>24</v>
      </c>
      <c r="N2101" s="8">
        <v>690</v>
      </c>
      <c r="O2101" s="9">
        <f t="shared" si="32"/>
        <v>0.10092770772898296</v>
      </c>
      <c r="P2101" s="6" t="s">
        <v>22</v>
      </c>
    </row>
    <row r="2102" spans="1:16" x14ac:dyDescent="0.25">
      <c r="A2102" s="2" t="s">
        <v>4273</v>
      </c>
      <c r="B2102" s="2" t="s">
        <v>4274</v>
      </c>
      <c r="C2102" s="2" t="s">
        <v>18</v>
      </c>
      <c r="D2102" s="3" t="s">
        <v>19</v>
      </c>
      <c r="E2102" s="3" t="s">
        <v>39</v>
      </c>
      <c r="F2102" s="2" t="s">
        <v>58</v>
      </c>
      <c r="G2102" s="4">
        <v>625031</v>
      </c>
      <c r="H2102" s="4">
        <v>365644</v>
      </c>
      <c r="I2102" s="4">
        <v>284237</v>
      </c>
      <c r="J2102" s="4">
        <v>21607</v>
      </c>
      <c r="K2102" s="4">
        <v>1588</v>
      </c>
      <c r="L2102" s="4">
        <v>2691</v>
      </c>
      <c r="M2102" s="4">
        <v>1169</v>
      </c>
      <c r="N2102" s="4">
        <v>2932</v>
      </c>
      <c r="O2102" s="5">
        <f t="shared" si="32"/>
        <v>9.5184652244429818E-2</v>
      </c>
      <c r="P2102" s="2" t="s">
        <v>22</v>
      </c>
    </row>
    <row r="2103" spans="1:16" x14ac:dyDescent="0.25">
      <c r="A2103" s="6" t="s">
        <v>4275</v>
      </c>
      <c r="B2103" s="6" t="s">
        <v>4276</v>
      </c>
      <c r="C2103" s="6" t="s">
        <v>25</v>
      </c>
      <c r="D2103" s="7" t="s">
        <v>244</v>
      </c>
      <c r="E2103" s="7" t="s">
        <v>50</v>
      </c>
      <c r="F2103" s="6" t="s">
        <v>28</v>
      </c>
      <c r="G2103" s="8">
        <v>769154</v>
      </c>
      <c r="H2103" s="8">
        <v>252272</v>
      </c>
      <c r="I2103" s="8">
        <v>218529</v>
      </c>
      <c r="J2103" s="8">
        <v>5960</v>
      </c>
      <c r="K2103" s="8">
        <v>924</v>
      </c>
      <c r="L2103" s="8">
        <v>595</v>
      </c>
      <c r="M2103" s="8">
        <v>1473</v>
      </c>
      <c r="N2103" s="8">
        <v>2945</v>
      </c>
      <c r="O2103" s="9">
        <f t="shared" si="32"/>
        <v>4.0964814738547288E-2</v>
      </c>
      <c r="P2103" s="6" t="s">
        <v>29</v>
      </c>
    </row>
    <row r="2104" spans="1:16" x14ac:dyDescent="0.25">
      <c r="A2104" s="2" t="s">
        <v>4277</v>
      </c>
      <c r="B2104" s="2" t="s">
        <v>4278</v>
      </c>
      <c r="C2104" s="2" t="s">
        <v>32</v>
      </c>
      <c r="D2104" s="3" t="s">
        <v>33</v>
      </c>
      <c r="E2104" s="3" t="s">
        <v>20</v>
      </c>
      <c r="F2104" s="2" t="s">
        <v>35</v>
      </c>
      <c r="G2104" s="4">
        <v>145185</v>
      </c>
      <c r="H2104" s="4">
        <v>89245</v>
      </c>
      <c r="I2104" s="4">
        <v>64516</v>
      </c>
      <c r="J2104" s="4">
        <v>4338</v>
      </c>
      <c r="K2104" s="4">
        <v>261</v>
      </c>
      <c r="L2104" s="4">
        <v>473</v>
      </c>
      <c r="M2104" s="4">
        <v>49</v>
      </c>
      <c r="N2104" s="4">
        <v>598</v>
      </c>
      <c r="O2104" s="5">
        <f t="shared" si="32"/>
        <v>7.9375658751317496E-2</v>
      </c>
      <c r="P2104" s="2" t="s">
        <v>22</v>
      </c>
    </row>
    <row r="2105" spans="1:16" x14ac:dyDescent="0.25">
      <c r="A2105" s="6" t="s">
        <v>4279</v>
      </c>
      <c r="B2105" s="6" t="s">
        <v>4280</v>
      </c>
      <c r="C2105" s="6" t="s">
        <v>43</v>
      </c>
      <c r="D2105" s="7" t="s">
        <v>110</v>
      </c>
      <c r="E2105" s="7" t="s">
        <v>20</v>
      </c>
      <c r="F2105" s="6" t="s">
        <v>107</v>
      </c>
      <c r="G2105" s="8">
        <v>667948</v>
      </c>
      <c r="H2105" s="8">
        <v>409198</v>
      </c>
      <c r="I2105" s="8">
        <v>371757</v>
      </c>
      <c r="J2105" s="8">
        <v>31209</v>
      </c>
      <c r="K2105" s="8">
        <v>3089</v>
      </c>
      <c r="L2105" s="8">
        <v>2949</v>
      </c>
      <c r="M2105" s="8">
        <v>9</v>
      </c>
      <c r="N2105" s="8">
        <v>10463</v>
      </c>
      <c r="O2105" s="9">
        <f t="shared" si="32"/>
        <v>0.10021600131268543</v>
      </c>
      <c r="P2105" s="6" t="s">
        <v>22</v>
      </c>
    </row>
    <row r="2106" spans="1:16" x14ac:dyDescent="0.25">
      <c r="A2106" s="2" t="s">
        <v>4281</v>
      </c>
      <c r="B2106" s="2" t="s">
        <v>4282</v>
      </c>
      <c r="C2106" s="2" t="s">
        <v>18</v>
      </c>
      <c r="D2106" s="3" t="s">
        <v>92</v>
      </c>
      <c r="E2106" s="3" t="s">
        <v>39</v>
      </c>
      <c r="F2106" s="2" t="s">
        <v>73</v>
      </c>
      <c r="G2106" s="4">
        <v>277817</v>
      </c>
      <c r="H2106" s="4">
        <v>148662</v>
      </c>
      <c r="I2106" s="4">
        <v>126913</v>
      </c>
      <c r="J2106" s="4">
        <v>10963</v>
      </c>
      <c r="K2106" s="4">
        <v>1498</v>
      </c>
      <c r="L2106" s="4">
        <v>723</v>
      </c>
      <c r="M2106" s="4">
        <v>1548</v>
      </c>
      <c r="N2106" s="4">
        <v>3004</v>
      </c>
      <c r="O2106" s="5">
        <f t="shared" si="32"/>
        <v>0.11607951904060261</v>
      </c>
      <c r="P2106" s="2" t="s">
        <v>22</v>
      </c>
    </row>
    <row r="2107" spans="1:16" x14ac:dyDescent="0.25">
      <c r="A2107" s="6" t="s">
        <v>4283</v>
      </c>
      <c r="B2107" s="6" t="s">
        <v>4284</v>
      </c>
      <c r="C2107" s="6" t="s">
        <v>76</v>
      </c>
      <c r="D2107" s="7" t="s">
        <v>182</v>
      </c>
      <c r="E2107" s="7" t="s">
        <v>45</v>
      </c>
      <c r="F2107" s="6" t="s">
        <v>78</v>
      </c>
      <c r="G2107" s="8">
        <v>716636</v>
      </c>
      <c r="H2107" s="8">
        <v>326417</v>
      </c>
      <c r="I2107" s="8">
        <v>260049</v>
      </c>
      <c r="J2107" s="8">
        <v>8613</v>
      </c>
      <c r="K2107" s="8">
        <v>553</v>
      </c>
      <c r="L2107" s="8">
        <v>1124</v>
      </c>
      <c r="M2107" s="8">
        <v>2035</v>
      </c>
      <c r="N2107" s="8">
        <v>4372</v>
      </c>
      <c r="O2107" s="9">
        <f t="shared" si="32"/>
        <v>4.7394914035431786E-2</v>
      </c>
      <c r="P2107" s="6" t="s">
        <v>22</v>
      </c>
    </row>
    <row r="2108" spans="1:16" x14ac:dyDescent="0.25">
      <c r="A2108" s="2" t="s">
        <v>4285</v>
      </c>
      <c r="B2108" s="2" t="s">
        <v>4286</v>
      </c>
      <c r="C2108" s="2" t="s">
        <v>25</v>
      </c>
      <c r="D2108" s="3" t="s">
        <v>26</v>
      </c>
      <c r="E2108" s="3" t="s">
        <v>39</v>
      </c>
      <c r="F2108" s="2" t="s">
        <v>54</v>
      </c>
      <c r="G2108" s="4">
        <v>486595</v>
      </c>
      <c r="H2108" s="4">
        <v>265169</v>
      </c>
      <c r="I2108" s="4">
        <v>187391</v>
      </c>
      <c r="J2108" s="4">
        <v>15904</v>
      </c>
      <c r="K2108" s="4">
        <v>2811</v>
      </c>
      <c r="L2108" s="4">
        <v>893</v>
      </c>
      <c r="M2108" s="4">
        <v>3731</v>
      </c>
      <c r="N2108" s="4">
        <v>4001</v>
      </c>
      <c r="O2108" s="5">
        <f t="shared" si="32"/>
        <v>0.12454707003004413</v>
      </c>
      <c r="P2108" s="2" t="s">
        <v>22</v>
      </c>
    </row>
    <row r="2109" spans="1:16" x14ac:dyDescent="0.25">
      <c r="A2109" s="6" t="s">
        <v>4287</v>
      </c>
      <c r="B2109" s="6" t="s">
        <v>4288</v>
      </c>
      <c r="C2109" s="6" t="s">
        <v>25</v>
      </c>
      <c r="D2109" s="7" t="s">
        <v>61</v>
      </c>
      <c r="E2109" s="7" t="s">
        <v>34</v>
      </c>
      <c r="F2109" s="6" t="s">
        <v>54</v>
      </c>
      <c r="G2109" s="8">
        <v>19180</v>
      </c>
      <c r="H2109" s="8">
        <v>11786</v>
      </c>
      <c r="I2109" s="8">
        <v>10504</v>
      </c>
      <c r="J2109" s="8">
        <v>328</v>
      </c>
      <c r="K2109" s="8">
        <v>45</v>
      </c>
      <c r="L2109" s="8">
        <v>13</v>
      </c>
      <c r="M2109" s="8">
        <v>47</v>
      </c>
      <c r="N2109" s="8">
        <v>288</v>
      </c>
      <c r="O2109" s="9">
        <f t="shared" si="32"/>
        <v>4.1222391469916221E-2</v>
      </c>
      <c r="P2109" s="6" t="s">
        <v>29</v>
      </c>
    </row>
    <row r="2110" spans="1:16" x14ac:dyDescent="0.25">
      <c r="A2110" s="2" t="s">
        <v>4289</v>
      </c>
      <c r="B2110" s="2" t="s">
        <v>4290</v>
      </c>
      <c r="C2110" s="2" t="s">
        <v>43</v>
      </c>
      <c r="D2110" s="3" t="s">
        <v>44</v>
      </c>
      <c r="E2110" s="3" t="s">
        <v>39</v>
      </c>
      <c r="F2110" s="2" t="s">
        <v>46</v>
      </c>
      <c r="G2110" s="4">
        <v>516688</v>
      </c>
      <c r="H2110" s="4">
        <v>121709</v>
      </c>
      <c r="I2110" s="4">
        <v>101929</v>
      </c>
      <c r="J2110" s="4">
        <v>4758</v>
      </c>
      <c r="K2110" s="4">
        <v>331</v>
      </c>
      <c r="L2110" s="4">
        <v>658</v>
      </c>
      <c r="M2110" s="4">
        <v>14</v>
      </c>
      <c r="N2110" s="4">
        <v>3602</v>
      </c>
      <c r="O2110" s="5">
        <f t="shared" si="32"/>
        <v>5.6519734324873193E-2</v>
      </c>
      <c r="P2110" s="2" t="s">
        <v>66</v>
      </c>
    </row>
    <row r="2111" spans="1:16" x14ac:dyDescent="0.25">
      <c r="A2111" s="6" t="s">
        <v>4291</v>
      </c>
      <c r="B2111" s="6" t="s">
        <v>4292</v>
      </c>
      <c r="C2111" s="6" t="s">
        <v>25</v>
      </c>
      <c r="D2111" s="7" t="s">
        <v>26</v>
      </c>
      <c r="E2111" s="7" t="s">
        <v>27</v>
      </c>
      <c r="F2111" s="6" t="s">
        <v>146</v>
      </c>
      <c r="G2111" s="8">
        <v>639941</v>
      </c>
      <c r="H2111" s="8">
        <v>323377</v>
      </c>
      <c r="I2111" s="8">
        <v>232041</v>
      </c>
      <c r="J2111" s="8">
        <v>25065</v>
      </c>
      <c r="K2111" s="8">
        <v>1201</v>
      </c>
      <c r="L2111" s="8">
        <v>540</v>
      </c>
      <c r="M2111" s="8">
        <v>3154</v>
      </c>
      <c r="N2111" s="8">
        <v>6367</v>
      </c>
      <c r="O2111" s="9">
        <f t="shared" si="32"/>
        <v>0.12911511327739494</v>
      </c>
      <c r="P2111" s="6" t="s">
        <v>29</v>
      </c>
    </row>
    <row r="2112" spans="1:16" x14ac:dyDescent="0.25">
      <c r="A2112" s="2" t="s">
        <v>4293</v>
      </c>
      <c r="B2112" s="2" t="s">
        <v>4294</v>
      </c>
      <c r="C2112" s="2" t="s">
        <v>18</v>
      </c>
      <c r="D2112" s="3" t="s">
        <v>92</v>
      </c>
      <c r="E2112" s="3" t="s">
        <v>39</v>
      </c>
      <c r="F2112" s="2" t="s">
        <v>73</v>
      </c>
      <c r="G2112" s="4">
        <v>701358</v>
      </c>
      <c r="H2112" s="4">
        <v>444389</v>
      </c>
      <c r="I2112" s="4">
        <v>332245</v>
      </c>
      <c r="J2112" s="4">
        <v>22131</v>
      </c>
      <c r="K2112" s="4">
        <v>1862</v>
      </c>
      <c r="L2112" s="4">
        <v>1468</v>
      </c>
      <c r="M2112" s="4">
        <v>2207</v>
      </c>
      <c r="N2112" s="4">
        <v>15148</v>
      </c>
      <c r="O2112" s="5">
        <f t="shared" si="32"/>
        <v>8.3275895799786309E-2</v>
      </c>
      <c r="P2112" s="2" t="s">
        <v>22</v>
      </c>
    </row>
    <row r="2113" spans="1:16" x14ac:dyDescent="0.25">
      <c r="A2113" s="6" t="s">
        <v>4295</v>
      </c>
      <c r="B2113" s="6" t="s">
        <v>4296</v>
      </c>
      <c r="C2113" s="6" t="s">
        <v>25</v>
      </c>
      <c r="D2113" s="7" t="s">
        <v>145</v>
      </c>
      <c r="E2113" s="7" t="s">
        <v>27</v>
      </c>
      <c r="F2113" s="6" t="s">
        <v>65</v>
      </c>
      <c r="G2113" s="8">
        <v>235264</v>
      </c>
      <c r="H2113" s="8">
        <v>1210327</v>
      </c>
      <c r="I2113" s="8">
        <v>861005</v>
      </c>
      <c r="J2113" s="8">
        <v>69426</v>
      </c>
      <c r="K2113" s="8">
        <v>10843</v>
      </c>
      <c r="L2113" s="8">
        <v>5604</v>
      </c>
      <c r="M2113" s="8">
        <v>15273</v>
      </c>
      <c r="N2113" s="8">
        <v>38895</v>
      </c>
      <c r="O2113" s="9">
        <f t="shared" si="32"/>
        <v>0.11747434683886854</v>
      </c>
      <c r="P2113" s="6" t="s">
        <v>22</v>
      </c>
    </row>
    <row r="2114" spans="1:16" x14ac:dyDescent="0.25">
      <c r="A2114" s="2" t="s">
        <v>4297</v>
      </c>
      <c r="B2114" s="2" t="s">
        <v>4298</v>
      </c>
      <c r="C2114" s="2" t="s">
        <v>18</v>
      </c>
      <c r="D2114" s="3" t="s">
        <v>226</v>
      </c>
      <c r="E2114" s="3" t="s">
        <v>45</v>
      </c>
      <c r="F2114" s="2" t="s">
        <v>58</v>
      </c>
      <c r="G2114" s="4">
        <v>544817</v>
      </c>
      <c r="H2114" s="4">
        <v>321127</v>
      </c>
      <c r="I2114" s="4">
        <v>236086</v>
      </c>
      <c r="J2114" s="4">
        <v>19723</v>
      </c>
      <c r="K2114" s="4">
        <v>2573</v>
      </c>
      <c r="L2114" s="4">
        <v>2952</v>
      </c>
      <c r="M2114" s="4">
        <v>3378</v>
      </c>
      <c r="N2114" s="4">
        <v>9596</v>
      </c>
      <c r="O2114" s="5">
        <f t="shared" ref="O2114:O2177" si="33">IF(I2114&gt;0, (J2114+K2114+L2114+M2114)/I2114, 0)</f>
        <v>0.12125242496378438</v>
      </c>
      <c r="P2114" s="2" t="s">
        <v>29</v>
      </c>
    </row>
    <row r="2115" spans="1:16" x14ac:dyDescent="0.25">
      <c r="A2115" s="6" t="s">
        <v>4299</v>
      </c>
      <c r="B2115" s="6" t="s">
        <v>4300</v>
      </c>
      <c r="C2115" s="6" t="s">
        <v>76</v>
      </c>
      <c r="D2115" s="7" t="s">
        <v>77</v>
      </c>
      <c r="E2115" s="7" t="s">
        <v>27</v>
      </c>
      <c r="F2115" s="6" t="s">
        <v>87</v>
      </c>
      <c r="G2115" s="8">
        <v>497500</v>
      </c>
      <c r="H2115" s="8">
        <v>47603</v>
      </c>
      <c r="I2115" s="8">
        <v>39901</v>
      </c>
      <c r="J2115" s="8">
        <v>1195</v>
      </c>
      <c r="K2115" s="8">
        <v>63</v>
      </c>
      <c r="L2115" s="8">
        <v>140</v>
      </c>
      <c r="M2115" s="8">
        <v>184</v>
      </c>
      <c r="N2115" s="8">
        <v>1445</v>
      </c>
      <c r="O2115" s="9">
        <f t="shared" si="33"/>
        <v>3.9648129119570941E-2</v>
      </c>
      <c r="P2115" s="6" t="s">
        <v>66</v>
      </c>
    </row>
    <row r="2116" spans="1:16" x14ac:dyDescent="0.25">
      <c r="A2116" s="2" t="s">
        <v>4301</v>
      </c>
      <c r="B2116" s="2" t="s">
        <v>4302</v>
      </c>
      <c r="C2116" s="2" t="s">
        <v>18</v>
      </c>
      <c r="D2116" s="3" t="s">
        <v>92</v>
      </c>
      <c r="E2116" s="3" t="s">
        <v>39</v>
      </c>
      <c r="F2116" s="2" t="s">
        <v>21</v>
      </c>
      <c r="G2116" s="4">
        <v>140288</v>
      </c>
      <c r="H2116" s="4">
        <v>17251</v>
      </c>
      <c r="I2116" s="4">
        <v>15152</v>
      </c>
      <c r="J2116" s="4">
        <v>1283</v>
      </c>
      <c r="K2116" s="4">
        <v>210</v>
      </c>
      <c r="L2116" s="4">
        <v>111</v>
      </c>
      <c r="M2116" s="4">
        <v>183</v>
      </c>
      <c r="N2116" s="4">
        <v>267</v>
      </c>
      <c r="O2116" s="5">
        <f t="shared" si="33"/>
        <v>0.11793822597676874</v>
      </c>
      <c r="P2116" s="2" t="s">
        <v>22</v>
      </c>
    </row>
    <row r="2117" spans="1:16" x14ac:dyDescent="0.25">
      <c r="A2117" s="6" t="s">
        <v>4303</v>
      </c>
      <c r="B2117" s="6" t="s">
        <v>4304</v>
      </c>
      <c r="C2117" s="6" t="s">
        <v>25</v>
      </c>
      <c r="D2117" s="7" t="s">
        <v>64</v>
      </c>
      <c r="E2117" s="7" t="s">
        <v>34</v>
      </c>
      <c r="F2117" s="6" t="s">
        <v>54</v>
      </c>
      <c r="G2117" s="8">
        <v>835452</v>
      </c>
      <c r="H2117" s="8">
        <v>68276</v>
      </c>
      <c r="I2117" s="8">
        <v>52044</v>
      </c>
      <c r="J2117" s="8">
        <v>1640</v>
      </c>
      <c r="K2117" s="8">
        <v>131</v>
      </c>
      <c r="L2117" s="8">
        <v>68</v>
      </c>
      <c r="M2117" s="8">
        <v>342</v>
      </c>
      <c r="N2117" s="8">
        <v>914</v>
      </c>
      <c r="O2117" s="9">
        <f t="shared" si="33"/>
        <v>4.1906848051648606E-2</v>
      </c>
      <c r="P2117" s="6" t="s">
        <v>66</v>
      </c>
    </row>
    <row r="2118" spans="1:16" x14ac:dyDescent="0.25">
      <c r="A2118" s="2" t="s">
        <v>4305</v>
      </c>
      <c r="B2118" s="2" t="s">
        <v>4306</v>
      </c>
      <c r="C2118" s="2" t="s">
        <v>43</v>
      </c>
      <c r="D2118" s="3" t="s">
        <v>69</v>
      </c>
      <c r="E2118" s="3" t="s">
        <v>39</v>
      </c>
      <c r="F2118" s="2" t="s">
        <v>107</v>
      </c>
      <c r="G2118" s="4">
        <v>369028</v>
      </c>
      <c r="H2118" s="4">
        <v>193880</v>
      </c>
      <c r="I2118" s="4">
        <v>150247</v>
      </c>
      <c r="J2118" s="4">
        <v>10173</v>
      </c>
      <c r="K2118" s="4">
        <v>1754</v>
      </c>
      <c r="L2118" s="4">
        <v>209</v>
      </c>
      <c r="M2118" s="4">
        <v>21</v>
      </c>
      <c r="N2118" s="4">
        <v>4314</v>
      </c>
      <c r="O2118" s="5">
        <f t="shared" si="33"/>
        <v>8.0913429219884592E-2</v>
      </c>
      <c r="P2118" s="2" t="s">
        <v>22</v>
      </c>
    </row>
    <row r="2119" spans="1:16" x14ac:dyDescent="0.25">
      <c r="A2119" s="6" t="s">
        <v>4307</v>
      </c>
      <c r="B2119" s="6" t="s">
        <v>4308</v>
      </c>
      <c r="C2119" s="6" t="s">
        <v>32</v>
      </c>
      <c r="D2119" s="7" t="s">
        <v>49</v>
      </c>
      <c r="E2119" s="7" t="s">
        <v>20</v>
      </c>
      <c r="F2119" s="6" t="s">
        <v>35</v>
      </c>
      <c r="G2119" s="8">
        <v>434829</v>
      </c>
      <c r="H2119" s="8">
        <v>202620</v>
      </c>
      <c r="I2119" s="8">
        <v>161684</v>
      </c>
      <c r="J2119" s="8">
        <v>10151</v>
      </c>
      <c r="K2119" s="8">
        <v>1759</v>
      </c>
      <c r="L2119" s="8">
        <v>340</v>
      </c>
      <c r="M2119" s="8">
        <v>7</v>
      </c>
      <c r="N2119" s="8">
        <v>2763</v>
      </c>
      <c r="O2119" s="9">
        <f t="shared" si="33"/>
        <v>7.5808366937977781E-2</v>
      </c>
      <c r="P2119" s="6" t="s">
        <v>29</v>
      </c>
    </row>
    <row r="2120" spans="1:16" x14ac:dyDescent="0.25">
      <c r="A2120" s="2" t="s">
        <v>4309</v>
      </c>
      <c r="B2120" s="2" t="s">
        <v>4310</v>
      </c>
      <c r="C2120" s="2" t="s">
        <v>25</v>
      </c>
      <c r="D2120" s="3" t="s">
        <v>61</v>
      </c>
      <c r="E2120" s="3" t="s">
        <v>50</v>
      </c>
      <c r="F2120" s="2" t="s">
        <v>28</v>
      </c>
      <c r="G2120" s="4">
        <v>50718</v>
      </c>
      <c r="H2120" s="4">
        <v>23969</v>
      </c>
      <c r="I2120" s="4">
        <v>17549</v>
      </c>
      <c r="J2120" s="4">
        <v>1179</v>
      </c>
      <c r="K2120" s="4">
        <v>103</v>
      </c>
      <c r="L2120" s="4">
        <v>125</v>
      </c>
      <c r="M2120" s="4">
        <v>278</v>
      </c>
      <c r="N2120" s="4">
        <v>554</v>
      </c>
      <c r="O2120" s="5">
        <f t="shared" si="33"/>
        <v>9.6016867057952024E-2</v>
      </c>
      <c r="P2120" s="2" t="s">
        <v>22</v>
      </c>
    </row>
    <row r="2121" spans="1:16" x14ac:dyDescent="0.25">
      <c r="A2121" s="6" t="s">
        <v>4311</v>
      </c>
      <c r="B2121" s="6" t="s">
        <v>4312</v>
      </c>
      <c r="C2121" s="6" t="s">
        <v>32</v>
      </c>
      <c r="D2121" s="7" t="s">
        <v>121</v>
      </c>
      <c r="E2121" s="7" t="s">
        <v>50</v>
      </c>
      <c r="F2121" s="6" t="s">
        <v>128</v>
      </c>
      <c r="G2121" s="8">
        <v>465571</v>
      </c>
      <c r="H2121" s="8">
        <v>217378</v>
      </c>
      <c r="I2121" s="8">
        <v>194106</v>
      </c>
      <c r="J2121" s="8">
        <v>9818</v>
      </c>
      <c r="K2121" s="8">
        <v>1046</v>
      </c>
      <c r="L2121" s="8">
        <v>1260</v>
      </c>
      <c r="M2121" s="8">
        <v>44</v>
      </c>
      <c r="N2121" s="8">
        <v>6945</v>
      </c>
      <c r="O2121" s="9">
        <f t="shared" si="33"/>
        <v>6.2687397607492812E-2</v>
      </c>
      <c r="P2121" s="6" t="s">
        <v>66</v>
      </c>
    </row>
    <row r="2122" spans="1:16" x14ac:dyDescent="0.25">
      <c r="A2122" s="2" t="s">
        <v>4313</v>
      </c>
      <c r="B2122" s="2" t="s">
        <v>4314</v>
      </c>
      <c r="C2122" s="2" t="s">
        <v>43</v>
      </c>
      <c r="D2122" s="3" t="s">
        <v>81</v>
      </c>
      <c r="E2122" s="3" t="s">
        <v>34</v>
      </c>
      <c r="F2122" s="2" t="s">
        <v>70</v>
      </c>
      <c r="G2122" s="4">
        <v>416993</v>
      </c>
      <c r="H2122" s="4">
        <v>256128</v>
      </c>
      <c r="I2122" s="4">
        <v>215414</v>
      </c>
      <c r="J2122" s="4">
        <v>20157</v>
      </c>
      <c r="K2122" s="4">
        <v>1480</v>
      </c>
      <c r="L2122" s="4">
        <v>643</v>
      </c>
      <c r="M2122" s="4">
        <v>28</v>
      </c>
      <c r="N2122" s="4">
        <v>6081</v>
      </c>
      <c r="O2122" s="5">
        <f t="shared" si="33"/>
        <v>0.10355872877343163</v>
      </c>
      <c r="P2122" s="2" t="s">
        <v>29</v>
      </c>
    </row>
    <row r="2123" spans="1:16" x14ac:dyDescent="0.25">
      <c r="A2123" s="6" t="s">
        <v>4315</v>
      </c>
      <c r="B2123" s="6" t="s">
        <v>4316</v>
      </c>
      <c r="C2123" s="6" t="s">
        <v>18</v>
      </c>
      <c r="D2123" s="7" t="s">
        <v>19</v>
      </c>
      <c r="E2123" s="7" t="s">
        <v>39</v>
      </c>
      <c r="F2123" s="6" t="s">
        <v>58</v>
      </c>
      <c r="G2123" s="8">
        <v>57429</v>
      </c>
      <c r="H2123" s="8">
        <v>9835</v>
      </c>
      <c r="I2123" s="8">
        <v>7344</v>
      </c>
      <c r="J2123" s="8">
        <v>694</v>
      </c>
      <c r="K2123" s="8">
        <v>65</v>
      </c>
      <c r="L2123" s="8">
        <v>37</v>
      </c>
      <c r="M2123" s="8">
        <v>128</v>
      </c>
      <c r="N2123" s="8">
        <v>225</v>
      </c>
      <c r="O2123" s="9">
        <f t="shared" si="33"/>
        <v>0.12581699346405228</v>
      </c>
      <c r="P2123" s="6" t="s">
        <v>66</v>
      </c>
    </row>
    <row r="2124" spans="1:16" x14ac:dyDescent="0.25">
      <c r="A2124" s="2" t="s">
        <v>4317</v>
      </c>
      <c r="B2124" s="2" t="s">
        <v>4318</v>
      </c>
      <c r="C2124" s="2" t="s">
        <v>32</v>
      </c>
      <c r="D2124" s="3" t="s">
        <v>33</v>
      </c>
      <c r="E2124" s="3" t="s">
        <v>34</v>
      </c>
      <c r="F2124" s="2" t="s">
        <v>40</v>
      </c>
      <c r="G2124" s="4">
        <v>464288</v>
      </c>
      <c r="H2124" s="4">
        <v>778494</v>
      </c>
      <c r="I2124" s="4">
        <v>645853</v>
      </c>
      <c r="J2124" s="4">
        <v>33738</v>
      </c>
      <c r="K2124" s="4">
        <v>1357</v>
      </c>
      <c r="L2124" s="4">
        <v>2907</v>
      </c>
      <c r="M2124" s="4">
        <v>28</v>
      </c>
      <c r="N2124" s="4">
        <v>12610</v>
      </c>
      <c r="O2124" s="5">
        <f t="shared" si="33"/>
        <v>5.8883368196787814E-2</v>
      </c>
      <c r="P2124" s="2" t="s">
        <v>29</v>
      </c>
    </row>
    <row r="2125" spans="1:16" x14ac:dyDescent="0.25">
      <c r="A2125" s="6" t="s">
        <v>4319</v>
      </c>
      <c r="B2125" s="6" t="s">
        <v>4320</v>
      </c>
      <c r="C2125" s="6" t="s">
        <v>43</v>
      </c>
      <c r="D2125" s="7" t="s">
        <v>44</v>
      </c>
      <c r="E2125" s="7" t="s">
        <v>34</v>
      </c>
      <c r="F2125" s="6" t="s">
        <v>70</v>
      </c>
      <c r="G2125" s="8">
        <v>703190</v>
      </c>
      <c r="H2125" s="8">
        <v>346954</v>
      </c>
      <c r="I2125" s="8">
        <v>315597</v>
      </c>
      <c r="J2125" s="8">
        <v>27004</v>
      </c>
      <c r="K2125" s="8">
        <v>3954</v>
      </c>
      <c r="L2125" s="8">
        <v>953</v>
      </c>
      <c r="M2125" s="8">
        <v>23</v>
      </c>
      <c r="N2125" s="8">
        <v>5787</v>
      </c>
      <c r="O2125" s="9">
        <f t="shared" si="33"/>
        <v>0.10118600620411475</v>
      </c>
      <c r="P2125" s="6" t="s">
        <v>22</v>
      </c>
    </row>
    <row r="2126" spans="1:16" x14ac:dyDescent="0.25">
      <c r="A2126" s="2" t="s">
        <v>4321</v>
      </c>
      <c r="B2126" s="2" t="s">
        <v>4322</v>
      </c>
      <c r="C2126" s="2" t="s">
        <v>25</v>
      </c>
      <c r="D2126" s="3" t="s">
        <v>145</v>
      </c>
      <c r="E2126" s="3" t="s">
        <v>34</v>
      </c>
      <c r="F2126" s="2" t="s">
        <v>28</v>
      </c>
      <c r="G2126" s="4">
        <v>482574</v>
      </c>
      <c r="H2126" s="4">
        <v>275857</v>
      </c>
      <c r="I2126" s="4">
        <v>240902</v>
      </c>
      <c r="J2126" s="4">
        <v>7422</v>
      </c>
      <c r="K2126" s="4">
        <v>483</v>
      </c>
      <c r="L2126" s="4">
        <v>829</v>
      </c>
      <c r="M2126" s="4">
        <v>640</v>
      </c>
      <c r="N2126" s="4">
        <v>7797</v>
      </c>
      <c r="O2126" s="5">
        <f t="shared" si="33"/>
        <v>3.8912088733177808E-2</v>
      </c>
      <c r="P2126" s="2" t="s">
        <v>22</v>
      </c>
    </row>
    <row r="2127" spans="1:16" x14ac:dyDescent="0.25">
      <c r="A2127" s="6" t="s">
        <v>4323</v>
      </c>
      <c r="B2127" s="6" t="s">
        <v>4324</v>
      </c>
      <c r="C2127" s="6" t="s">
        <v>76</v>
      </c>
      <c r="D2127" s="7" t="s">
        <v>103</v>
      </c>
      <c r="E2127" s="7" t="s">
        <v>39</v>
      </c>
      <c r="F2127" s="6" t="s">
        <v>155</v>
      </c>
      <c r="G2127" s="8">
        <v>429547</v>
      </c>
      <c r="H2127" s="8">
        <v>45669</v>
      </c>
      <c r="I2127" s="8">
        <v>32278</v>
      </c>
      <c r="J2127" s="8">
        <v>3384</v>
      </c>
      <c r="K2127" s="8">
        <v>237</v>
      </c>
      <c r="L2127" s="8">
        <v>428</v>
      </c>
      <c r="M2127" s="8">
        <v>829</v>
      </c>
      <c r="N2127" s="8">
        <v>1354</v>
      </c>
      <c r="O2127" s="9">
        <f t="shared" si="33"/>
        <v>0.15112460499411365</v>
      </c>
      <c r="P2127" s="6" t="s">
        <v>22</v>
      </c>
    </row>
    <row r="2128" spans="1:16" x14ac:dyDescent="0.25">
      <c r="A2128" s="2" t="s">
        <v>4325</v>
      </c>
      <c r="B2128" s="2" t="s">
        <v>4326</v>
      </c>
      <c r="C2128" s="2" t="s">
        <v>43</v>
      </c>
      <c r="D2128" s="3" t="s">
        <v>110</v>
      </c>
      <c r="E2128" s="3" t="s">
        <v>39</v>
      </c>
      <c r="F2128" s="2" t="s">
        <v>107</v>
      </c>
      <c r="G2128" s="4">
        <v>564647</v>
      </c>
      <c r="H2128" s="4">
        <v>331625</v>
      </c>
      <c r="I2128" s="4">
        <v>304946</v>
      </c>
      <c r="J2128" s="4">
        <v>15463</v>
      </c>
      <c r="K2128" s="4">
        <v>2134</v>
      </c>
      <c r="L2128" s="4">
        <v>1196</v>
      </c>
      <c r="M2128" s="4">
        <v>1</v>
      </c>
      <c r="N2128" s="4">
        <v>8984</v>
      </c>
      <c r="O2128" s="5">
        <f t="shared" si="33"/>
        <v>6.1630583775488121E-2</v>
      </c>
      <c r="P2128" s="2" t="s">
        <v>29</v>
      </c>
    </row>
    <row r="2129" spans="1:16" x14ac:dyDescent="0.25">
      <c r="A2129" s="6" t="s">
        <v>4327</v>
      </c>
      <c r="B2129" s="6" t="s">
        <v>4328</v>
      </c>
      <c r="C2129" s="6" t="s">
        <v>18</v>
      </c>
      <c r="D2129" s="7" t="s">
        <v>57</v>
      </c>
      <c r="E2129" s="7" t="s">
        <v>34</v>
      </c>
      <c r="F2129" s="6" t="s">
        <v>58</v>
      </c>
      <c r="G2129" s="8">
        <v>827917</v>
      </c>
      <c r="H2129" s="8">
        <v>477684</v>
      </c>
      <c r="I2129" s="8">
        <v>438719</v>
      </c>
      <c r="J2129" s="8">
        <v>32022</v>
      </c>
      <c r="K2129" s="8">
        <v>4482</v>
      </c>
      <c r="L2129" s="8">
        <v>970</v>
      </c>
      <c r="M2129" s="8">
        <v>7158</v>
      </c>
      <c r="N2129" s="8">
        <v>9384</v>
      </c>
      <c r="O2129" s="9">
        <f t="shared" si="33"/>
        <v>0.10173254406579155</v>
      </c>
      <c r="P2129" s="6" t="s">
        <v>22</v>
      </c>
    </row>
    <row r="2130" spans="1:16" x14ac:dyDescent="0.25">
      <c r="A2130" s="2" t="s">
        <v>4329</v>
      </c>
      <c r="B2130" s="2" t="s">
        <v>4330</v>
      </c>
      <c r="C2130" s="2" t="s">
        <v>32</v>
      </c>
      <c r="D2130" s="3" t="s">
        <v>175</v>
      </c>
      <c r="E2130" s="3" t="s">
        <v>45</v>
      </c>
      <c r="F2130" s="2" t="s">
        <v>35</v>
      </c>
      <c r="G2130" s="4">
        <v>252440</v>
      </c>
      <c r="H2130" s="4">
        <v>121283</v>
      </c>
      <c r="I2130" s="4">
        <v>89873</v>
      </c>
      <c r="J2130" s="4">
        <v>3002</v>
      </c>
      <c r="K2130" s="4">
        <v>251</v>
      </c>
      <c r="L2130" s="4">
        <v>246</v>
      </c>
      <c r="M2130" s="4">
        <v>31</v>
      </c>
      <c r="N2130" s="4">
        <v>3517</v>
      </c>
      <c r="O2130" s="5">
        <f t="shared" si="33"/>
        <v>3.9277647346811613E-2</v>
      </c>
      <c r="P2130" s="2" t="s">
        <v>29</v>
      </c>
    </row>
    <row r="2131" spans="1:16" x14ac:dyDescent="0.25">
      <c r="A2131" s="6" t="s">
        <v>4331</v>
      </c>
      <c r="B2131" s="6" t="s">
        <v>4332</v>
      </c>
      <c r="C2131" s="6" t="s">
        <v>43</v>
      </c>
      <c r="D2131" s="7" t="s">
        <v>69</v>
      </c>
      <c r="E2131" s="7" t="s">
        <v>39</v>
      </c>
      <c r="F2131" s="6" t="s">
        <v>70</v>
      </c>
      <c r="G2131" s="8">
        <v>551453</v>
      </c>
      <c r="H2131" s="8">
        <v>283104</v>
      </c>
      <c r="I2131" s="8">
        <v>229281</v>
      </c>
      <c r="J2131" s="8">
        <v>6801</v>
      </c>
      <c r="K2131" s="8">
        <v>377</v>
      </c>
      <c r="L2131" s="8">
        <v>583</v>
      </c>
      <c r="M2131" s="8">
        <v>14</v>
      </c>
      <c r="N2131" s="8">
        <v>6747</v>
      </c>
      <c r="O2131" s="9">
        <f t="shared" si="33"/>
        <v>3.3910354543115216E-2</v>
      </c>
      <c r="P2131" s="6" t="s">
        <v>22</v>
      </c>
    </row>
    <row r="2132" spans="1:16" x14ac:dyDescent="0.25">
      <c r="A2132" s="2" t="s">
        <v>4333</v>
      </c>
      <c r="B2132" s="2" t="s">
        <v>4334</v>
      </c>
      <c r="C2132" s="2" t="s">
        <v>43</v>
      </c>
      <c r="D2132" s="3" t="s">
        <v>69</v>
      </c>
      <c r="E2132" s="3" t="s">
        <v>20</v>
      </c>
      <c r="F2132" s="2" t="s">
        <v>46</v>
      </c>
      <c r="G2132" s="4">
        <v>219806</v>
      </c>
      <c r="H2132" s="4">
        <v>103539</v>
      </c>
      <c r="I2132" s="4">
        <v>74348</v>
      </c>
      <c r="J2132" s="4">
        <v>3071</v>
      </c>
      <c r="K2132" s="4">
        <v>186</v>
      </c>
      <c r="L2132" s="4">
        <v>148</v>
      </c>
      <c r="M2132" s="4">
        <v>37</v>
      </c>
      <c r="N2132" s="4">
        <v>3109</v>
      </c>
      <c r="O2132" s="5">
        <f t="shared" si="33"/>
        <v>4.6295798138483883E-2</v>
      </c>
      <c r="P2132" s="2" t="s">
        <v>22</v>
      </c>
    </row>
    <row r="2133" spans="1:16" x14ac:dyDescent="0.25">
      <c r="A2133" s="6" t="s">
        <v>4335</v>
      </c>
      <c r="B2133" s="6" t="s">
        <v>4336</v>
      </c>
      <c r="C2133" s="6" t="s">
        <v>43</v>
      </c>
      <c r="D2133" s="7" t="s">
        <v>81</v>
      </c>
      <c r="E2133" s="7" t="s">
        <v>34</v>
      </c>
      <c r="F2133" s="6" t="s">
        <v>46</v>
      </c>
      <c r="G2133" s="8">
        <v>735115</v>
      </c>
      <c r="H2133" s="8">
        <v>147482</v>
      </c>
      <c r="I2133" s="8">
        <v>124710</v>
      </c>
      <c r="J2133" s="8">
        <v>3009</v>
      </c>
      <c r="K2133" s="8">
        <v>414</v>
      </c>
      <c r="L2133" s="8">
        <v>431</v>
      </c>
      <c r="M2133" s="8">
        <v>16</v>
      </c>
      <c r="N2133" s="8">
        <v>4821</v>
      </c>
      <c r="O2133" s="9">
        <f t="shared" si="33"/>
        <v>3.1031994226605724E-2</v>
      </c>
      <c r="P2133" s="6" t="s">
        <v>22</v>
      </c>
    </row>
    <row r="2134" spans="1:16" x14ac:dyDescent="0.25">
      <c r="A2134" s="2" t="s">
        <v>4337</v>
      </c>
      <c r="B2134" s="2" t="s">
        <v>4338</v>
      </c>
      <c r="C2134" s="2" t="s">
        <v>18</v>
      </c>
      <c r="D2134" s="3" t="s">
        <v>226</v>
      </c>
      <c r="E2134" s="3" t="s">
        <v>45</v>
      </c>
      <c r="F2134" s="2" t="s">
        <v>58</v>
      </c>
      <c r="G2134" s="4">
        <v>683973</v>
      </c>
      <c r="H2134" s="4">
        <v>206994</v>
      </c>
      <c r="I2134" s="4">
        <v>159270</v>
      </c>
      <c r="J2134" s="4">
        <v>10946</v>
      </c>
      <c r="K2134" s="4">
        <v>1704</v>
      </c>
      <c r="L2134" s="4">
        <v>1039</v>
      </c>
      <c r="M2134" s="4">
        <v>2499</v>
      </c>
      <c r="N2134" s="4">
        <v>3530</v>
      </c>
      <c r="O2134" s="5">
        <f t="shared" si="33"/>
        <v>0.10163872669052552</v>
      </c>
      <c r="P2134" s="2" t="s">
        <v>29</v>
      </c>
    </row>
    <row r="2135" spans="1:16" x14ac:dyDescent="0.25">
      <c r="A2135" s="6" t="s">
        <v>4339</v>
      </c>
      <c r="B2135" s="6" t="s">
        <v>4340</v>
      </c>
      <c r="C2135" s="6" t="s">
        <v>32</v>
      </c>
      <c r="D2135" s="7" t="s">
        <v>121</v>
      </c>
      <c r="E2135" s="7" t="s">
        <v>45</v>
      </c>
      <c r="F2135" s="6" t="s">
        <v>35</v>
      </c>
      <c r="G2135" s="8">
        <v>790856</v>
      </c>
      <c r="H2135" s="8">
        <v>483499</v>
      </c>
      <c r="I2135" s="8">
        <v>388850</v>
      </c>
      <c r="J2135" s="8">
        <v>22231</v>
      </c>
      <c r="K2135" s="8">
        <v>2003</v>
      </c>
      <c r="L2135" s="8">
        <v>1172</v>
      </c>
      <c r="M2135" s="8">
        <v>25</v>
      </c>
      <c r="N2135" s="8">
        <v>3097</v>
      </c>
      <c r="O2135" s="9">
        <f t="shared" si="33"/>
        <v>6.5400540054005404E-2</v>
      </c>
      <c r="P2135" s="6" t="s">
        <v>22</v>
      </c>
    </row>
    <row r="2136" spans="1:16" x14ac:dyDescent="0.25">
      <c r="A2136" s="2" t="s">
        <v>4341</v>
      </c>
      <c r="B2136" s="2" t="s">
        <v>4342</v>
      </c>
      <c r="C2136" s="2" t="s">
        <v>18</v>
      </c>
      <c r="D2136" s="3" t="s">
        <v>19</v>
      </c>
      <c r="E2136" s="3" t="s">
        <v>27</v>
      </c>
      <c r="F2136" s="2" t="s">
        <v>58</v>
      </c>
      <c r="G2136" s="4">
        <v>328451</v>
      </c>
      <c r="H2136" s="4">
        <v>86308</v>
      </c>
      <c r="I2136" s="4">
        <v>61756</v>
      </c>
      <c r="J2136" s="4">
        <v>3609</v>
      </c>
      <c r="K2136" s="4">
        <v>263</v>
      </c>
      <c r="L2136" s="4">
        <v>364</v>
      </c>
      <c r="M2136" s="4">
        <v>555</v>
      </c>
      <c r="N2136" s="4">
        <v>1801</v>
      </c>
      <c r="O2136" s="5">
        <f t="shared" si="33"/>
        <v>7.7579506444717922E-2</v>
      </c>
      <c r="P2136" s="2" t="s">
        <v>22</v>
      </c>
    </row>
    <row r="2137" spans="1:16" x14ac:dyDescent="0.25">
      <c r="A2137" s="6" t="s">
        <v>4343</v>
      </c>
      <c r="B2137" s="6" t="s">
        <v>4344</v>
      </c>
      <c r="C2137" s="6" t="s">
        <v>18</v>
      </c>
      <c r="D2137" s="7" t="s">
        <v>231</v>
      </c>
      <c r="E2137" s="7" t="s">
        <v>45</v>
      </c>
      <c r="F2137" s="6" t="s">
        <v>58</v>
      </c>
      <c r="G2137" s="8">
        <v>151128</v>
      </c>
      <c r="H2137" s="8">
        <v>49228</v>
      </c>
      <c r="I2137" s="8">
        <v>42038</v>
      </c>
      <c r="J2137" s="8">
        <v>2053</v>
      </c>
      <c r="K2137" s="8">
        <v>74</v>
      </c>
      <c r="L2137" s="8">
        <v>278</v>
      </c>
      <c r="M2137" s="8">
        <v>172</v>
      </c>
      <c r="N2137" s="8">
        <v>1467</v>
      </c>
      <c r="O2137" s="9">
        <f t="shared" si="33"/>
        <v>6.1301679432894045E-2</v>
      </c>
      <c r="P2137" s="6" t="s">
        <v>22</v>
      </c>
    </row>
    <row r="2138" spans="1:16" x14ac:dyDescent="0.25">
      <c r="A2138" s="2" t="s">
        <v>4345</v>
      </c>
      <c r="B2138" s="2" t="s">
        <v>4346</v>
      </c>
      <c r="C2138" s="2" t="s">
        <v>32</v>
      </c>
      <c r="D2138" s="3" t="s">
        <v>38</v>
      </c>
      <c r="E2138" s="3" t="s">
        <v>34</v>
      </c>
      <c r="F2138" s="2" t="s">
        <v>128</v>
      </c>
      <c r="G2138" s="4">
        <v>400857</v>
      </c>
      <c r="H2138" s="4">
        <v>63986</v>
      </c>
      <c r="I2138" s="4">
        <v>56908</v>
      </c>
      <c r="J2138" s="4">
        <v>2937</v>
      </c>
      <c r="K2138" s="4">
        <v>345</v>
      </c>
      <c r="L2138" s="4">
        <v>152</v>
      </c>
      <c r="M2138" s="4">
        <v>5</v>
      </c>
      <c r="N2138" s="4">
        <v>813</v>
      </c>
      <c r="O2138" s="5">
        <f t="shared" si="33"/>
        <v>6.043087087931398E-2</v>
      </c>
      <c r="P2138" s="2" t="s">
        <v>22</v>
      </c>
    </row>
    <row r="2139" spans="1:16" x14ac:dyDescent="0.25">
      <c r="A2139" s="6" t="s">
        <v>4347</v>
      </c>
      <c r="B2139" s="6" t="s">
        <v>4348</v>
      </c>
      <c r="C2139" s="6" t="s">
        <v>43</v>
      </c>
      <c r="D2139" s="7" t="s">
        <v>44</v>
      </c>
      <c r="E2139" s="7" t="s">
        <v>20</v>
      </c>
      <c r="F2139" s="6" t="s">
        <v>70</v>
      </c>
      <c r="G2139" s="8">
        <v>85316</v>
      </c>
      <c r="H2139" s="8">
        <v>12273</v>
      </c>
      <c r="I2139" s="8">
        <v>9300</v>
      </c>
      <c r="J2139" s="8">
        <v>261</v>
      </c>
      <c r="K2139" s="8">
        <v>21</v>
      </c>
      <c r="L2139" s="8">
        <v>22</v>
      </c>
      <c r="M2139" s="8">
        <v>20</v>
      </c>
      <c r="N2139" s="8">
        <v>187</v>
      </c>
      <c r="O2139" s="9">
        <f t="shared" si="33"/>
        <v>3.4838709677419352E-2</v>
      </c>
      <c r="P2139" s="6" t="s">
        <v>22</v>
      </c>
    </row>
    <row r="2140" spans="1:16" x14ac:dyDescent="0.25">
      <c r="A2140" s="2" t="s">
        <v>4349</v>
      </c>
      <c r="B2140" s="2" t="s">
        <v>4350</v>
      </c>
      <c r="C2140" s="2" t="s">
        <v>18</v>
      </c>
      <c r="D2140" s="3" t="s">
        <v>19</v>
      </c>
      <c r="E2140" s="3" t="s">
        <v>27</v>
      </c>
      <c r="F2140" s="2" t="s">
        <v>58</v>
      </c>
      <c r="G2140" s="4">
        <v>111910</v>
      </c>
      <c r="H2140" s="4">
        <v>26589</v>
      </c>
      <c r="I2140" s="4">
        <v>22172</v>
      </c>
      <c r="J2140" s="4">
        <v>2025</v>
      </c>
      <c r="K2140" s="4">
        <v>165</v>
      </c>
      <c r="L2140" s="4">
        <v>226</v>
      </c>
      <c r="M2140" s="4">
        <v>313</v>
      </c>
      <c r="N2140" s="4">
        <v>386</v>
      </c>
      <c r="O2140" s="5">
        <f t="shared" si="33"/>
        <v>0.12308316795958867</v>
      </c>
      <c r="P2140" s="2" t="s">
        <v>66</v>
      </c>
    </row>
    <row r="2141" spans="1:16" x14ac:dyDescent="0.25">
      <c r="A2141" s="6" t="s">
        <v>4351</v>
      </c>
      <c r="B2141" s="6" t="s">
        <v>4352</v>
      </c>
      <c r="C2141" s="6" t="s">
        <v>43</v>
      </c>
      <c r="D2141" s="7" t="s">
        <v>69</v>
      </c>
      <c r="E2141" s="7" t="s">
        <v>45</v>
      </c>
      <c r="F2141" s="6" t="s">
        <v>70</v>
      </c>
      <c r="G2141" s="8">
        <v>691132</v>
      </c>
      <c r="H2141" s="8">
        <v>192815</v>
      </c>
      <c r="I2141" s="8">
        <v>175491</v>
      </c>
      <c r="J2141" s="8">
        <v>14428</v>
      </c>
      <c r="K2141" s="8">
        <v>1367</v>
      </c>
      <c r="L2141" s="8">
        <v>1933</v>
      </c>
      <c r="M2141" s="8">
        <v>42</v>
      </c>
      <c r="N2141" s="8">
        <v>6673</v>
      </c>
      <c r="O2141" s="9">
        <f t="shared" si="33"/>
        <v>0.10125875401017716</v>
      </c>
      <c r="P2141" s="6" t="s">
        <v>29</v>
      </c>
    </row>
    <row r="2142" spans="1:16" x14ac:dyDescent="0.25">
      <c r="A2142" s="2" t="s">
        <v>4353</v>
      </c>
      <c r="B2142" s="2" t="s">
        <v>4354</v>
      </c>
      <c r="C2142" s="2" t="s">
        <v>18</v>
      </c>
      <c r="D2142" s="3" t="s">
        <v>92</v>
      </c>
      <c r="E2142" s="3" t="s">
        <v>39</v>
      </c>
      <c r="F2142" s="2" t="s">
        <v>73</v>
      </c>
      <c r="G2142" s="4">
        <v>264996</v>
      </c>
      <c r="H2142" s="4">
        <v>119883</v>
      </c>
      <c r="I2142" s="4">
        <v>92543</v>
      </c>
      <c r="J2142" s="4">
        <v>7306</v>
      </c>
      <c r="K2142" s="4">
        <v>1209</v>
      </c>
      <c r="L2142" s="4">
        <v>803</v>
      </c>
      <c r="M2142" s="4">
        <v>1242</v>
      </c>
      <c r="N2142" s="4">
        <v>3296</v>
      </c>
      <c r="O2142" s="5">
        <f t="shared" si="33"/>
        <v>0.1141091168429811</v>
      </c>
      <c r="P2142" s="2" t="s">
        <v>66</v>
      </c>
    </row>
    <row r="2143" spans="1:16" x14ac:dyDescent="0.25">
      <c r="A2143" s="6" t="s">
        <v>4355</v>
      </c>
      <c r="B2143" s="6" t="s">
        <v>4356</v>
      </c>
      <c r="C2143" s="6" t="s">
        <v>18</v>
      </c>
      <c r="D2143" s="7" t="s">
        <v>57</v>
      </c>
      <c r="E2143" s="7" t="s">
        <v>27</v>
      </c>
      <c r="F2143" s="6" t="s">
        <v>58</v>
      </c>
      <c r="G2143" s="8">
        <v>667109</v>
      </c>
      <c r="H2143" s="8">
        <v>320945</v>
      </c>
      <c r="I2143" s="8">
        <v>266455</v>
      </c>
      <c r="J2143" s="8">
        <v>13993</v>
      </c>
      <c r="K2143" s="8">
        <v>2278</v>
      </c>
      <c r="L2143" s="8">
        <v>1982</v>
      </c>
      <c r="M2143" s="8">
        <v>1494</v>
      </c>
      <c r="N2143" s="8">
        <v>5760</v>
      </c>
      <c r="O2143" s="9">
        <f t="shared" si="33"/>
        <v>7.4110074871929596E-2</v>
      </c>
      <c r="P2143" s="6" t="s">
        <v>29</v>
      </c>
    </row>
    <row r="2144" spans="1:16" x14ac:dyDescent="0.25">
      <c r="A2144" s="2" t="s">
        <v>4357</v>
      </c>
      <c r="B2144" s="2" t="s">
        <v>4358</v>
      </c>
      <c r="C2144" s="2" t="s">
        <v>32</v>
      </c>
      <c r="D2144" s="3" t="s">
        <v>49</v>
      </c>
      <c r="E2144" s="3" t="s">
        <v>39</v>
      </c>
      <c r="F2144" s="2" t="s">
        <v>35</v>
      </c>
      <c r="G2144" s="4">
        <v>594514</v>
      </c>
      <c r="H2144" s="4">
        <v>252986</v>
      </c>
      <c r="I2144" s="4">
        <v>182124</v>
      </c>
      <c r="J2144" s="4">
        <v>18382</v>
      </c>
      <c r="K2144" s="4">
        <v>912</v>
      </c>
      <c r="L2144" s="4">
        <v>2728</v>
      </c>
      <c r="M2144" s="4">
        <v>31</v>
      </c>
      <c r="N2144" s="4">
        <v>7436</v>
      </c>
      <c r="O2144" s="5">
        <f t="shared" si="33"/>
        <v>0.12108783026948672</v>
      </c>
      <c r="P2144" s="2" t="s">
        <v>29</v>
      </c>
    </row>
    <row r="2145" spans="1:16" x14ac:dyDescent="0.25">
      <c r="A2145" s="6" t="s">
        <v>4359</v>
      </c>
      <c r="B2145" s="6" t="s">
        <v>4360</v>
      </c>
      <c r="C2145" s="6" t="s">
        <v>18</v>
      </c>
      <c r="D2145" s="7" t="s">
        <v>19</v>
      </c>
      <c r="E2145" s="7" t="s">
        <v>34</v>
      </c>
      <c r="F2145" s="6" t="s">
        <v>21</v>
      </c>
      <c r="G2145" s="8">
        <v>568758</v>
      </c>
      <c r="H2145" s="8">
        <v>192747</v>
      </c>
      <c r="I2145" s="8">
        <v>173727</v>
      </c>
      <c r="J2145" s="8">
        <v>5291</v>
      </c>
      <c r="K2145" s="8">
        <v>841</v>
      </c>
      <c r="L2145" s="8">
        <v>357</v>
      </c>
      <c r="M2145" s="8">
        <v>344</v>
      </c>
      <c r="N2145" s="8">
        <v>1203</v>
      </c>
      <c r="O2145" s="9">
        <f t="shared" si="33"/>
        <v>3.9331825220029128E-2</v>
      </c>
      <c r="P2145" s="6" t="s">
        <v>22</v>
      </c>
    </row>
    <row r="2146" spans="1:16" x14ac:dyDescent="0.25">
      <c r="A2146" s="2" t="s">
        <v>4361</v>
      </c>
      <c r="B2146" s="2" t="s">
        <v>4362</v>
      </c>
      <c r="C2146" s="2" t="s">
        <v>25</v>
      </c>
      <c r="D2146" s="3" t="s">
        <v>244</v>
      </c>
      <c r="E2146" s="3" t="s">
        <v>45</v>
      </c>
      <c r="F2146" s="2" t="s">
        <v>28</v>
      </c>
      <c r="G2146" s="4">
        <v>439832</v>
      </c>
      <c r="H2146" s="4">
        <v>72918</v>
      </c>
      <c r="I2146" s="4">
        <v>57309</v>
      </c>
      <c r="J2146" s="4">
        <v>3317</v>
      </c>
      <c r="K2146" s="4">
        <v>207</v>
      </c>
      <c r="L2146" s="4">
        <v>407</v>
      </c>
      <c r="M2146" s="4">
        <v>564</v>
      </c>
      <c r="N2146" s="4">
        <v>2520</v>
      </c>
      <c r="O2146" s="5">
        <f t="shared" si="33"/>
        <v>7.8434451831300489E-2</v>
      </c>
      <c r="P2146" s="2" t="s">
        <v>22</v>
      </c>
    </row>
    <row r="2147" spans="1:16" x14ac:dyDescent="0.25">
      <c r="A2147" s="6" t="s">
        <v>4363</v>
      </c>
      <c r="B2147" s="6" t="s">
        <v>4364</v>
      </c>
      <c r="C2147" s="6" t="s">
        <v>25</v>
      </c>
      <c r="D2147" s="7" t="s">
        <v>26</v>
      </c>
      <c r="E2147" s="7" t="s">
        <v>20</v>
      </c>
      <c r="F2147" s="6" t="s">
        <v>28</v>
      </c>
      <c r="G2147" s="8">
        <v>254768</v>
      </c>
      <c r="H2147" s="8">
        <v>33646</v>
      </c>
      <c r="I2147" s="8">
        <v>23659</v>
      </c>
      <c r="J2147" s="8">
        <v>781</v>
      </c>
      <c r="K2147" s="8">
        <v>81</v>
      </c>
      <c r="L2147" s="8">
        <v>47</v>
      </c>
      <c r="M2147" s="8">
        <v>172</v>
      </c>
      <c r="N2147" s="8">
        <v>932</v>
      </c>
      <c r="O2147" s="9">
        <f t="shared" si="33"/>
        <v>4.5690857601758318E-2</v>
      </c>
      <c r="P2147" s="6" t="s">
        <v>29</v>
      </c>
    </row>
    <row r="2148" spans="1:16" x14ac:dyDescent="0.25">
      <c r="A2148" s="2" t="s">
        <v>4365</v>
      </c>
      <c r="B2148" s="2" t="s">
        <v>4366</v>
      </c>
      <c r="C2148" s="2" t="s">
        <v>25</v>
      </c>
      <c r="D2148" s="3" t="s">
        <v>145</v>
      </c>
      <c r="E2148" s="3" t="s">
        <v>20</v>
      </c>
      <c r="F2148" s="2" t="s">
        <v>28</v>
      </c>
      <c r="G2148" s="4">
        <v>557426</v>
      </c>
      <c r="H2148" s="4">
        <v>283854</v>
      </c>
      <c r="I2148" s="4">
        <v>201774</v>
      </c>
      <c r="J2148" s="4">
        <v>10446</v>
      </c>
      <c r="K2148" s="4">
        <v>336</v>
      </c>
      <c r="L2148" s="4">
        <v>1505</v>
      </c>
      <c r="M2148" s="4">
        <v>1776</v>
      </c>
      <c r="N2148" s="4">
        <v>7699</v>
      </c>
      <c r="O2148" s="5">
        <f t="shared" si="33"/>
        <v>6.9696789477336027E-2</v>
      </c>
      <c r="P2148" s="2" t="s">
        <v>22</v>
      </c>
    </row>
    <row r="2149" spans="1:16" x14ac:dyDescent="0.25">
      <c r="A2149" s="6" t="s">
        <v>4367</v>
      </c>
      <c r="B2149" s="6" t="s">
        <v>4368</v>
      </c>
      <c r="C2149" s="6" t="s">
        <v>43</v>
      </c>
      <c r="D2149" s="7" t="s">
        <v>172</v>
      </c>
      <c r="E2149" s="7" t="s">
        <v>27</v>
      </c>
      <c r="F2149" s="6" t="s">
        <v>46</v>
      </c>
      <c r="G2149" s="8">
        <v>28130</v>
      </c>
      <c r="H2149" s="8">
        <v>6576</v>
      </c>
      <c r="I2149" s="8">
        <v>5945</v>
      </c>
      <c r="J2149" s="8">
        <v>211</v>
      </c>
      <c r="K2149" s="8">
        <v>7</v>
      </c>
      <c r="L2149" s="8">
        <v>21</v>
      </c>
      <c r="M2149" s="8">
        <v>29</v>
      </c>
      <c r="N2149" s="8">
        <v>128</v>
      </c>
      <c r="O2149" s="9">
        <f t="shared" si="33"/>
        <v>4.5079899074852818E-2</v>
      </c>
      <c r="P2149" s="6" t="s">
        <v>29</v>
      </c>
    </row>
    <row r="2150" spans="1:16" x14ac:dyDescent="0.25">
      <c r="A2150" s="2" t="s">
        <v>4369</v>
      </c>
      <c r="B2150" s="2" t="s">
        <v>4370</v>
      </c>
      <c r="C2150" s="2" t="s">
        <v>25</v>
      </c>
      <c r="D2150" s="3" t="s">
        <v>64</v>
      </c>
      <c r="E2150" s="3" t="s">
        <v>39</v>
      </c>
      <c r="F2150" s="2" t="s">
        <v>65</v>
      </c>
      <c r="G2150" s="4">
        <v>662683</v>
      </c>
      <c r="H2150" s="4">
        <v>237920</v>
      </c>
      <c r="I2150" s="4">
        <v>184505</v>
      </c>
      <c r="J2150" s="4">
        <v>11051</v>
      </c>
      <c r="K2150" s="4">
        <v>439</v>
      </c>
      <c r="L2150" s="4">
        <v>403</v>
      </c>
      <c r="M2150" s="4">
        <v>1341</v>
      </c>
      <c r="N2150" s="4">
        <v>7949</v>
      </c>
      <c r="O2150" s="5">
        <f t="shared" si="33"/>
        <v>7.1727053467385712E-2</v>
      </c>
      <c r="P2150" s="2" t="s">
        <v>22</v>
      </c>
    </row>
    <row r="2151" spans="1:16" x14ac:dyDescent="0.25">
      <c r="A2151" s="6" t="s">
        <v>4371</v>
      </c>
      <c r="B2151" s="6" t="s">
        <v>4372</v>
      </c>
      <c r="C2151" s="6" t="s">
        <v>18</v>
      </c>
      <c r="D2151" s="7" t="s">
        <v>57</v>
      </c>
      <c r="E2151" s="7" t="s">
        <v>34</v>
      </c>
      <c r="F2151" s="6" t="s">
        <v>21</v>
      </c>
      <c r="G2151" s="8">
        <v>411060</v>
      </c>
      <c r="H2151" s="8">
        <v>57663</v>
      </c>
      <c r="I2151" s="8">
        <v>43498</v>
      </c>
      <c r="J2151" s="8">
        <v>1904</v>
      </c>
      <c r="K2151" s="8">
        <v>277</v>
      </c>
      <c r="L2151" s="8">
        <v>222</v>
      </c>
      <c r="M2151" s="8">
        <v>143</v>
      </c>
      <c r="N2151" s="8">
        <v>748</v>
      </c>
      <c r="O2151" s="9">
        <f t="shared" si="33"/>
        <v>5.8531426732263553E-2</v>
      </c>
      <c r="P2151" s="6" t="s">
        <v>22</v>
      </c>
    </row>
    <row r="2152" spans="1:16" x14ac:dyDescent="0.25">
      <c r="A2152" s="2" t="s">
        <v>4373</v>
      </c>
      <c r="B2152" s="2" t="s">
        <v>4374</v>
      </c>
      <c r="C2152" s="2" t="s">
        <v>76</v>
      </c>
      <c r="D2152" s="3" t="s">
        <v>77</v>
      </c>
      <c r="E2152" s="3" t="s">
        <v>20</v>
      </c>
      <c r="F2152" s="2" t="s">
        <v>78</v>
      </c>
      <c r="G2152" s="4">
        <v>235895</v>
      </c>
      <c r="H2152" s="4">
        <v>95432</v>
      </c>
      <c r="I2152" s="4">
        <v>70111</v>
      </c>
      <c r="J2152" s="4">
        <v>5451</v>
      </c>
      <c r="K2152" s="4">
        <v>769</v>
      </c>
      <c r="L2152" s="4">
        <v>798</v>
      </c>
      <c r="M2152" s="4">
        <v>974</v>
      </c>
      <c r="N2152" s="4">
        <v>1423</v>
      </c>
      <c r="O2152" s="5">
        <f t="shared" si="33"/>
        <v>0.11399067193450386</v>
      </c>
      <c r="P2152" s="2" t="s">
        <v>22</v>
      </c>
    </row>
    <row r="2153" spans="1:16" x14ac:dyDescent="0.25">
      <c r="A2153" s="6" t="s">
        <v>4375</v>
      </c>
      <c r="B2153" s="6" t="s">
        <v>4376</v>
      </c>
      <c r="C2153" s="6" t="s">
        <v>25</v>
      </c>
      <c r="D2153" s="7" t="s">
        <v>61</v>
      </c>
      <c r="E2153" s="7" t="s">
        <v>34</v>
      </c>
      <c r="F2153" s="6" t="s">
        <v>146</v>
      </c>
      <c r="G2153" s="8">
        <v>634813</v>
      </c>
      <c r="H2153" s="8">
        <v>363616</v>
      </c>
      <c r="I2153" s="8">
        <v>290522</v>
      </c>
      <c r="J2153" s="8">
        <v>9714</v>
      </c>
      <c r="K2153" s="8">
        <v>1166</v>
      </c>
      <c r="L2153" s="8">
        <v>381</v>
      </c>
      <c r="M2153" s="8">
        <v>1343</v>
      </c>
      <c r="N2153" s="8">
        <v>8357</v>
      </c>
      <c r="O2153" s="9">
        <f t="shared" si="33"/>
        <v>4.3383977805467398E-2</v>
      </c>
      <c r="P2153" s="6" t="s">
        <v>22</v>
      </c>
    </row>
    <row r="2154" spans="1:16" x14ac:dyDescent="0.25">
      <c r="A2154" s="2" t="s">
        <v>4377</v>
      </c>
      <c r="B2154" s="2" t="s">
        <v>4378</v>
      </c>
      <c r="C2154" s="2" t="s">
        <v>76</v>
      </c>
      <c r="D2154" s="3" t="s">
        <v>103</v>
      </c>
      <c r="E2154" s="3" t="s">
        <v>20</v>
      </c>
      <c r="F2154" s="2" t="s">
        <v>87</v>
      </c>
      <c r="G2154" s="4">
        <v>830634</v>
      </c>
      <c r="H2154" s="4">
        <v>265977</v>
      </c>
      <c r="I2154" s="4">
        <v>197124</v>
      </c>
      <c r="J2154" s="4">
        <v>8148</v>
      </c>
      <c r="K2154" s="4">
        <v>1262</v>
      </c>
      <c r="L2154" s="4">
        <v>910</v>
      </c>
      <c r="M2154" s="4">
        <v>1802</v>
      </c>
      <c r="N2154" s="4">
        <v>7088</v>
      </c>
      <c r="O2154" s="5">
        <f t="shared" si="33"/>
        <v>6.1494287859418434E-2</v>
      </c>
      <c r="P2154" s="2" t="s">
        <v>22</v>
      </c>
    </row>
    <row r="2155" spans="1:16" x14ac:dyDescent="0.25">
      <c r="A2155" s="6" t="s">
        <v>4379</v>
      </c>
      <c r="B2155" s="6" t="s">
        <v>4380</v>
      </c>
      <c r="C2155" s="6" t="s">
        <v>18</v>
      </c>
      <c r="D2155" s="7" t="s">
        <v>231</v>
      </c>
      <c r="E2155" s="7" t="s">
        <v>20</v>
      </c>
      <c r="F2155" s="6" t="s">
        <v>58</v>
      </c>
      <c r="G2155" s="8">
        <v>265887</v>
      </c>
      <c r="H2155" s="8">
        <v>80725</v>
      </c>
      <c r="I2155" s="8">
        <v>60964</v>
      </c>
      <c r="J2155" s="8">
        <v>5604</v>
      </c>
      <c r="K2155" s="8">
        <v>797</v>
      </c>
      <c r="L2155" s="8">
        <v>522</v>
      </c>
      <c r="M2155" s="8">
        <v>1170</v>
      </c>
      <c r="N2155" s="8">
        <v>1828</v>
      </c>
      <c r="O2155" s="9">
        <f t="shared" si="33"/>
        <v>0.1327504756905715</v>
      </c>
      <c r="P2155" s="6" t="s">
        <v>22</v>
      </c>
    </row>
    <row r="2156" spans="1:16" x14ac:dyDescent="0.25">
      <c r="A2156" s="2" t="s">
        <v>4381</v>
      </c>
      <c r="B2156" s="2" t="s">
        <v>4382</v>
      </c>
      <c r="C2156" s="2" t="s">
        <v>76</v>
      </c>
      <c r="D2156" s="3" t="s">
        <v>77</v>
      </c>
      <c r="E2156" s="3" t="s">
        <v>39</v>
      </c>
      <c r="F2156" s="2" t="s">
        <v>155</v>
      </c>
      <c r="G2156" s="4">
        <v>175672</v>
      </c>
      <c r="H2156" s="4">
        <v>109945</v>
      </c>
      <c r="I2156" s="4">
        <v>94323</v>
      </c>
      <c r="J2156" s="4">
        <v>3775</v>
      </c>
      <c r="K2156" s="4">
        <v>202</v>
      </c>
      <c r="L2156" s="4">
        <v>325</v>
      </c>
      <c r="M2156" s="4">
        <v>828</v>
      </c>
      <c r="N2156" s="4">
        <v>2222</v>
      </c>
      <c r="O2156" s="5">
        <f t="shared" si="33"/>
        <v>5.4387583092140833E-2</v>
      </c>
      <c r="P2156" s="2" t="s">
        <v>66</v>
      </c>
    </row>
    <row r="2157" spans="1:16" x14ac:dyDescent="0.25">
      <c r="A2157" s="6" t="s">
        <v>4383</v>
      </c>
      <c r="B2157" s="6" t="s">
        <v>4384</v>
      </c>
      <c r="C2157" s="6" t="s">
        <v>32</v>
      </c>
      <c r="D2157" s="7" t="s">
        <v>175</v>
      </c>
      <c r="E2157" s="7" t="s">
        <v>34</v>
      </c>
      <c r="F2157" s="6" t="s">
        <v>51</v>
      </c>
      <c r="G2157" s="8">
        <v>200004</v>
      </c>
      <c r="H2157" s="8">
        <v>58424</v>
      </c>
      <c r="I2157" s="8">
        <v>41080</v>
      </c>
      <c r="J2157" s="8">
        <v>3229</v>
      </c>
      <c r="K2157" s="8">
        <v>532</v>
      </c>
      <c r="L2157" s="8">
        <v>343</v>
      </c>
      <c r="M2157" s="8">
        <v>13</v>
      </c>
      <c r="N2157" s="8">
        <v>1403</v>
      </c>
      <c r="O2157" s="9">
        <f t="shared" si="33"/>
        <v>0.1002190847127556</v>
      </c>
      <c r="P2157" s="6" t="s">
        <v>22</v>
      </c>
    </row>
    <row r="2158" spans="1:16" x14ac:dyDescent="0.25">
      <c r="A2158" s="2" t="s">
        <v>4385</v>
      </c>
      <c r="B2158" s="2" t="s">
        <v>4386</v>
      </c>
      <c r="C2158" s="2" t="s">
        <v>32</v>
      </c>
      <c r="D2158" s="3" t="s">
        <v>121</v>
      </c>
      <c r="E2158" s="3" t="s">
        <v>50</v>
      </c>
      <c r="F2158" s="2" t="s">
        <v>40</v>
      </c>
      <c r="G2158" s="4">
        <v>424538</v>
      </c>
      <c r="H2158" s="4">
        <v>133948</v>
      </c>
      <c r="I2158" s="4">
        <v>98646</v>
      </c>
      <c r="J2158" s="4">
        <v>7967</v>
      </c>
      <c r="K2158" s="4">
        <v>1390</v>
      </c>
      <c r="L2158" s="4">
        <v>836</v>
      </c>
      <c r="M2158" s="4">
        <v>15</v>
      </c>
      <c r="N2158" s="4">
        <v>1832</v>
      </c>
      <c r="O2158" s="5">
        <f t="shared" si="33"/>
        <v>0.10348113456196906</v>
      </c>
      <c r="P2158" s="2" t="s">
        <v>29</v>
      </c>
    </row>
    <row r="2159" spans="1:16" x14ac:dyDescent="0.25">
      <c r="A2159" s="6" t="s">
        <v>4387</v>
      </c>
      <c r="B2159" s="6" t="s">
        <v>4388</v>
      </c>
      <c r="C2159" s="6" t="s">
        <v>18</v>
      </c>
      <c r="D2159" s="7" t="s">
        <v>57</v>
      </c>
      <c r="E2159" s="7" t="s">
        <v>50</v>
      </c>
      <c r="F2159" s="6" t="s">
        <v>73</v>
      </c>
      <c r="G2159" s="8">
        <v>829776</v>
      </c>
      <c r="H2159" s="8">
        <v>383345</v>
      </c>
      <c r="I2159" s="8">
        <v>292381</v>
      </c>
      <c r="J2159" s="8">
        <v>26580</v>
      </c>
      <c r="K2159" s="8">
        <v>1056</v>
      </c>
      <c r="L2159" s="8">
        <v>1556</v>
      </c>
      <c r="M2159" s="8">
        <v>3512</v>
      </c>
      <c r="N2159" s="8">
        <v>4224</v>
      </c>
      <c r="O2159" s="9">
        <f t="shared" si="33"/>
        <v>0.11185405344396523</v>
      </c>
      <c r="P2159" s="6" t="s">
        <v>22</v>
      </c>
    </row>
    <row r="2160" spans="1:16" x14ac:dyDescent="0.25">
      <c r="A2160" s="2" t="s">
        <v>4389</v>
      </c>
      <c r="B2160" s="2" t="s">
        <v>4390</v>
      </c>
      <c r="C2160" s="2" t="s">
        <v>76</v>
      </c>
      <c r="D2160" s="3" t="s">
        <v>189</v>
      </c>
      <c r="E2160" s="3" t="s">
        <v>50</v>
      </c>
      <c r="F2160" s="2" t="s">
        <v>87</v>
      </c>
      <c r="G2160" s="4">
        <v>828366</v>
      </c>
      <c r="H2160" s="4">
        <v>534846</v>
      </c>
      <c r="I2160" s="4">
        <v>441330</v>
      </c>
      <c r="J2160" s="4">
        <v>23103</v>
      </c>
      <c r="K2160" s="4">
        <v>3131</v>
      </c>
      <c r="L2160" s="4">
        <v>2162</v>
      </c>
      <c r="M2160" s="4">
        <v>5374</v>
      </c>
      <c r="N2160" s="4">
        <v>9226</v>
      </c>
      <c r="O2160" s="5">
        <f t="shared" si="33"/>
        <v>7.6518704824054568E-2</v>
      </c>
      <c r="P2160" s="2" t="s">
        <v>29</v>
      </c>
    </row>
    <row r="2161" spans="1:16" x14ac:dyDescent="0.25">
      <c r="A2161" s="6" t="s">
        <v>4391</v>
      </c>
      <c r="B2161" s="6" t="s">
        <v>4392</v>
      </c>
      <c r="C2161" s="6" t="s">
        <v>25</v>
      </c>
      <c r="D2161" s="7" t="s">
        <v>64</v>
      </c>
      <c r="E2161" s="7" t="s">
        <v>39</v>
      </c>
      <c r="F2161" s="6" t="s">
        <v>28</v>
      </c>
      <c r="G2161" s="8">
        <v>163400</v>
      </c>
      <c r="H2161" s="8">
        <v>91588</v>
      </c>
      <c r="I2161" s="8">
        <v>69593</v>
      </c>
      <c r="J2161" s="8">
        <v>3240</v>
      </c>
      <c r="K2161" s="8">
        <v>165</v>
      </c>
      <c r="L2161" s="8">
        <v>68</v>
      </c>
      <c r="M2161" s="8">
        <v>265</v>
      </c>
      <c r="N2161" s="8">
        <v>3125</v>
      </c>
      <c r="O2161" s="9">
        <f t="shared" si="33"/>
        <v>5.3712298650726367E-2</v>
      </c>
      <c r="P2161" s="6" t="s">
        <v>22</v>
      </c>
    </row>
    <row r="2162" spans="1:16" x14ac:dyDescent="0.25">
      <c r="A2162" s="2" t="s">
        <v>4393</v>
      </c>
      <c r="B2162" s="2" t="s">
        <v>4394</v>
      </c>
      <c r="C2162" s="2" t="s">
        <v>18</v>
      </c>
      <c r="D2162" s="3" t="s">
        <v>57</v>
      </c>
      <c r="E2162" s="3" t="s">
        <v>27</v>
      </c>
      <c r="F2162" s="2" t="s">
        <v>73</v>
      </c>
      <c r="G2162" s="4">
        <v>388655</v>
      </c>
      <c r="H2162" s="4">
        <v>74947</v>
      </c>
      <c r="I2162" s="4">
        <v>54613</v>
      </c>
      <c r="J2162" s="4">
        <v>3678</v>
      </c>
      <c r="K2162" s="4">
        <v>338</v>
      </c>
      <c r="L2162" s="4">
        <v>204</v>
      </c>
      <c r="M2162" s="4">
        <v>393</v>
      </c>
      <c r="N2162" s="4">
        <v>2478</v>
      </c>
      <c r="O2162" s="5">
        <f t="shared" si="33"/>
        <v>8.4467068280446048E-2</v>
      </c>
      <c r="P2162" s="2" t="s">
        <v>22</v>
      </c>
    </row>
    <row r="2163" spans="1:16" x14ac:dyDescent="0.25">
      <c r="A2163" s="6" t="s">
        <v>4395</v>
      </c>
      <c r="B2163" s="6" t="s">
        <v>4396</v>
      </c>
      <c r="C2163" s="6" t="s">
        <v>32</v>
      </c>
      <c r="D2163" s="7" t="s">
        <v>175</v>
      </c>
      <c r="E2163" s="7" t="s">
        <v>27</v>
      </c>
      <c r="F2163" s="6" t="s">
        <v>128</v>
      </c>
      <c r="G2163" s="8">
        <v>233898</v>
      </c>
      <c r="H2163" s="8">
        <v>39410</v>
      </c>
      <c r="I2163" s="8">
        <v>32438</v>
      </c>
      <c r="J2163" s="8">
        <v>1076</v>
      </c>
      <c r="K2163" s="8">
        <v>132</v>
      </c>
      <c r="L2163" s="8">
        <v>49</v>
      </c>
      <c r="M2163" s="8">
        <v>40</v>
      </c>
      <c r="N2163" s="8">
        <v>1092</v>
      </c>
      <c r="O2163" s="9">
        <f t="shared" si="33"/>
        <v>3.9983969418583142E-2</v>
      </c>
      <c r="P2163" s="6" t="s">
        <v>22</v>
      </c>
    </row>
    <row r="2164" spans="1:16" x14ac:dyDescent="0.25">
      <c r="A2164" s="2" t="s">
        <v>4397</v>
      </c>
      <c r="B2164" s="2" t="s">
        <v>4398</v>
      </c>
      <c r="C2164" s="2" t="s">
        <v>25</v>
      </c>
      <c r="D2164" s="3" t="s">
        <v>61</v>
      </c>
      <c r="E2164" s="3" t="s">
        <v>45</v>
      </c>
      <c r="F2164" s="2" t="s">
        <v>28</v>
      </c>
      <c r="G2164" s="4">
        <v>37037</v>
      </c>
      <c r="H2164" s="4">
        <v>23847</v>
      </c>
      <c r="I2164" s="4">
        <v>21646</v>
      </c>
      <c r="J2164" s="4">
        <v>914</v>
      </c>
      <c r="K2164" s="4">
        <v>81</v>
      </c>
      <c r="L2164" s="4">
        <v>34</v>
      </c>
      <c r="M2164" s="4">
        <v>93</v>
      </c>
      <c r="N2164" s="4">
        <v>448</v>
      </c>
      <c r="O2164" s="5">
        <f t="shared" si="33"/>
        <v>5.1834057100619051E-2</v>
      </c>
      <c r="P2164" s="2" t="s">
        <v>22</v>
      </c>
    </row>
    <row r="2165" spans="1:16" x14ac:dyDescent="0.25">
      <c r="A2165" s="6" t="s">
        <v>4399</v>
      </c>
      <c r="B2165" s="6" t="s">
        <v>4400</v>
      </c>
      <c r="C2165" s="6" t="s">
        <v>18</v>
      </c>
      <c r="D2165" s="7" t="s">
        <v>19</v>
      </c>
      <c r="E2165" s="7" t="s">
        <v>27</v>
      </c>
      <c r="F2165" s="6" t="s">
        <v>21</v>
      </c>
      <c r="G2165" s="8">
        <v>574781</v>
      </c>
      <c r="H2165" s="8">
        <v>351929</v>
      </c>
      <c r="I2165" s="8">
        <v>323675</v>
      </c>
      <c r="J2165" s="8">
        <v>13247</v>
      </c>
      <c r="K2165" s="8">
        <v>1388</v>
      </c>
      <c r="L2165" s="8">
        <v>1053</v>
      </c>
      <c r="M2165" s="8">
        <v>2314</v>
      </c>
      <c r="N2165" s="8">
        <v>2290</v>
      </c>
      <c r="O2165" s="9">
        <f t="shared" si="33"/>
        <v>5.5617517571638214E-2</v>
      </c>
      <c r="P2165" s="6" t="s">
        <v>66</v>
      </c>
    </row>
    <row r="2166" spans="1:16" x14ac:dyDescent="0.25">
      <c r="A2166" s="2" t="s">
        <v>4401</v>
      </c>
      <c r="B2166" s="2" t="s">
        <v>4402</v>
      </c>
      <c r="C2166" s="2" t="s">
        <v>32</v>
      </c>
      <c r="D2166" s="3" t="s">
        <v>121</v>
      </c>
      <c r="E2166" s="3" t="s">
        <v>39</v>
      </c>
      <c r="F2166" s="2" t="s">
        <v>35</v>
      </c>
      <c r="G2166" s="4">
        <v>639579</v>
      </c>
      <c r="H2166" s="4">
        <v>256052</v>
      </c>
      <c r="I2166" s="4">
        <v>231584</v>
      </c>
      <c r="J2166" s="4">
        <v>17712</v>
      </c>
      <c r="K2166" s="4">
        <v>2338</v>
      </c>
      <c r="L2166" s="4">
        <v>1655</v>
      </c>
      <c r="M2166" s="4">
        <v>19</v>
      </c>
      <c r="N2166" s="4">
        <v>2896</v>
      </c>
      <c r="O2166" s="5">
        <f t="shared" si="33"/>
        <v>9.3806135138869692E-2</v>
      </c>
      <c r="P2166" s="2" t="s">
        <v>22</v>
      </c>
    </row>
    <row r="2167" spans="1:16" x14ac:dyDescent="0.25">
      <c r="A2167" s="6" t="s">
        <v>4403</v>
      </c>
      <c r="B2167" s="6" t="s">
        <v>4404</v>
      </c>
      <c r="C2167" s="6" t="s">
        <v>76</v>
      </c>
      <c r="D2167" s="7" t="s">
        <v>189</v>
      </c>
      <c r="E2167" s="7" t="s">
        <v>50</v>
      </c>
      <c r="F2167" s="6" t="s">
        <v>78</v>
      </c>
      <c r="G2167" s="8">
        <v>609920</v>
      </c>
      <c r="H2167" s="8">
        <v>322442</v>
      </c>
      <c r="I2167" s="8">
        <v>237425</v>
      </c>
      <c r="J2167" s="8">
        <v>15671</v>
      </c>
      <c r="K2167" s="8">
        <v>903</v>
      </c>
      <c r="L2167" s="8">
        <v>1088</v>
      </c>
      <c r="M2167" s="8">
        <v>3136</v>
      </c>
      <c r="N2167" s="8">
        <v>3027</v>
      </c>
      <c r="O2167" s="9">
        <f t="shared" si="33"/>
        <v>8.7598188901758453E-2</v>
      </c>
      <c r="P2167" s="6" t="s">
        <v>29</v>
      </c>
    </row>
    <row r="2168" spans="1:16" x14ac:dyDescent="0.25">
      <c r="A2168" s="2" t="s">
        <v>4405</v>
      </c>
      <c r="B2168" s="2" t="s">
        <v>4406</v>
      </c>
      <c r="C2168" s="2" t="s">
        <v>25</v>
      </c>
      <c r="D2168" s="3" t="s">
        <v>26</v>
      </c>
      <c r="E2168" s="3" t="s">
        <v>20</v>
      </c>
      <c r="F2168" s="2" t="s">
        <v>28</v>
      </c>
      <c r="G2168" s="4">
        <v>755209</v>
      </c>
      <c r="H2168" s="4">
        <v>238144</v>
      </c>
      <c r="I2168" s="4">
        <v>209663</v>
      </c>
      <c r="J2168" s="4">
        <v>13418</v>
      </c>
      <c r="K2168" s="4">
        <v>735</v>
      </c>
      <c r="L2168" s="4">
        <v>1944</v>
      </c>
      <c r="M2168" s="4">
        <v>2623</v>
      </c>
      <c r="N2168" s="4">
        <v>3123</v>
      </c>
      <c r="O2168" s="5">
        <f t="shared" si="33"/>
        <v>8.9286140139175726E-2</v>
      </c>
      <c r="P2168" s="2" t="s">
        <v>22</v>
      </c>
    </row>
    <row r="2169" spans="1:16" x14ac:dyDescent="0.25">
      <c r="A2169" s="6" t="s">
        <v>4407</v>
      </c>
      <c r="B2169" s="6" t="s">
        <v>4408</v>
      </c>
      <c r="C2169" s="6" t="s">
        <v>18</v>
      </c>
      <c r="D2169" s="7" t="s">
        <v>231</v>
      </c>
      <c r="E2169" s="7" t="s">
        <v>39</v>
      </c>
      <c r="F2169" s="6" t="s">
        <v>58</v>
      </c>
      <c r="G2169" s="8">
        <v>419579</v>
      </c>
      <c r="H2169" s="8">
        <v>118094</v>
      </c>
      <c r="I2169" s="8">
        <v>98241</v>
      </c>
      <c r="J2169" s="8">
        <v>7631</v>
      </c>
      <c r="K2169" s="8">
        <v>328</v>
      </c>
      <c r="L2169" s="8">
        <v>200</v>
      </c>
      <c r="M2169" s="8">
        <v>959</v>
      </c>
      <c r="N2169" s="8">
        <v>2408</v>
      </c>
      <c r="O2169" s="9">
        <f t="shared" si="33"/>
        <v>9.2812573161918141E-2</v>
      </c>
      <c r="P2169" s="6" t="s">
        <v>22</v>
      </c>
    </row>
    <row r="2170" spans="1:16" x14ac:dyDescent="0.25">
      <c r="A2170" s="2" t="s">
        <v>4409</v>
      </c>
      <c r="B2170" s="2" t="s">
        <v>4410</v>
      </c>
      <c r="C2170" s="2" t="s">
        <v>43</v>
      </c>
      <c r="D2170" s="3" t="s">
        <v>172</v>
      </c>
      <c r="E2170" s="3" t="s">
        <v>39</v>
      </c>
      <c r="F2170" s="2" t="s">
        <v>107</v>
      </c>
      <c r="G2170" s="4">
        <v>180139</v>
      </c>
      <c r="H2170" s="4">
        <v>40140</v>
      </c>
      <c r="I2170" s="4">
        <v>35952</v>
      </c>
      <c r="J2170" s="4">
        <v>2618</v>
      </c>
      <c r="K2170" s="4">
        <v>345</v>
      </c>
      <c r="L2170" s="4">
        <v>323</v>
      </c>
      <c r="M2170" s="4">
        <v>41</v>
      </c>
      <c r="N2170" s="4">
        <v>1014</v>
      </c>
      <c r="O2170" s="5">
        <f t="shared" si="33"/>
        <v>9.2540053404539385E-2</v>
      </c>
      <c r="P2170" s="2" t="s">
        <v>29</v>
      </c>
    </row>
    <row r="2171" spans="1:16" x14ac:dyDescent="0.25">
      <c r="A2171" s="6" t="s">
        <v>4411</v>
      </c>
      <c r="B2171" s="6" t="s">
        <v>4412</v>
      </c>
      <c r="C2171" s="6" t="s">
        <v>18</v>
      </c>
      <c r="D2171" s="7" t="s">
        <v>57</v>
      </c>
      <c r="E2171" s="7" t="s">
        <v>34</v>
      </c>
      <c r="F2171" s="6" t="s">
        <v>21</v>
      </c>
      <c r="G2171" s="8">
        <v>702131</v>
      </c>
      <c r="H2171" s="8">
        <v>75000</v>
      </c>
      <c r="I2171" s="8">
        <v>68587</v>
      </c>
      <c r="J2171" s="8">
        <v>2525</v>
      </c>
      <c r="K2171" s="8">
        <v>324</v>
      </c>
      <c r="L2171" s="8">
        <v>335</v>
      </c>
      <c r="M2171" s="8">
        <v>401</v>
      </c>
      <c r="N2171" s="8">
        <v>1600</v>
      </c>
      <c r="O2171" s="9">
        <f t="shared" si="33"/>
        <v>5.226938049484596E-2</v>
      </c>
      <c r="P2171" s="6" t="s">
        <v>22</v>
      </c>
    </row>
    <row r="2172" spans="1:16" x14ac:dyDescent="0.25">
      <c r="A2172" s="2" t="s">
        <v>4413</v>
      </c>
      <c r="B2172" s="2" t="s">
        <v>4414</v>
      </c>
      <c r="C2172" s="2" t="s">
        <v>32</v>
      </c>
      <c r="D2172" s="3" t="s">
        <v>121</v>
      </c>
      <c r="E2172" s="3" t="s">
        <v>27</v>
      </c>
      <c r="F2172" s="2" t="s">
        <v>128</v>
      </c>
      <c r="G2172" s="4">
        <v>846080</v>
      </c>
      <c r="H2172" s="4">
        <v>469210</v>
      </c>
      <c r="I2172" s="4">
        <v>379436</v>
      </c>
      <c r="J2172" s="4">
        <v>23286</v>
      </c>
      <c r="K2172" s="4">
        <v>4084</v>
      </c>
      <c r="L2172" s="4">
        <v>1215</v>
      </c>
      <c r="M2172" s="4">
        <v>39</v>
      </c>
      <c r="N2172" s="4">
        <v>10102</v>
      </c>
      <c r="O2172" s="5">
        <f t="shared" si="33"/>
        <v>7.5438282081826707E-2</v>
      </c>
      <c r="P2172" s="2" t="s">
        <v>22</v>
      </c>
    </row>
    <row r="2173" spans="1:16" x14ac:dyDescent="0.25">
      <c r="A2173" s="6" t="s">
        <v>4415</v>
      </c>
      <c r="B2173" s="6" t="s">
        <v>4416</v>
      </c>
      <c r="C2173" s="6" t="s">
        <v>25</v>
      </c>
      <c r="D2173" s="7" t="s">
        <v>145</v>
      </c>
      <c r="E2173" s="7" t="s">
        <v>34</v>
      </c>
      <c r="F2173" s="6" t="s">
        <v>65</v>
      </c>
      <c r="G2173" s="8">
        <v>228008</v>
      </c>
      <c r="H2173" s="8">
        <v>117583</v>
      </c>
      <c r="I2173" s="8">
        <v>83112</v>
      </c>
      <c r="J2173" s="8">
        <v>6776</v>
      </c>
      <c r="K2173" s="8">
        <v>447</v>
      </c>
      <c r="L2173" s="8">
        <v>223</v>
      </c>
      <c r="M2173" s="8">
        <v>544</v>
      </c>
      <c r="N2173" s="8">
        <v>846</v>
      </c>
      <c r="O2173" s="9">
        <f t="shared" si="33"/>
        <v>9.6135335450957746E-2</v>
      </c>
      <c r="P2173" s="6" t="s">
        <v>22</v>
      </c>
    </row>
    <row r="2174" spans="1:16" x14ac:dyDescent="0.25">
      <c r="A2174" s="2" t="s">
        <v>4417</v>
      </c>
      <c r="B2174" s="2" t="s">
        <v>4418</v>
      </c>
      <c r="C2174" s="2" t="s">
        <v>25</v>
      </c>
      <c r="D2174" s="3" t="s">
        <v>145</v>
      </c>
      <c r="E2174" s="3" t="s">
        <v>50</v>
      </c>
      <c r="F2174" s="2" t="s">
        <v>54</v>
      </c>
      <c r="G2174" s="4">
        <v>624984</v>
      </c>
      <c r="H2174" s="4">
        <v>78337</v>
      </c>
      <c r="I2174" s="4">
        <v>55620</v>
      </c>
      <c r="J2174" s="4">
        <v>2715</v>
      </c>
      <c r="K2174" s="4">
        <v>305</v>
      </c>
      <c r="L2174" s="4">
        <v>377</v>
      </c>
      <c r="M2174" s="4">
        <v>398</v>
      </c>
      <c r="N2174" s="4">
        <v>473</v>
      </c>
      <c r="O2174" s="5">
        <f t="shared" si="33"/>
        <v>6.8230852211434739E-2</v>
      </c>
      <c r="P2174" s="2" t="s">
        <v>22</v>
      </c>
    </row>
    <row r="2175" spans="1:16" x14ac:dyDescent="0.25">
      <c r="A2175" s="6" t="s">
        <v>4419</v>
      </c>
      <c r="B2175" s="6" t="s">
        <v>4420</v>
      </c>
      <c r="C2175" s="6" t="s">
        <v>25</v>
      </c>
      <c r="D2175" s="7" t="s">
        <v>145</v>
      </c>
      <c r="E2175" s="7" t="s">
        <v>45</v>
      </c>
      <c r="F2175" s="6" t="s">
        <v>65</v>
      </c>
      <c r="G2175" s="8">
        <v>512063</v>
      </c>
      <c r="H2175" s="8">
        <v>157380</v>
      </c>
      <c r="I2175" s="8">
        <v>134315</v>
      </c>
      <c r="J2175" s="8">
        <v>3277</v>
      </c>
      <c r="K2175" s="8">
        <v>441</v>
      </c>
      <c r="L2175" s="8">
        <v>359</v>
      </c>
      <c r="M2175" s="8">
        <v>593</v>
      </c>
      <c r="N2175" s="8">
        <v>3803</v>
      </c>
      <c r="O2175" s="9">
        <f t="shared" si="33"/>
        <v>3.4769013140751218E-2</v>
      </c>
      <c r="P2175" s="6" t="s">
        <v>29</v>
      </c>
    </row>
    <row r="2176" spans="1:16" x14ac:dyDescent="0.25">
      <c r="A2176" s="2" t="s">
        <v>4421</v>
      </c>
      <c r="B2176" s="2" t="s">
        <v>4422</v>
      </c>
      <c r="C2176" s="2" t="s">
        <v>18</v>
      </c>
      <c r="D2176" s="3" t="s">
        <v>19</v>
      </c>
      <c r="E2176" s="3" t="s">
        <v>20</v>
      </c>
      <c r="F2176" s="2" t="s">
        <v>58</v>
      </c>
      <c r="G2176" s="4">
        <v>326412</v>
      </c>
      <c r="H2176" s="4">
        <v>73962</v>
      </c>
      <c r="I2176" s="4">
        <v>64532</v>
      </c>
      <c r="J2176" s="4">
        <v>3743</v>
      </c>
      <c r="K2176" s="4">
        <v>549</v>
      </c>
      <c r="L2176" s="4">
        <v>130</v>
      </c>
      <c r="M2176" s="4">
        <v>870</v>
      </c>
      <c r="N2176" s="4">
        <v>1063</v>
      </c>
      <c r="O2176" s="5">
        <f t="shared" si="33"/>
        <v>8.2005826566664594E-2</v>
      </c>
      <c r="P2176" s="2" t="s">
        <v>29</v>
      </c>
    </row>
    <row r="2177" spans="1:16" x14ac:dyDescent="0.25">
      <c r="A2177" s="6" t="s">
        <v>4423</v>
      </c>
      <c r="B2177" s="6" t="s">
        <v>4424</v>
      </c>
      <c r="C2177" s="6" t="s">
        <v>76</v>
      </c>
      <c r="D2177" s="7" t="s">
        <v>182</v>
      </c>
      <c r="E2177" s="7" t="s">
        <v>45</v>
      </c>
      <c r="F2177" s="6" t="s">
        <v>87</v>
      </c>
      <c r="G2177" s="8">
        <v>752789</v>
      </c>
      <c r="H2177" s="8">
        <v>254255</v>
      </c>
      <c r="I2177" s="8">
        <v>204975</v>
      </c>
      <c r="J2177" s="8">
        <v>13216</v>
      </c>
      <c r="K2177" s="8">
        <v>765</v>
      </c>
      <c r="L2177" s="8">
        <v>321</v>
      </c>
      <c r="M2177" s="8">
        <v>1333</v>
      </c>
      <c r="N2177" s="8">
        <v>1626</v>
      </c>
      <c r="O2177" s="9">
        <f t="shared" si="33"/>
        <v>7.6277594828637635E-2</v>
      </c>
      <c r="P2177" s="6" t="s">
        <v>22</v>
      </c>
    </row>
    <row r="2178" spans="1:16" x14ac:dyDescent="0.25">
      <c r="A2178" s="2" t="s">
        <v>4425</v>
      </c>
      <c r="B2178" s="2" t="s">
        <v>4426</v>
      </c>
      <c r="C2178" s="2" t="s">
        <v>43</v>
      </c>
      <c r="D2178" s="3" t="s">
        <v>44</v>
      </c>
      <c r="E2178" s="3" t="s">
        <v>50</v>
      </c>
      <c r="F2178" s="2" t="s">
        <v>107</v>
      </c>
      <c r="G2178" s="4">
        <v>750550</v>
      </c>
      <c r="H2178" s="4">
        <v>108828</v>
      </c>
      <c r="I2178" s="4">
        <v>80195</v>
      </c>
      <c r="J2178" s="4">
        <v>4660</v>
      </c>
      <c r="K2178" s="4">
        <v>616</v>
      </c>
      <c r="L2178" s="4">
        <v>108</v>
      </c>
      <c r="M2178" s="4">
        <v>38</v>
      </c>
      <c r="N2178" s="4">
        <v>3385</v>
      </c>
      <c r="O2178" s="5">
        <f t="shared" ref="O2178:O2241" si="34">IF(I2178&gt;0, (J2178+K2178+L2178+M2178)/I2178, 0)</f>
        <v>6.7610200137165663E-2</v>
      </c>
      <c r="P2178" s="2" t="s">
        <v>22</v>
      </c>
    </row>
    <row r="2179" spans="1:16" x14ac:dyDescent="0.25">
      <c r="A2179" s="6" t="s">
        <v>4427</v>
      </c>
      <c r="B2179" s="6" t="s">
        <v>4428</v>
      </c>
      <c r="C2179" s="6" t="s">
        <v>25</v>
      </c>
      <c r="D2179" s="7" t="s">
        <v>64</v>
      </c>
      <c r="E2179" s="7" t="s">
        <v>45</v>
      </c>
      <c r="F2179" s="6" t="s">
        <v>28</v>
      </c>
      <c r="G2179" s="8">
        <v>198481</v>
      </c>
      <c r="H2179" s="8">
        <v>59365</v>
      </c>
      <c r="I2179" s="8">
        <v>43482</v>
      </c>
      <c r="J2179" s="8">
        <v>4282</v>
      </c>
      <c r="K2179" s="8">
        <v>696</v>
      </c>
      <c r="L2179" s="8">
        <v>134</v>
      </c>
      <c r="M2179" s="8">
        <v>309</v>
      </c>
      <c r="N2179" s="8">
        <v>1074</v>
      </c>
      <c r="O2179" s="9">
        <f t="shared" si="34"/>
        <v>0.12467227818407617</v>
      </c>
      <c r="P2179" s="6" t="s">
        <v>22</v>
      </c>
    </row>
    <row r="2180" spans="1:16" x14ac:dyDescent="0.25">
      <c r="A2180" s="2" t="s">
        <v>4429</v>
      </c>
      <c r="B2180" s="2" t="s">
        <v>4430</v>
      </c>
      <c r="C2180" s="2" t="s">
        <v>25</v>
      </c>
      <c r="D2180" s="3" t="s">
        <v>64</v>
      </c>
      <c r="E2180" s="3" t="s">
        <v>39</v>
      </c>
      <c r="F2180" s="2" t="s">
        <v>65</v>
      </c>
      <c r="G2180" s="4">
        <v>715147</v>
      </c>
      <c r="H2180" s="4">
        <v>3484088</v>
      </c>
      <c r="I2180" s="4">
        <v>2746144</v>
      </c>
      <c r="J2180" s="4">
        <v>175361</v>
      </c>
      <c r="K2180" s="4">
        <v>8231</v>
      </c>
      <c r="L2180" s="4">
        <v>13378</v>
      </c>
      <c r="M2180" s="4">
        <v>41139</v>
      </c>
      <c r="N2180" s="4">
        <v>100480</v>
      </c>
      <c r="O2180" s="5">
        <f t="shared" si="34"/>
        <v>8.6706669424473012E-2</v>
      </c>
      <c r="P2180" s="2" t="s">
        <v>29</v>
      </c>
    </row>
    <row r="2181" spans="1:16" x14ac:dyDescent="0.25">
      <c r="A2181" s="6" t="s">
        <v>4431</v>
      </c>
      <c r="B2181" s="6" t="s">
        <v>4432</v>
      </c>
      <c r="C2181" s="6" t="s">
        <v>76</v>
      </c>
      <c r="D2181" s="7" t="s">
        <v>86</v>
      </c>
      <c r="E2181" s="7" t="s">
        <v>50</v>
      </c>
      <c r="F2181" s="6" t="s">
        <v>87</v>
      </c>
      <c r="G2181" s="8">
        <v>351773</v>
      </c>
      <c r="H2181" s="8">
        <v>107739</v>
      </c>
      <c r="I2181" s="8">
        <v>93289</v>
      </c>
      <c r="J2181" s="8">
        <v>4949</v>
      </c>
      <c r="K2181" s="8">
        <v>322</v>
      </c>
      <c r="L2181" s="8">
        <v>109</v>
      </c>
      <c r="M2181" s="8">
        <v>416</v>
      </c>
      <c r="N2181" s="8">
        <v>2525</v>
      </c>
      <c r="O2181" s="9">
        <f t="shared" si="34"/>
        <v>6.2129511517971039E-2</v>
      </c>
      <c r="P2181" s="6" t="s">
        <v>22</v>
      </c>
    </row>
    <row r="2182" spans="1:16" x14ac:dyDescent="0.25">
      <c r="A2182" s="2" t="s">
        <v>4433</v>
      </c>
      <c r="B2182" s="2" t="s">
        <v>4434</v>
      </c>
      <c r="C2182" s="2" t="s">
        <v>18</v>
      </c>
      <c r="D2182" s="3" t="s">
        <v>19</v>
      </c>
      <c r="E2182" s="3" t="s">
        <v>45</v>
      </c>
      <c r="F2182" s="2" t="s">
        <v>21</v>
      </c>
      <c r="G2182" s="4">
        <v>299156</v>
      </c>
      <c r="H2182" s="4">
        <v>25966</v>
      </c>
      <c r="I2182" s="4">
        <v>19303</v>
      </c>
      <c r="J2182" s="4">
        <v>1467</v>
      </c>
      <c r="K2182" s="4">
        <v>105</v>
      </c>
      <c r="L2182" s="4">
        <v>43</v>
      </c>
      <c r="M2182" s="4">
        <v>268</v>
      </c>
      <c r="N2182" s="4">
        <v>151</v>
      </c>
      <c r="O2182" s="5">
        <f t="shared" si="34"/>
        <v>9.7549603688545816E-2</v>
      </c>
      <c r="P2182" s="2" t="s">
        <v>22</v>
      </c>
    </row>
    <row r="2183" spans="1:16" x14ac:dyDescent="0.25">
      <c r="A2183" s="6" t="s">
        <v>4435</v>
      </c>
      <c r="B2183" s="6" t="s">
        <v>4436</v>
      </c>
      <c r="C2183" s="6" t="s">
        <v>43</v>
      </c>
      <c r="D2183" s="7" t="s">
        <v>110</v>
      </c>
      <c r="E2183" s="7" t="s">
        <v>20</v>
      </c>
      <c r="F2183" s="6" t="s">
        <v>107</v>
      </c>
      <c r="G2183" s="8">
        <v>307859</v>
      </c>
      <c r="H2183" s="8">
        <v>110506</v>
      </c>
      <c r="I2183" s="8">
        <v>83011</v>
      </c>
      <c r="J2183" s="8">
        <v>5502</v>
      </c>
      <c r="K2183" s="8">
        <v>371</v>
      </c>
      <c r="L2183" s="8">
        <v>433</v>
      </c>
      <c r="M2183" s="8">
        <v>31</v>
      </c>
      <c r="N2183" s="8">
        <v>716</v>
      </c>
      <c r="O2183" s="9">
        <f t="shared" si="34"/>
        <v>7.6339280336340964E-2</v>
      </c>
      <c r="P2183" s="6" t="s">
        <v>22</v>
      </c>
    </row>
    <row r="2184" spans="1:16" x14ac:dyDescent="0.25">
      <c r="A2184" s="2" t="s">
        <v>4437</v>
      </c>
      <c r="B2184" s="2" t="s">
        <v>4438</v>
      </c>
      <c r="C2184" s="2" t="s">
        <v>32</v>
      </c>
      <c r="D2184" s="3" t="s">
        <v>121</v>
      </c>
      <c r="E2184" s="3" t="s">
        <v>50</v>
      </c>
      <c r="F2184" s="2" t="s">
        <v>40</v>
      </c>
      <c r="G2184" s="4">
        <v>44796</v>
      </c>
      <c r="H2184" s="4">
        <v>16604</v>
      </c>
      <c r="I2184" s="4">
        <v>12819</v>
      </c>
      <c r="J2184" s="4">
        <v>1224</v>
      </c>
      <c r="K2184" s="4">
        <v>52</v>
      </c>
      <c r="L2184" s="4">
        <v>168</v>
      </c>
      <c r="M2184" s="4">
        <v>28</v>
      </c>
      <c r="N2184" s="4">
        <v>166</v>
      </c>
      <c r="O2184" s="5">
        <f t="shared" si="34"/>
        <v>0.11482954988688665</v>
      </c>
      <c r="P2184" s="2" t="s">
        <v>29</v>
      </c>
    </row>
    <row r="2185" spans="1:16" x14ac:dyDescent="0.25">
      <c r="A2185" s="6" t="s">
        <v>4439</v>
      </c>
      <c r="B2185" s="6" t="s">
        <v>4440</v>
      </c>
      <c r="C2185" s="6" t="s">
        <v>25</v>
      </c>
      <c r="D2185" s="7" t="s">
        <v>61</v>
      </c>
      <c r="E2185" s="7" t="s">
        <v>20</v>
      </c>
      <c r="F2185" s="6" t="s">
        <v>54</v>
      </c>
      <c r="G2185" s="8">
        <v>126027</v>
      </c>
      <c r="H2185" s="8">
        <v>49386</v>
      </c>
      <c r="I2185" s="8">
        <v>35987</v>
      </c>
      <c r="J2185" s="8">
        <v>2057</v>
      </c>
      <c r="K2185" s="8">
        <v>89</v>
      </c>
      <c r="L2185" s="8">
        <v>83</v>
      </c>
      <c r="M2185" s="8">
        <v>442</v>
      </c>
      <c r="N2185" s="8">
        <v>625</v>
      </c>
      <c r="O2185" s="9">
        <f t="shared" si="34"/>
        <v>7.4221246561258239E-2</v>
      </c>
      <c r="P2185" s="6" t="s">
        <v>22</v>
      </c>
    </row>
    <row r="2186" spans="1:16" x14ac:dyDescent="0.25">
      <c r="A2186" s="2" t="s">
        <v>4441</v>
      </c>
      <c r="B2186" s="2" t="s">
        <v>4442</v>
      </c>
      <c r="C2186" s="2" t="s">
        <v>76</v>
      </c>
      <c r="D2186" s="3" t="s">
        <v>189</v>
      </c>
      <c r="E2186" s="3" t="s">
        <v>27</v>
      </c>
      <c r="F2186" s="2" t="s">
        <v>87</v>
      </c>
      <c r="G2186" s="4">
        <v>384052</v>
      </c>
      <c r="H2186" s="4">
        <v>1099471</v>
      </c>
      <c r="I2186" s="4">
        <v>845774</v>
      </c>
      <c r="J2186" s="4">
        <v>26352</v>
      </c>
      <c r="K2186" s="4">
        <v>2644</v>
      </c>
      <c r="L2186" s="4">
        <v>2970</v>
      </c>
      <c r="M2186" s="4">
        <v>2757</v>
      </c>
      <c r="N2186" s="4">
        <v>36864</v>
      </c>
      <c r="O2186" s="5">
        <f t="shared" si="34"/>
        <v>4.1054702556474899E-2</v>
      </c>
      <c r="P2186" s="2" t="s">
        <v>29</v>
      </c>
    </row>
    <row r="2187" spans="1:16" x14ac:dyDescent="0.25">
      <c r="A2187" s="6" t="s">
        <v>4443</v>
      </c>
      <c r="B2187" s="6" t="s">
        <v>4444</v>
      </c>
      <c r="C2187" s="6" t="s">
        <v>32</v>
      </c>
      <c r="D2187" s="7" t="s">
        <v>38</v>
      </c>
      <c r="E2187" s="7" t="s">
        <v>27</v>
      </c>
      <c r="F2187" s="6" t="s">
        <v>40</v>
      </c>
      <c r="G2187" s="8">
        <v>463803</v>
      </c>
      <c r="H2187" s="8">
        <v>278302</v>
      </c>
      <c r="I2187" s="8">
        <v>219641</v>
      </c>
      <c r="J2187" s="8">
        <v>8826</v>
      </c>
      <c r="K2187" s="8">
        <v>1135</v>
      </c>
      <c r="L2187" s="8">
        <v>364</v>
      </c>
      <c r="M2187" s="8">
        <v>50</v>
      </c>
      <c r="N2187" s="8">
        <v>8013</v>
      </c>
      <c r="O2187" s="9">
        <f t="shared" si="34"/>
        <v>4.7236171752996936E-2</v>
      </c>
      <c r="P2187" s="6" t="s">
        <v>29</v>
      </c>
    </row>
    <row r="2188" spans="1:16" x14ac:dyDescent="0.25">
      <c r="A2188" s="2" t="s">
        <v>4445</v>
      </c>
      <c r="B2188" s="2" t="s">
        <v>4446</v>
      </c>
      <c r="C2188" s="2" t="s">
        <v>76</v>
      </c>
      <c r="D2188" s="3" t="s">
        <v>103</v>
      </c>
      <c r="E2188" s="3" t="s">
        <v>45</v>
      </c>
      <c r="F2188" s="2" t="s">
        <v>78</v>
      </c>
      <c r="G2188" s="4">
        <v>571902</v>
      </c>
      <c r="H2188" s="4">
        <v>352188</v>
      </c>
      <c r="I2188" s="4">
        <v>322669</v>
      </c>
      <c r="J2188" s="4">
        <v>18057</v>
      </c>
      <c r="K2188" s="4">
        <v>2106</v>
      </c>
      <c r="L2188" s="4">
        <v>2506</v>
      </c>
      <c r="M2188" s="4">
        <v>1263</v>
      </c>
      <c r="N2188" s="4">
        <v>9717</v>
      </c>
      <c r="O2188" s="5">
        <f t="shared" si="34"/>
        <v>7.4168885142359503E-2</v>
      </c>
      <c r="P2188" s="2" t="s">
        <v>29</v>
      </c>
    </row>
    <row r="2189" spans="1:16" x14ac:dyDescent="0.25">
      <c r="A2189" s="6" t="s">
        <v>4447</v>
      </c>
      <c r="B2189" s="6" t="s">
        <v>4448</v>
      </c>
      <c r="C2189" s="6" t="s">
        <v>32</v>
      </c>
      <c r="D2189" s="7" t="s">
        <v>121</v>
      </c>
      <c r="E2189" s="7" t="s">
        <v>39</v>
      </c>
      <c r="F2189" s="6" t="s">
        <v>35</v>
      </c>
      <c r="G2189" s="8">
        <v>438805</v>
      </c>
      <c r="H2189" s="8">
        <v>181291</v>
      </c>
      <c r="I2189" s="8">
        <v>132058</v>
      </c>
      <c r="J2189" s="8">
        <v>9766</v>
      </c>
      <c r="K2189" s="8">
        <v>1373</v>
      </c>
      <c r="L2189" s="8">
        <v>317</v>
      </c>
      <c r="M2189" s="8">
        <v>2</v>
      </c>
      <c r="N2189" s="8">
        <v>3996</v>
      </c>
      <c r="O2189" s="9">
        <f t="shared" si="34"/>
        <v>8.6764906329037245E-2</v>
      </c>
      <c r="P2189" s="6" t="s">
        <v>29</v>
      </c>
    </row>
    <row r="2190" spans="1:16" x14ac:dyDescent="0.25">
      <c r="A2190" s="2" t="s">
        <v>4449</v>
      </c>
      <c r="B2190" s="2" t="s">
        <v>4450</v>
      </c>
      <c r="C2190" s="2" t="s">
        <v>76</v>
      </c>
      <c r="D2190" s="3" t="s">
        <v>182</v>
      </c>
      <c r="E2190" s="3" t="s">
        <v>39</v>
      </c>
      <c r="F2190" s="2" t="s">
        <v>87</v>
      </c>
      <c r="G2190" s="4">
        <v>137699</v>
      </c>
      <c r="H2190" s="4">
        <v>63248</v>
      </c>
      <c r="I2190" s="4">
        <v>44331</v>
      </c>
      <c r="J2190" s="4">
        <v>3936</v>
      </c>
      <c r="K2190" s="4">
        <v>324</v>
      </c>
      <c r="L2190" s="4">
        <v>196</v>
      </c>
      <c r="M2190" s="4">
        <v>552</v>
      </c>
      <c r="N2190" s="4">
        <v>1974</v>
      </c>
      <c r="O2190" s="5">
        <f t="shared" si="34"/>
        <v>0.11296835171775958</v>
      </c>
      <c r="P2190" s="2" t="s">
        <v>22</v>
      </c>
    </row>
    <row r="2191" spans="1:16" x14ac:dyDescent="0.25">
      <c r="A2191" s="6" t="s">
        <v>4451</v>
      </c>
      <c r="B2191" s="6" t="s">
        <v>4452</v>
      </c>
      <c r="C2191" s="6" t="s">
        <v>25</v>
      </c>
      <c r="D2191" s="7" t="s">
        <v>64</v>
      </c>
      <c r="E2191" s="7" t="s">
        <v>34</v>
      </c>
      <c r="F2191" s="6" t="s">
        <v>28</v>
      </c>
      <c r="G2191" s="8">
        <v>669510</v>
      </c>
      <c r="H2191" s="8">
        <v>316772</v>
      </c>
      <c r="I2191" s="8">
        <v>240401</v>
      </c>
      <c r="J2191" s="8">
        <v>17055</v>
      </c>
      <c r="K2191" s="8">
        <v>1725</v>
      </c>
      <c r="L2191" s="8">
        <v>863</v>
      </c>
      <c r="M2191" s="8">
        <v>3270</v>
      </c>
      <c r="N2191" s="8">
        <v>6324</v>
      </c>
      <c r="O2191" s="9">
        <f t="shared" si="34"/>
        <v>9.5311583562464386E-2</v>
      </c>
      <c r="P2191" s="6" t="s">
        <v>66</v>
      </c>
    </row>
    <row r="2192" spans="1:16" x14ac:dyDescent="0.25">
      <c r="A2192" s="2" t="s">
        <v>4453</v>
      </c>
      <c r="B2192" s="2" t="s">
        <v>4454</v>
      </c>
      <c r="C2192" s="2" t="s">
        <v>25</v>
      </c>
      <c r="D2192" s="3" t="s">
        <v>64</v>
      </c>
      <c r="E2192" s="3" t="s">
        <v>45</v>
      </c>
      <c r="F2192" s="2" t="s">
        <v>28</v>
      </c>
      <c r="G2192" s="4">
        <v>737119</v>
      </c>
      <c r="H2192" s="4">
        <v>346551</v>
      </c>
      <c r="I2192" s="4">
        <v>255044</v>
      </c>
      <c r="J2192" s="4">
        <v>25668</v>
      </c>
      <c r="K2192" s="4">
        <v>885</v>
      </c>
      <c r="L2192" s="4">
        <v>3234</v>
      </c>
      <c r="M2192" s="4">
        <v>2529</v>
      </c>
      <c r="N2192" s="4">
        <v>6962</v>
      </c>
      <c r="O2192" s="5">
        <f t="shared" si="34"/>
        <v>0.12670754850143504</v>
      </c>
      <c r="P2192" s="2" t="s">
        <v>29</v>
      </c>
    </row>
    <row r="2193" spans="1:16" x14ac:dyDescent="0.25">
      <c r="A2193" s="6" t="s">
        <v>4455</v>
      </c>
      <c r="B2193" s="6" t="s">
        <v>4456</v>
      </c>
      <c r="C2193" s="6" t="s">
        <v>43</v>
      </c>
      <c r="D2193" s="7" t="s">
        <v>110</v>
      </c>
      <c r="E2193" s="7" t="s">
        <v>39</v>
      </c>
      <c r="F2193" s="6" t="s">
        <v>46</v>
      </c>
      <c r="G2193" s="8">
        <v>562141</v>
      </c>
      <c r="H2193" s="8">
        <v>88329</v>
      </c>
      <c r="I2193" s="8">
        <v>66658</v>
      </c>
      <c r="J2193" s="8">
        <v>4719</v>
      </c>
      <c r="K2193" s="8">
        <v>367</v>
      </c>
      <c r="L2193" s="8">
        <v>559</v>
      </c>
      <c r="M2193" s="8">
        <v>50</v>
      </c>
      <c r="N2193" s="8">
        <v>2235</v>
      </c>
      <c r="O2193" s="9">
        <f t="shared" si="34"/>
        <v>8.5436106693870209E-2</v>
      </c>
      <c r="P2193" s="6" t="s">
        <v>22</v>
      </c>
    </row>
    <row r="2194" spans="1:16" x14ac:dyDescent="0.25">
      <c r="A2194" s="2" t="s">
        <v>4457</v>
      </c>
      <c r="B2194" s="2" t="s">
        <v>4458</v>
      </c>
      <c r="C2194" s="2" t="s">
        <v>43</v>
      </c>
      <c r="D2194" s="3" t="s">
        <v>69</v>
      </c>
      <c r="E2194" s="3" t="s">
        <v>45</v>
      </c>
      <c r="F2194" s="2" t="s">
        <v>46</v>
      </c>
      <c r="G2194" s="4">
        <v>427447</v>
      </c>
      <c r="H2194" s="4">
        <v>270827</v>
      </c>
      <c r="I2194" s="4">
        <v>204410</v>
      </c>
      <c r="J2194" s="4">
        <v>21232</v>
      </c>
      <c r="K2194" s="4">
        <v>3396</v>
      </c>
      <c r="L2194" s="4">
        <v>2716</v>
      </c>
      <c r="M2194" s="4">
        <v>19</v>
      </c>
      <c r="N2194" s="4">
        <v>8625</v>
      </c>
      <c r="O2194" s="5">
        <f t="shared" si="34"/>
        <v>0.13386331392789003</v>
      </c>
      <c r="P2194" s="2" t="s">
        <v>66</v>
      </c>
    </row>
    <row r="2195" spans="1:16" x14ac:dyDescent="0.25">
      <c r="A2195" s="6" t="s">
        <v>4459</v>
      </c>
      <c r="B2195" s="6" t="s">
        <v>4460</v>
      </c>
      <c r="C2195" s="6" t="s">
        <v>76</v>
      </c>
      <c r="D2195" s="7" t="s">
        <v>182</v>
      </c>
      <c r="E2195" s="7" t="s">
        <v>39</v>
      </c>
      <c r="F2195" s="6" t="s">
        <v>155</v>
      </c>
      <c r="G2195" s="8">
        <v>260285</v>
      </c>
      <c r="H2195" s="8">
        <v>29591</v>
      </c>
      <c r="I2195" s="8">
        <v>25213</v>
      </c>
      <c r="J2195" s="8">
        <v>828</v>
      </c>
      <c r="K2195" s="8">
        <v>71</v>
      </c>
      <c r="L2195" s="8">
        <v>90</v>
      </c>
      <c r="M2195" s="8">
        <v>83</v>
      </c>
      <c r="N2195" s="8">
        <v>759</v>
      </c>
      <c r="O2195" s="9">
        <f t="shared" si="34"/>
        <v>4.2517748780391065E-2</v>
      </c>
      <c r="P2195" s="6" t="s">
        <v>22</v>
      </c>
    </row>
    <row r="2196" spans="1:16" x14ac:dyDescent="0.25">
      <c r="A2196" s="2" t="s">
        <v>4461</v>
      </c>
      <c r="B2196" s="2" t="s">
        <v>4462</v>
      </c>
      <c r="C2196" s="2" t="s">
        <v>25</v>
      </c>
      <c r="D2196" s="3" t="s">
        <v>61</v>
      </c>
      <c r="E2196" s="3" t="s">
        <v>27</v>
      </c>
      <c r="F2196" s="2" t="s">
        <v>65</v>
      </c>
      <c r="G2196" s="4">
        <v>193285</v>
      </c>
      <c r="H2196" s="4">
        <v>36941</v>
      </c>
      <c r="I2196" s="4">
        <v>26120</v>
      </c>
      <c r="J2196" s="4">
        <v>1350</v>
      </c>
      <c r="K2196" s="4">
        <v>114</v>
      </c>
      <c r="L2196" s="4">
        <v>167</v>
      </c>
      <c r="M2196" s="4">
        <v>99</v>
      </c>
      <c r="N2196" s="4">
        <v>1190</v>
      </c>
      <c r="O2196" s="5">
        <f t="shared" si="34"/>
        <v>6.6232771822358344E-2</v>
      </c>
      <c r="P2196" s="2" t="s">
        <v>29</v>
      </c>
    </row>
    <row r="2197" spans="1:16" x14ac:dyDescent="0.25">
      <c r="A2197" s="6" t="s">
        <v>4463</v>
      </c>
      <c r="B2197" s="6" t="s">
        <v>4464</v>
      </c>
      <c r="C2197" s="6" t="s">
        <v>18</v>
      </c>
      <c r="D2197" s="7" t="s">
        <v>19</v>
      </c>
      <c r="E2197" s="7" t="s">
        <v>34</v>
      </c>
      <c r="F2197" s="6" t="s">
        <v>21</v>
      </c>
      <c r="G2197" s="8">
        <v>112865</v>
      </c>
      <c r="H2197" s="8">
        <v>26086</v>
      </c>
      <c r="I2197" s="8">
        <v>19780</v>
      </c>
      <c r="J2197" s="8">
        <v>2073</v>
      </c>
      <c r="K2197" s="8">
        <v>165</v>
      </c>
      <c r="L2197" s="8">
        <v>214</v>
      </c>
      <c r="M2197" s="8">
        <v>172</v>
      </c>
      <c r="N2197" s="8">
        <v>766</v>
      </c>
      <c r="O2197" s="9">
        <f t="shared" si="34"/>
        <v>0.13265925176946411</v>
      </c>
      <c r="P2197" s="6" t="s">
        <v>29</v>
      </c>
    </row>
    <row r="2198" spans="1:16" x14ac:dyDescent="0.25">
      <c r="A2198" s="2" t="s">
        <v>4465</v>
      </c>
      <c r="B2198" s="2" t="s">
        <v>4466</v>
      </c>
      <c r="C2198" s="2" t="s">
        <v>18</v>
      </c>
      <c r="D2198" s="3" t="s">
        <v>57</v>
      </c>
      <c r="E2198" s="3" t="s">
        <v>20</v>
      </c>
      <c r="F2198" s="2" t="s">
        <v>73</v>
      </c>
      <c r="G2198" s="4">
        <v>117487</v>
      </c>
      <c r="H2198" s="4">
        <v>14394</v>
      </c>
      <c r="I2198" s="4">
        <v>10428</v>
      </c>
      <c r="J2198" s="4">
        <v>1133</v>
      </c>
      <c r="K2198" s="4">
        <v>103</v>
      </c>
      <c r="L2198" s="4">
        <v>133</v>
      </c>
      <c r="M2198" s="4">
        <v>202</v>
      </c>
      <c r="N2198" s="4">
        <v>146</v>
      </c>
      <c r="O2198" s="5">
        <f t="shared" si="34"/>
        <v>0.15065209052550824</v>
      </c>
      <c r="P2198" s="2" t="s">
        <v>22</v>
      </c>
    </row>
    <row r="2199" spans="1:16" x14ac:dyDescent="0.25">
      <c r="A2199" s="6" t="s">
        <v>4467</v>
      </c>
      <c r="B2199" s="6" t="s">
        <v>4468</v>
      </c>
      <c r="C2199" s="6" t="s">
        <v>43</v>
      </c>
      <c r="D2199" s="7" t="s">
        <v>172</v>
      </c>
      <c r="E2199" s="7" t="s">
        <v>39</v>
      </c>
      <c r="F2199" s="6" t="s">
        <v>70</v>
      </c>
      <c r="G2199" s="8">
        <v>267984</v>
      </c>
      <c r="H2199" s="8">
        <v>52645</v>
      </c>
      <c r="I2199" s="8">
        <v>44400</v>
      </c>
      <c r="J2199" s="8">
        <v>3016</v>
      </c>
      <c r="K2199" s="8">
        <v>329</v>
      </c>
      <c r="L2199" s="8">
        <v>254</v>
      </c>
      <c r="M2199" s="8">
        <v>48</v>
      </c>
      <c r="N2199" s="8">
        <v>1282</v>
      </c>
      <c r="O2199" s="9">
        <f t="shared" si="34"/>
        <v>8.2139639639639633E-2</v>
      </c>
      <c r="P2199" s="6" t="s">
        <v>29</v>
      </c>
    </row>
    <row r="2200" spans="1:16" x14ac:dyDescent="0.25">
      <c r="A2200" s="2" t="s">
        <v>4469</v>
      </c>
      <c r="B2200" s="2" t="s">
        <v>4470</v>
      </c>
      <c r="C2200" s="2" t="s">
        <v>76</v>
      </c>
      <c r="D2200" s="3" t="s">
        <v>182</v>
      </c>
      <c r="E2200" s="3" t="s">
        <v>50</v>
      </c>
      <c r="F2200" s="2" t="s">
        <v>87</v>
      </c>
      <c r="G2200" s="4">
        <v>276273</v>
      </c>
      <c r="H2200" s="4">
        <v>170738</v>
      </c>
      <c r="I2200" s="4">
        <v>149451</v>
      </c>
      <c r="J2200" s="4">
        <v>5670</v>
      </c>
      <c r="K2200" s="4">
        <v>406</v>
      </c>
      <c r="L2200" s="4">
        <v>764</v>
      </c>
      <c r="M2200" s="4">
        <v>484</v>
      </c>
      <c r="N2200" s="4">
        <v>4374</v>
      </c>
      <c r="O2200" s="5">
        <f t="shared" si="34"/>
        <v>4.9006028731825149E-2</v>
      </c>
      <c r="P2200" s="2" t="s">
        <v>22</v>
      </c>
    </row>
    <row r="2201" spans="1:16" x14ac:dyDescent="0.25">
      <c r="A2201" s="6" t="s">
        <v>4471</v>
      </c>
      <c r="B2201" s="6" t="s">
        <v>4472</v>
      </c>
      <c r="C2201" s="6" t="s">
        <v>43</v>
      </c>
      <c r="D2201" s="7" t="s">
        <v>44</v>
      </c>
      <c r="E2201" s="7" t="s">
        <v>50</v>
      </c>
      <c r="F2201" s="6" t="s">
        <v>46</v>
      </c>
      <c r="G2201" s="8">
        <v>778603</v>
      </c>
      <c r="H2201" s="8">
        <v>96114</v>
      </c>
      <c r="I2201" s="8">
        <v>77919</v>
      </c>
      <c r="J2201" s="8">
        <v>2731</v>
      </c>
      <c r="K2201" s="8">
        <v>247</v>
      </c>
      <c r="L2201" s="8">
        <v>161</v>
      </c>
      <c r="M2201" s="8">
        <v>15</v>
      </c>
      <c r="N2201" s="8">
        <v>2622</v>
      </c>
      <c r="O2201" s="9">
        <f t="shared" si="34"/>
        <v>4.0477932211655694E-2</v>
      </c>
      <c r="P2201" s="6" t="s">
        <v>22</v>
      </c>
    </row>
    <row r="2202" spans="1:16" x14ac:dyDescent="0.25">
      <c r="A2202" s="2" t="s">
        <v>4473</v>
      </c>
      <c r="B2202" s="2" t="s">
        <v>4474</v>
      </c>
      <c r="C2202" s="2" t="s">
        <v>25</v>
      </c>
      <c r="D2202" s="3" t="s">
        <v>145</v>
      </c>
      <c r="E2202" s="3" t="s">
        <v>45</v>
      </c>
      <c r="F2202" s="2" t="s">
        <v>54</v>
      </c>
      <c r="G2202" s="4">
        <v>284201</v>
      </c>
      <c r="H2202" s="4">
        <v>24881</v>
      </c>
      <c r="I2202" s="4">
        <v>21447</v>
      </c>
      <c r="J2202" s="4">
        <v>1378</v>
      </c>
      <c r="K2202" s="4">
        <v>64</v>
      </c>
      <c r="L2202" s="4">
        <v>32</v>
      </c>
      <c r="M2202" s="4">
        <v>291</v>
      </c>
      <c r="N2202" s="4">
        <v>568</v>
      </c>
      <c r="O2202" s="5">
        <f t="shared" si="34"/>
        <v>8.2295892199375206E-2</v>
      </c>
      <c r="P2202" s="2" t="s">
        <v>22</v>
      </c>
    </row>
    <row r="2203" spans="1:16" x14ac:dyDescent="0.25">
      <c r="A2203" s="6" t="s">
        <v>4475</v>
      </c>
      <c r="B2203" s="6" t="s">
        <v>4476</v>
      </c>
      <c r="C2203" s="6" t="s">
        <v>43</v>
      </c>
      <c r="D2203" s="7" t="s">
        <v>81</v>
      </c>
      <c r="E2203" s="7" t="s">
        <v>20</v>
      </c>
      <c r="F2203" s="6" t="s">
        <v>70</v>
      </c>
      <c r="G2203" s="8">
        <v>546577</v>
      </c>
      <c r="H2203" s="8">
        <v>229945</v>
      </c>
      <c r="I2203" s="8">
        <v>192772</v>
      </c>
      <c r="J2203" s="8">
        <v>9921</v>
      </c>
      <c r="K2203" s="8">
        <v>310</v>
      </c>
      <c r="L2203" s="8">
        <v>298</v>
      </c>
      <c r="M2203" s="8">
        <v>49</v>
      </c>
      <c r="N2203" s="8">
        <v>2986</v>
      </c>
      <c r="O2203" s="9">
        <f t="shared" si="34"/>
        <v>5.4873114352706823E-2</v>
      </c>
      <c r="P2203" s="6" t="s">
        <v>22</v>
      </c>
    </row>
    <row r="2204" spans="1:16" x14ac:dyDescent="0.25">
      <c r="A2204" s="2" t="s">
        <v>4477</v>
      </c>
      <c r="B2204" s="2" t="s">
        <v>4478</v>
      </c>
      <c r="C2204" s="2" t="s">
        <v>25</v>
      </c>
      <c r="D2204" s="3" t="s">
        <v>244</v>
      </c>
      <c r="E2204" s="3" t="s">
        <v>34</v>
      </c>
      <c r="F2204" s="2" t="s">
        <v>146</v>
      </c>
      <c r="G2204" s="4">
        <v>764969</v>
      </c>
      <c r="H2204" s="4">
        <v>96689</v>
      </c>
      <c r="I2204" s="4">
        <v>67717</v>
      </c>
      <c r="J2204" s="4">
        <v>3409</v>
      </c>
      <c r="K2204" s="4">
        <v>129</v>
      </c>
      <c r="L2204" s="4">
        <v>471</v>
      </c>
      <c r="M2204" s="4">
        <v>498</v>
      </c>
      <c r="N2204" s="4">
        <v>2101</v>
      </c>
      <c r="O2204" s="5">
        <f t="shared" si="34"/>
        <v>6.6556403857229357E-2</v>
      </c>
      <c r="P2204" s="2" t="s">
        <v>29</v>
      </c>
    </row>
    <row r="2205" spans="1:16" x14ac:dyDescent="0.25">
      <c r="A2205" s="6" t="s">
        <v>4479</v>
      </c>
      <c r="B2205" s="6" t="s">
        <v>4480</v>
      </c>
      <c r="C2205" s="6" t="s">
        <v>43</v>
      </c>
      <c r="D2205" s="7" t="s">
        <v>44</v>
      </c>
      <c r="E2205" s="7" t="s">
        <v>45</v>
      </c>
      <c r="F2205" s="6" t="s">
        <v>70</v>
      </c>
      <c r="G2205" s="8">
        <v>120800</v>
      </c>
      <c r="H2205" s="8">
        <v>13800</v>
      </c>
      <c r="I2205" s="8">
        <v>12357</v>
      </c>
      <c r="J2205" s="8">
        <v>494</v>
      </c>
      <c r="K2205" s="8">
        <v>66</v>
      </c>
      <c r="L2205" s="8">
        <v>45</v>
      </c>
      <c r="M2205" s="8">
        <v>9</v>
      </c>
      <c r="N2205" s="8">
        <v>222</v>
      </c>
      <c r="O2205" s="9">
        <f t="shared" si="34"/>
        <v>4.9688435704459008E-2</v>
      </c>
      <c r="P2205" s="6" t="s">
        <v>29</v>
      </c>
    </row>
    <row r="2206" spans="1:16" x14ac:dyDescent="0.25">
      <c r="A2206" s="2" t="s">
        <v>4481</v>
      </c>
      <c r="B2206" s="2" t="s">
        <v>4482</v>
      </c>
      <c r="C2206" s="2" t="s">
        <v>43</v>
      </c>
      <c r="D2206" s="3" t="s">
        <v>172</v>
      </c>
      <c r="E2206" s="3" t="s">
        <v>45</v>
      </c>
      <c r="F2206" s="2" t="s">
        <v>46</v>
      </c>
      <c r="G2206" s="4">
        <v>532298</v>
      </c>
      <c r="H2206" s="4">
        <v>92320</v>
      </c>
      <c r="I2206" s="4">
        <v>77771</v>
      </c>
      <c r="J2206" s="4">
        <v>3430</v>
      </c>
      <c r="K2206" s="4">
        <v>246</v>
      </c>
      <c r="L2206" s="4">
        <v>188</v>
      </c>
      <c r="M2206" s="4">
        <v>16</v>
      </c>
      <c r="N2206" s="4">
        <v>1547</v>
      </c>
      <c r="O2206" s="5">
        <f t="shared" si="34"/>
        <v>4.9890061848246778E-2</v>
      </c>
      <c r="P2206" s="2" t="s">
        <v>29</v>
      </c>
    </row>
    <row r="2207" spans="1:16" x14ac:dyDescent="0.25">
      <c r="A2207" s="6" t="s">
        <v>4483</v>
      </c>
      <c r="B2207" s="6" t="s">
        <v>4484</v>
      </c>
      <c r="C2207" s="6" t="s">
        <v>43</v>
      </c>
      <c r="D2207" s="7" t="s">
        <v>69</v>
      </c>
      <c r="E2207" s="7" t="s">
        <v>34</v>
      </c>
      <c r="F2207" s="6" t="s">
        <v>107</v>
      </c>
      <c r="G2207" s="8">
        <v>373659</v>
      </c>
      <c r="H2207" s="8">
        <v>66027</v>
      </c>
      <c r="I2207" s="8">
        <v>59678</v>
      </c>
      <c r="J2207" s="8">
        <v>2596</v>
      </c>
      <c r="K2207" s="8">
        <v>311</v>
      </c>
      <c r="L2207" s="8">
        <v>344</v>
      </c>
      <c r="M2207" s="8">
        <v>17</v>
      </c>
      <c r="N2207" s="8">
        <v>1235</v>
      </c>
      <c r="O2207" s="9">
        <f t="shared" si="34"/>
        <v>5.4760548275746508E-2</v>
      </c>
      <c r="P2207" s="6" t="s">
        <v>22</v>
      </c>
    </row>
    <row r="2208" spans="1:16" x14ac:dyDescent="0.25">
      <c r="A2208" s="2" t="s">
        <v>4485</v>
      </c>
      <c r="B2208" s="2" t="s">
        <v>4486</v>
      </c>
      <c r="C2208" s="2" t="s">
        <v>32</v>
      </c>
      <c r="D2208" s="3" t="s">
        <v>33</v>
      </c>
      <c r="E2208" s="3" t="s">
        <v>27</v>
      </c>
      <c r="F2208" s="2" t="s">
        <v>51</v>
      </c>
      <c r="G2208" s="4">
        <v>624340</v>
      </c>
      <c r="H2208" s="4">
        <v>170949</v>
      </c>
      <c r="I2208" s="4">
        <v>137636</v>
      </c>
      <c r="J2208" s="4">
        <v>8231</v>
      </c>
      <c r="K2208" s="4">
        <v>1260</v>
      </c>
      <c r="L2208" s="4">
        <v>850</v>
      </c>
      <c r="M2208" s="4">
        <v>13</v>
      </c>
      <c r="N2208" s="4">
        <v>2854</v>
      </c>
      <c r="O2208" s="5">
        <f t="shared" si="34"/>
        <v>7.5227411433055308E-2</v>
      </c>
      <c r="P2208" s="2" t="s">
        <v>22</v>
      </c>
    </row>
    <row r="2209" spans="1:16" x14ac:dyDescent="0.25">
      <c r="A2209" s="6" t="s">
        <v>4487</v>
      </c>
      <c r="B2209" s="6" t="s">
        <v>4488</v>
      </c>
      <c r="C2209" s="6" t="s">
        <v>76</v>
      </c>
      <c r="D2209" s="7" t="s">
        <v>77</v>
      </c>
      <c r="E2209" s="7" t="s">
        <v>50</v>
      </c>
      <c r="F2209" s="6" t="s">
        <v>155</v>
      </c>
      <c r="G2209" s="8">
        <v>637144</v>
      </c>
      <c r="H2209" s="8">
        <v>295260</v>
      </c>
      <c r="I2209" s="8">
        <v>227238</v>
      </c>
      <c r="J2209" s="8">
        <v>19579</v>
      </c>
      <c r="K2209" s="8">
        <v>2987</v>
      </c>
      <c r="L2209" s="8">
        <v>976</v>
      </c>
      <c r="M2209" s="8">
        <v>1196</v>
      </c>
      <c r="N2209" s="8">
        <v>3570</v>
      </c>
      <c r="O2209" s="9">
        <f t="shared" si="34"/>
        <v>0.10886383439389538</v>
      </c>
      <c r="P2209" s="6" t="s">
        <v>66</v>
      </c>
    </row>
    <row r="2210" spans="1:16" x14ac:dyDescent="0.25">
      <c r="A2210" s="2" t="s">
        <v>4489</v>
      </c>
      <c r="B2210" s="2" t="s">
        <v>4490</v>
      </c>
      <c r="C2210" s="2" t="s">
        <v>25</v>
      </c>
      <c r="D2210" s="3" t="s">
        <v>61</v>
      </c>
      <c r="E2210" s="3" t="s">
        <v>50</v>
      </c>
      <c r="F2210" s="2" t="s">
        <v>65</v>
      </c>
      <c r="G2210" s="4">
        <v>651539</v>
      </c>
      <c r="H2210" s="4">
        <v>194385</v>
      </c>
      <c r="I2210" s="4">
        <v>136714</v>
      </c>
      <c r="J2210" s="4">
        <v>11088</v>
      </c>
      <c r="K2210" s="4">
        <v>684</v>
      </c>
      <c r="L2210" s="4">
        <v>664</v>
      </c>
      <c r="M2210" s="4">
        <v>1592</v>
      </c>
      <c r="N2210" s="4">
        <v>6320</v>
      </c>
      <c r="O2210" s="5">
        <f t="shared" si="34"/>
        <v>0.10260836490776365</v>
      </c>
      <c r="P2210" s="2" t="s">
        <v>22</v>
      </c>
    </row>
    <row r="2211" spans="1:16" x14ac:dyDescent="0.25">
      <c r="A2211" s="6" t="s">
        <v>4491</v>
      </c>
      <c r="B2211" s="6" t="s">
        <v>4492</v>
      </c>
      <c r="C2211" s="6" t="s">
        <v>25</v>
      </c>
      <c r="D2211" s="7" t="s">
        <v>145</v>
      </c>
      <c r="E2211" s="7" t="s">
        <v>34</v>
      </c>
      <c r="F2211" s="6" t="s">
        <v>54</v>
      </c>
      <c r="G2211" s="8">
        <v>527216</v>
      </c>
      <c r="H2211" s="8">
        <v>159203</v>
      </c>
      <c r="I2211" s="8">
        <v>116232</v>
      </c>
      <c r="J2211" s="8">
        <v>6152</v>
      </c>
      <c r="K2211" s="8">
        <v>789</v>
      </c>
      <c r="L2211" s="8">
        <v>854</v>
      </c>
      <c r="M2211" s="8">
        <v>955</v>
      </c>
      <c r="N2211" s="8">
        <v>4982</v>
      </c>
      <c r="O2211" s="9">
        <f t="shared" si="34"/>
        <v>7.5280473535687245E-2</v>
      </c>
      <c r="P2211" s="6" t="s">
        <v>22</v>
      </c>
    </row>
    <row r="2212" spans="1:16" x14ac:dyDescent="0.25">
      <c r="A2212" s="2" t="s">
        <v>4493</v>
      </c>
      <c r="B2212" s="2" t="s">
        <v>4494</v>
      </c>
      <c r="C2212" s="2" t="s">
        <v>76</v>
      </c>
      <c r="D2212" s="3" t="s">
        <v>189</v>
      </c>
      <c r="E2212" s="3" t="s">
        <v>50</v>
      </c>
      <c r="F2212" s="2" t="s">
        <v>155</v>
      </c>
      <c r="G2212" s="4">
        <v>339774</v>
      </c>
      <c r="H2212" s="4">
        <v>73740</v>
      </c>
      <c r="I2212" s="4">
        <v>64614</v>
      </c>
      <c r="J2212" s="4">
        <v>4310</v>
      </c>
      <c r="K2212" s="4">
        <v>433</v>
      </c>
      <c r="L2212" s="4">
        <v>340</v>
      </c>
      <c r="M2212" s="4">
        <v>844</v>
      </c>
      <c r="N2212" s="4">
        <v>1675</v>
      </c>
      <c r="O2212" s="5">
        <f t="shared" si="34"/>
        <v>9.1729346581236271E-2</v>
      </c>
      <c r="P2212" s="2" t="s">
        <v>22</v>
      </c>
    </row>
    <row r="2213" spans="1:16" x14ac:dyDescent="0.25">
      <c r="A2213" s="6" t="s">
        <v>4495</v>
      </c>
      <c r="B2213" s="6" t="s">
        <v>4496</v>
      </c>
      <c r="C2213" s="6" t="s">
        <v>18</v>
      </c>
      <c r="D2213" s="7" t="s">
        <v>231</v>
      </c>
      <c r="E2213" s="7" t="s">
        <v>39</v>
      </c>
      <c r="F2213" s="6" t="s">
        <v>21</v>
      </c>
      <c r="G2213" s="8">
        <v>511940</v>
      </c>
      <c r="H2213" s="8">
        <v>114492</v>
      </c>
      <c r="I2213" s="8">
        <v>99022</v>
      </c>
      <c r="J2213" s="8">
        <v>7282</v>
      </c>
      <c r="K2213" s="8">
        <v>1013</v>
      </c>
      <c r="L2213" s="8">
        <v>855</v>
      </c>
      <c r="M2213" s="8">
        <v>845</v>
      </c>
      <c r="N2213" s="8">
        <v>1157</v>
      </c>
      <c r="O2213" s="9">
        <f t="shared" si="34"/>
        <v>0.10093716547837854</v>
      </c>
      <c r="P2213" s="6" t="s">
        <v>66</v>
      </c>
    </row>
    <row r="2214" spans="1:16" x14ac:dyDescent="0.25">
      <c r="A2214" s="2" t="s">
        <v>4497</v>
      </c>
      <c r="B2214" s="2" t="s">
        <v>4498</v>
      </c>
      <c r="C2214" s="2" t="s">
        <v>18</v>
      </c>
      <c r="D2214" s="3" t="s">
        <v>57</v>
      </c>
      <c r="E2214" s="3" t="s">
        <v>39</v>
      </c>
      <c r="F2214" s="2" t="s">
        <v>73</v>
      </c>
      <c r="G2214" s="4">
        <v>673822</v>
      </c>
      <c r="H2214" s="4">
        <v>307271</v>
      </c>
      <c r="I2214" s="4">
        <v>237033</v>
      </c>
      <c r="J2214" s="4">
        <v>9277</v>
      </c>
      <c r="K2214" s="4">
        <v>497</v>
      </c>
      <c r="L2214" s="4">
        <v>764</v>
      </c>
      <c r="M2214" s="4">
        <v>1858</v>
      </c>
      <c r="N2214" s="4">
        <v>9904</v>
      </c>
      <c r="O2214" s="5">
        <f t="shared" si="34"/>
        <v>5.2296515675032587E-2</v>
      </c>
      <c r="P2214" s="2" t="s">
        <v>29</v>
      </c>
    </row>
    <row r="2215" spans="1:16" x14ac:dyDescent="0.25">
      <c r="A2215" s="6" t="s">
        <v>4499</v>
      </c>
      <c r="B2215" s="6" t="s">
        <v>4500</v>
      </c>
      <c r="C2215" s="6" t="s">
        <v>32</v>
      </c>
      <c r="D2215" s="7" t="s">
        <v>38</v>
      </c>
      <c r="E2215" s="7" t="s">
        <v>20</v>
      </c>
      <c r="F2215" s="6" t="s">
        <v>51</v>
      </c>
      <c r="G2215" s="8">
        <v>827245</v>
      </c>
      <c r="H2215" s="8">
        <v>300223</v>
      </c>
      <c r="I2215" s="8">
        <v>267844</v>
      </c>
      <c r="J2215" s="8">
        <v>23120</v>
      </c>
      <c r="K2215" s="8">
        <v>2648</v>
      </c>
      <c r="L2215" s="8">
        <v>620</v>
      </c>
      <c r="M2215" s="8">
        <v>3</v>
      </c>
      <c r="N2215" s="8">
        <v>8885</v>
      </c>
      <c r="O2215" s="9">
        <f t="shared" si="34"/>
        <v>9.853123459924433E-2</v>
      </c>
      <c r="P2215" s="6" t="s">
        <v>29</v>
      </c>
    </row>
    <row r="2216" spans="1:16" x14ac:dyDescent="0.25">
      <c r="A2216" s="2" t="s">
        <v>4501</v>
      </c>
      <c r="B2216" s="2" t="s">
        <v>4502</v>
      </c>
      <c r="C2216" s="2" t="s">
        <v>76</v>
      </c>
      <c r="D2216" s="3" t="s">
        <v>77</v>
      </c>
      <c r="E2216" s="3" t="s">
        <v>27</v>
      </c>
      <c r="F2216" s="2" t="s">
        <v>78</v>
      </c>
      <c r="G2216" s="4">
        <v>799006</v>
      </c>
      <c r="H2216" s="4">
        <v>323676</v>
      </c>
      <c r="I2216" s="4">
        <v>293605</v>
      </c>
      <c r="J2216" s="4">
        <v>11966</v>
      </c>
      <c r="K2216" s="4">
        <v>1103</v>
      </c>
      <c r="L2216" s="4">
        <v>1390</v>
      </c>
      <c r="M2216" s="4">
        <v>1722</v>
      </c>
      <c r="N2216" s="4">
        <v>4727</v>
      </c>
      <c r="O2216" s="5">
        <f t="shared" si="34"/>
        <v>5.5111459273513734E-2</v>
      </c>
      <c r="P2216" s="2" t="s">
        <v>29</v>
      </c>
    </row>
    <row r="2217" spans="1:16" x14ac:dyDescent="0.25">
      <c r="A2217" s="6" t="s">
        <v>4503</v>
      </c>
      <c r="B2217" s="6" t="s">
        <v>4504</v>
      </c>
      <c r="C2217" s="6" t="s">
        <v>25</v>
      </c>
      <c r="D2217" s="7" t="s">
        <v>61</v>
      </c>
      <c r="E2217" s="7" t="s">
        <v>39</v>
      </c>
      <c r="F2217" s="6" t="s">
        <v>65</v>
      </c>
      <c r="G2217" s="8">
        <v>742199</v>
      </c>
      <c r="H2217" s="8">
        <v>127498</v>
      </c>
      <c r="I2217" s="8">
        <v>100951</v>
      </c>
      <c r="J2217" s="8">
        <v>4938</v>
      </c>
      <c r="K2217" s="8">
        <v>683</v>
      </c>
      <c r="L2217" s="8">
        <v>578</v>
      </c>
      <c r="M2217" s="8">
        <v>268</v>
      </c>
      <c r="N2217" s="8">
        <v>865</v>
      </c>
      <c r="O2217" s="9">
        <f t="shared" si="34"/>
        <v>6.4060781963526853E-2</v>
      </c>
      <c r="P2217" s="6" t="s">
        <v>22</v>
      </c>
    </row>
    <row r="2218" spans="1:16" x14ac:dyDescent="0.25">
      <c r="A2218" s="2" t="s">
        <v>4505</v>
      </c>
      <c r="B2218" s="2" t="s">
        <v>4506</v>
      </c>
      <c r="C2218" s="2" t="s">
        <v>25</v>
      </c>
      <c r="D2218" s="3" t="s">
        <v>244</v>
      </c>
      <c r="E2218" s="3" t="s">
        <v>39</v>
      </c>
      <c r="F2218" s="2" t="s">
        <v>54</v>
      </c>
      <c r="G2218" s="4">
        <v>74797</v>
      </c>
      <c r="H2218" s="4">
        <v>27223</v>
      </c>
      <c r="I2218" s="4">
        <v>20187</v>
      </c>
      <c r="J2218" s="4">
        <v>779</v>
      </c>
      <c r="K2218" s="4">
        <v>44</v>
      </c>
      <c r="L2218" s="4">
        <v>54</v>
      </c>
      <c r="M2218" s="4">
        <v>93</v>
      </c>
      <c r="N2218" s="4">
        <v>628</v>
      </c>
      <c r="O2218" s="5">
        <f t="shared" si="34"/>
        <v>4.8050725714568782E-2</v>
      </c>
      <c r="P2218" s="2" t="s">
        <v>29</v>
      </c>
    </row>
    <row r="2219" spans="1:16" x14ac:dyDescent="0.25">
      <c r="A2219" s="6" t="s">
        <v>4507</v>
      </c>
      <c r="B2219" s="6" t="s">
        <v>4508</v>
      </c>
      <c r="C2219" s="6" t="s">
        <v>76</v>
      </c>
      <c r="D2219" s="7" t="s">
        <v>103</v>
      </c>
      <c r="E2219" s="7" t="s">
        <v>34</v>
      </c>
      <c r="F2219" s="6" t="s">
        <v>87</v>
      </c>
      <c r="G2219" s="8">
        <v>506826</v>
      </c>
      <c r="H2219" s="8">
        <v>296015</v>
      </c>
      <c r="I2219" s="8">
        <v>210353</v>
      </c>
      <c r="J2219" s="8">
        <v>10275</v>
      </c>
      <c r="K2219" s="8">
        <v>1827</v>
      </c>
      <c r="L2219" s="8">
        <v>1191</v>
      </c>
      <c r="M2219" s="8">
        <v>1905</v>
      </c>
      <c r="N2219" s="8">
        <v>2023</v>
      </c>
      <c r="O2219" s="9">
        <f t="shared" si="34"/>
        <v>7.2249979795866948E-2</v>
      </c>
      <c r="P2219" s="6" t="s">
        <v>29</v>
      </c>
    </row>
    <row r="2220" spans="1:16" x14ac:dyDescent="0.25">
      <c r="A2220" s="2" t="s">
        <v>4509</v>
      </c>
      <c r="B2220" s="2" t="s">
        <v>4510</v>
      </c>
      <c r="C2220" s="2" t="s">
        <v>18</v>
      </c>
      <c r="D2220" s="3" t="s">
        <v>19</v>
      </c>
      <c r="E2220" s="3" t="s">
        <v>39</v>
      </c>
      <c r="F2220" s="2" t="s">
        <v>73</v>
      </c>
      <c r="G2220" s="4">
        <v>845911</v>
      </c>
      <c r="H2220" s="4">
        <v>93816</v>
      </c>
      <c r="I2220" s="4">
        <v>79643</v>
      </c>
      <c r="J2220" s="4">
        <v>5425</v>
      </c>
      <c r="K2220" s="4">
        <v>909</v>
      </c>
      <c r="L2220" s="4">
        <v>169</v>
      </c>
      <c r="M2220" s="4">
        <v>782</v>
      </c>
      <c r="N2220" s="4">
        <v>2026</v>
      </c>
      <c r="O2220" s="5">
        <f t="shared" si="34"/>
        <v>9.147068794495436E-2</v>
      </c>
      <c r="P2220" s="2" t="s">
        <v>22</v>
      </c>
    </row>
    <row r="2221" spans="1:16" x14ac:dyDescent="0.25">
      <c r="A2221" s="6" t="s">
        <v>4511</v>
      </c>
      <c r="B2221" s="6" t="s">
        <v>4512</v>
      </c>
      <c r="C2221" s="6" t="s">
        <v>76</v>
      </c>
      <c r="D2221" s="7" t="s">
        <v>189</v>
      </c>
      <c r="E2221" s="7" t="s">
        <v>20</v>
      </c>
      <c r="F2221" s="6" t="s">
        <v>104</v>
      </c>
      <c r="G2221" s="8">
        <v>511607</v>
      </c>
      <c r="H2221" s="8">
        <v>251825</v>
      </c>
      <c r="I2221" s="8">
        <v>203904</v>
      </c>
      <c r="J2221" s="8">
        <v>11951</v>
      </c>
      <c r="K2221" s="8">
        <v>1189</v>
      </c>
      <c r="L2221" s="8">
        <v>612</v>
      </c>
      <c r="M2221" s="8">
        <v>1591</v>
      </c>
      <c r="N2221" s="8">
        <v>7040</v>
      </c>
      <c r="O2221" s="9">
        <f t="shared" si="34"/>
        <v>7.5246194287507853E-2</v>
      </c>
      <c r="P2221" s="6" t="s">
        <v>22</v>
      </c>
    </row>
    <row r="2222" spans="1:16" x14ac:dyDescent="0.25">
      <c r="A2222" s="2" t="s">
        <v>4513</v>
      </c>
      <c r="B2222" s="2" t="s">
        <v>4514</v>
      </c>
      <c r="C2222" s="2" t="s">
        <v>18</v>
      </c>
      <c r="D2222" s="3" t="s">
        <v>92</v>
      </c>
      <c r="E2222" s="3" t="s">
        <v>34</v>
      </c>
      <c r="F2222" s="2" t="s">
        <v>21</v>
      </c>
      <c r="G2222" s="4">
        <v>264847</v>
      </c>
      <c r="H2222" s="4">
        <v>97312</v>
      </c>
      <c r="I2222" s="4">
        <v>75200</v>
      </c>
      <c r="J2222" s="4">
        <v>6972</v>
      </c>
      <c r="K2222" s="4">
        <v>470</v>
      </c>
      <c r="L2222" s="4">
        <v>464</v>
      </c>
      <c r="M2222" s="4">
        <v>1379</v>
      </c>
      <c r="N2222" s="4">
        <v>810</v>
      </c>
      <c r="O2222" s="5">
        <f t="shared" si="34"/>
        <v>0.12347074468085106</v>
      </c>
      <c r="P2222" s="2" t="s">
        <v>66</v>
      </c>
    </row>
    <row r="2223" spans="1:16" x14ac:dyDescent="0.25">
      <c r="A2223" s="6" t="s">
        <v>4515</v>
      </c>
      <c r="B2223" s="6" t="s">
        <v>4516</v>
      </c>
      <c r="C2223" s="6" t="s">
        <v>43</v>
      </c>
      <c r="D2223" s="7" t="s">
        <v>110</v>
      </c>
      <c r="E2223" s="7" t="s">
        <v>50</v>
      </c>
      <c r="F2223" s="6" t="s">
        <v>70</v>
      </c>
      <c r="G2223" s="8">
        <v>248956</v>
      </c>
      <c r="H2223" s="8">
        <v>96169</v>
      </c>
      <c r="I2223" s="8">
        <v>83209</v>
      </c>
      <c r="J2223" s="8">
        <v>3032</v>
      </c>
      <c r="K2223" s="8">
        <v>204</v>
      </c>
      <c r="L2223" s="8">
        <v>317</v>
      </c>
      <c r="M2223" s="8">
        <v>5</v>
      </c>
      <c r="N2223" s="8">
        <v>1074</v>
      </c>
      <c r="O2223" s="9">
        <f t="shared" si="34"/>
        <v>4.2759797618046123E-2</v>
      </c>
      <c r="P2223" s="6" t="s">
        <v>29</v>
      </c>
    </row>
    <row r="2224" spans="1:16" x14ac:dyDescent="0.25">
      <c r="A2224" s="2" t="s">
        <v>4517</v>
      </c>
      <c r="B2224" s="2" t="s">
        <v>4518</v>
      </c>
      <c r="C2224" s="2" t="s">
        <v>18</v>
      </c>
      <c r="D2224" s="3" t="s">
        <v>231</v>
      </c>
      <c r="E2224" s="3" t="s">
        <v>45</v>
      </c>
      <c r="F2224" s="2" t="s">
        <v>21</v>
      </c>
      <c r="G2224" s="4">
        <v>489574</v>
      </c>
      <c r="H2224" s="4">
        <v>1563857</v>
      </c>
      <c r="I2224" s="4">
        <v>1243385</v>
      </c>
      <c r="J2224" s="4">
        <v>106368</v>
      </c>
      <c r="K2224" s="4">
        <v>9933</v>
      </c>
      <c r="L2224" s="4">
        <v>7458</v>
      </c>
      <c r="M2224" s="4">
        <v>11305</v>
      </c>
      <c r="N2224" s="4">
        <v>12798</v>
      </c>
      <c r="O2224" s="5">
        <f t="shared" si="34"/>
        <v>0.10862604905158096</v>
      </c>
      <c r="P2224" s="2" t="s">
        <v>29</v>
      </c>
    </row>
    <row r="2225" spans="1:16" x14ac:dyDescent="0.25">
      <c r="A2225" s="6" t="s">
        <v>4519</v>
      </c>
      <c r="B2225" s="6" t="s">
        <v>4520</v>
      </c>
      <c r="C2225" s="6" t="s">
        <v>18</v>
      </c>
      <c r="D2225" s="7" t="s">
        <v>92</v>
      </c>
      <c r="E2225" s="7" t="s">
        <v>39</v>
      </c>
      <c r="F2225" s="6" t="s">
        <v>58</v>
      </c>
      <c r="G2225" s="8">
        <v>167322</v>
      </c>
      <c r="H2225" s="8">
        <v>102680</v>
      </c>
      <c r="I2225" s="8">
        <v>93543</v>
      </c>
      <c r="J2225" s="8">
        <v>5518</v>
      </c>
      <c r="K2225" s="8">
        <v>368</v>
      </c>
      <c r="L2225" s="8">
        <v>819</v>
      </c>
      <c r="M2225" s="8">
        <v>1005</v>
      </c>
      <c r="N2225" s="8">
        <v>1909</v>
      </c>
      <c r="O2225" s="9">
        <f t="shared" si="34"/>
        <v>8.2421987748949682E-2</v>
      </c>
      <c r="P2225" s="6" t="s">
        <v>29</v>
      </c>
    </row>
    <row r="2226" spans="1:16" x14ac:dyDescent="0.25">
      <c r="A2226" s="2" t="s">
        <v>4521</v>
      </c>
      <c r="B2226" s="2" t="s">
        <v>4522</v>
      </c>
      <c r="C2226" s="2" t="s">
        <v>76</v>
      </c>
      <c r="D2226" s="3" t="s">
        <v>86</v>
      </c>
      <c r="E2226" s="3" t="s">
        <v>27</v>
      </c>
      <c r="F2226" s="2" t="s">
        <v>78</v>
      </c>
      <c r="G2226" s="4">
        <v>58787</v>
      </c>
      <c r="H2226" s="4">
        <v>15666</v>
      </c>
      <c r="I2226" s="4">
        <v>14130</v>
      </c>
      <c r="J2226" s="4">
        <v>637</v>
      </c>
      <c r="K2226" s="4">
        <v>82</v>
      </c>
      <c r="L2226" s="4">
        <v>25</v>
      </c>
      <c r="M2226" s="4">
        <v>126</v>
      </c>
      <c r="N2226" s="4">
        <v>442</v>
      </c>
      <c r="O2226" s="5">
        <f t="shared" si="34"/>
        <v>6.1571125265392782E-2</v>
      </c>
      <c r="P2226" s="2" t="s">
        <v>22</v>
      </c>
    </row>
    <row r="2227" spans="1:16" x14ac:dyDescent="0.25">
      <c r="A2227" s="6" t="s">
        <v>4523</v>
      </c>
      <c r="B2227" s="6" t="s">
        <v>4524</v>
      </c>
      <c r="C2227" s="6" t="s">
        <v>76</v>
      </c>
      <c r="D2227" s="7" t="s">
        <v>86</v>
      </c>
      <c r="E2227" s="7" t="s">
        <v>50</v>
      </c>
      <c r="F2227" s="6" t="s">
        <v>155</v>
      </c>
      <c r="G2227" s="8">
        <v>565598</v>
      </c>
      <c r="H2227" s="8">
        <v>363242</v>
      </c>
      <c r="I2227" s="8">
        <v>302423</v>
      </c>
      <c r="J2227" s="8">
        <v>9109</v>
      </c>
      <c r="K2227" s="8">
        <v>1188</v>
      </c>
      <c r="L2227" s="8">
        <v>1161</v>
      </c>
      <c r="M2227" s="8">
        <v>1529</v>
      </c>
      <c r="N2227" s="8">
        <v>12286</v>
      </c>
      <c r="O2227" s="9">
        <f t="shared" si="34"/>
        <v>4.2943162391749307E-2</v>
      </c>
      <c r="P2227" s="6" t="s">
        <v>29</v>
      </c>
    </row>
    <row r="2228" spans="1:16" x14ac:dyDescent="0.25">
      <c r="A2228" s="2" t="s">
        <v>4525</v>
      </c>
      <c r="B2228" s="2" t="s">
        <v>4526</v>
      </c>
      <c r="C2228" s="2" t="s">
        <v>18</v>
      </c>
      <c r="D2228" s="3" t="s">
        <v>92</v>
      </c>
      <c r="E2228" s="3" t="s">
        <v>27</v>
      </c>
      <c r="F2228" s="2" t="s">
        <v>21</v>
      </c>
      <c r="G2228" s="4">
        <v>788030</v>
      </c>
      <c r="H2228" s="4">
        <v>325351</v>
      </c>
      <c r="I2228" s="4">
        <v>287599</v>
      </c>
      <c r="J2228" s="4">
        <v>14190</v>
      </c>
      <c r="K2228" s="4">
        <v>2553</v>
      </c>
      <c r="L2228" s="4">
        <v>2125</v>
      </c>
      <c r="M2228" s="4">
        <v>1937</v>
      </c>
      <c r="N2228" s="4">
        <v>9117</v>
      </c>
      <c r="O2228" s="5">
        <f t="shared" si="34"/>
        <v>7.2340307163794026E-2</v>
      </c>
      <c r="P2228" s="2" t="s">
        <v>22</v>
      </c>
    </row>
    <row r="2229" spans="1:16" x14ac:dyDescent="0.25">
      <c r="A2229" s="6" t="s">
        <v>4527</v>
      </c>
      <c r="B2229" s="6" t="s">
        <v>4528</v>
      </c>
      <c r="C2229" s="6" t="s">
        <v>18</v>
      </c>
      <c r="D2229" s="7" t="s">
        <v>226</v>
      </c>
      <c r="E2229" s="7" t="s">
        <v>50</v>
      </c>
      <c r="F2229" s="6" t="s">
        <v>21</v>
      </c>
      <c r="G2229" s="8">
        <v>320385</v>
      </c>
      <c r="H2229" s="8">
        <v>204286</v>
      </c>
      <c r="I2229" s="8">
        <v>166654</v>
      </c>
      <c r="J2229" s="8">
        <v>10159</v>
      </c>
      <c r="K2229" s="8">
        <v>861</v>
      </c>
      <c r="L2229" s="8">
        <v>540</v>
      </c>
      <c r="M2229" s="8">
        <v>2317</v>
      </c>
      <c r="N2229" s="8">
        <v>5847</v>
      </c>
      <c r="O2229" s="9">
        <f t="shared" si="34"/>
        <v>8.3268328392957863E-2</v>
      </c>
      <c r="P2229" s="6" t="s">
        <v>22</v>
      </c>
    </row>
    <row r="2230" spans="1:16" x14ac:dyDescent="0.25">
      <c r="A2230" s="2" t="s">
        <v>4529</v>
      </c>
      <c r="B2230" s="2" t="s">
        <v>4530</v>
      </c>
      <c r="C2230" s="2" t="s">
        <v>18</v>
      </c>
      <c r="D2230" s="3" t="s">
        <v>226</v>
      </c>
      <c r="E2230" s="3" t="s">
        <v>34</v>
      </c>
      <c r="F2230" s="2" t="s">
        <v>73</v>
      </c>
      <c r="G2230" s="4">
        <v>318395</v>
      </c>
      <c r="H2230" s="4">
        <v>195865</v>
      </c>
      <c r="I2230" s="4">
        <v>177322</v>
      </c>
      <c r="J2230" s="4">
        <v>11897</v>
      </c>
      <c r="K2230" s="4">
        <v>764</v>
      </c>
      <c r="L2230" s="4">
        <v>995</v>
      </c>
      <c r="M2230" s="4">
        <v>2400</v>
      </c>
      <c r="N2230" s="4">
        <v>6579</v>
      </c>
      <c r="O2230" s="5">
        <f t="shared" si="34"/>
        <v>9.0547140230766626E-2</v>
      </c>
      <c r="P2230" s="2" t="s">
        <v>66</v>
      </c>
    </row>
    <row r="2231" spans="1:16" x14ac:dyDescent="0.25">
      <c r="A2231" s="6" t="s">
        <v>4531</v>
      </c>
      <c r="B2231" s="6" t="s">
        <v>4532</v>
      </c>
      <c r="C2231" s="6" t="s">
        <v>76</v>
      </c>
      <c r="D2231" s="7" t="s">
        <v>77</v>
      </c>
      <c r="E2231" s="7" t="s">
        <v>45</v>
      </c>
      <c r="F2231" s="6" t="s">
        <v>78</v>
      </c>
      <c r="G2231" s="8">
        <v>700884</v>
      </c>
      <c r="H2231" s="8">
        <v>249253</v>
      </c>
      <c r="I2231" s="8">
        <v>176256</v>
      </c>
      <c r="J2231" s="8">
        <v>14485</v>
      </c>
      <c r="K2231" s="8">
        <v>958</v>
      </c>
      <c r="L2231" s="8">
        <v>1609</v>
      </c>
      <c r="M2231" s="8">
        <v>1950</v>
      </c>
      <c r="N2231" s="8">
        <v>6278</v>
      </c>
      <c r="O2231" s="9">
        <f t="shared" si="34"/>
        <v>0.10780909586056645</v>
      </c>
      <c r="P2231" s="6" t="s">
        <v>22</v>
      </c>
    </row>
    <row r="2232" spans="1:16" x14ac:dyDescent="0.25">
      <c r="A2232" s="2" t="s">
        <v>4533</v>
      </c>
      <c r="B2232" s="2" t="s">
        <v>4534</v>
      </c>
      <c r="C2232" s="2" t="s">
        <v>76</v>
      </c>
      <c r="D2232" s="3" t="s">
        <v>182</v>
      </c>
      <c r="E2232" s="3" t="s">
        <v>27</v>
      </c>
      <c r="F2232" s="2" t="s">
        <v>155</v>
      </c>
      <c r="G2232" s="4">
        <v>843344</v>
      </c>
      <c r="H2232" s="4">
        <v>109674</v>
      </c>
      <c r="I2232" s="4">
        <v>85217</v>
      </c>
      <c r="J2232" s="4">
        <v>4323</v>
      </c>
      <c r="K2232" s="4">
        <v>244</v>
      </c>
      <c r="L2232" s="4">
        <v>280</v>
      </c>
      <c r="M2232" s="4">
        <v>776</v>
      </c>
      <c r="N2232" s="4">
        <v>2909</v>
      </c>
      <c r="O2232" s="5">
        <f t="shared" si="34"/>
        <v>6.5984486663459171E-2</v>
      </c>
      <c r="P2232" s="2" t="s">
        <v>29</v>
      </c>
    </row>
    <row r="2233" spans="1:16" x14ac:dyDescent="0.25">
      <c r="A2233" s="6" t="s">
        <v>4535</v>
      </c>
      <c r="B2233" s="6" t="s">
        <v>4536</v>
      </c>
      <c r="C2233" s="6" t="s">
        <v>43</v>
      </c>
      <c r="D2233" s="7" t="s">
        <v>69</v>
      </c>
      <c r="E2233" s="7" t="s">
        <v>39</v>
      </c>
      <c r="F2233" s="6" t="s">
        <v>107</v>
      </c>
      <c r="G2233" s="8">
        <v>529014</v>
      </c>
      <c r="H2233" s="8">
        <v>69552</v>
      </c>
      <c r="I2233" s="8">
        <v>59092</v>
      </c>
      <c r="J2233" s="8">
        <v>3155</v>
      </c>
      <c r="K2233" s="8">
        <v>513</v>
      </c>
      <c r="L2233" s="8">
        <v>276</v>
      </c>
      <c r="M2233" s="8">
        <v>32</v>
      </c>
      <c r="N2233" s="8">
        <v>494</v>
      </c>
      <c r="O2233" s="9">
        <f t="shared" si="34"/>
        <v>6.72849116631693E-2</v>
      </c>
      <c r="P2233" s="6" t="s">
        <v>22</v>
      </c>
    </row>
    <row r="2234" spans="1:16" x14ac:dyDescent="0.25">
      <c r="A2234" s="2" t="s">
        <v>4537</v>
      </c>
      <c r="B2234" s="2" t="s">
        <v>4538</v>
      </c>
      <c r="C2234" s="2" t="s">
        <v>18</v>
      </c>
      <c r="D2234" s="3" t="s">
        <v>57</v>
      </c>
      <c r="E2234" s="3" t="s">
        <v>45</v>
      </c>
      <c r="F2234" s="2" t="s">
        <v>58</v>
      </c>
      <c r="G2234" s="4">
        <v>87383</v>
      </c>
      <c r="H2234" s="4">
        <v>27640</v>
      </c>
      <c r="I2234" s="4">
        <v>24768</v>
      </c>
      <c r="J2234" s="4">
        <v>2178</v>
      </c>
      <c r="K2234" s="4">
        <v>250</v>
      </c>
      <c r="L2234" s="4">
        <v>162</v>
      </c>
      <c r="M2234" s="4">
        <v>433</v>
      </c>
      <c r="N2234" s="4">
        <v>459</v>
      </c>
      <c r="O2234" s="5">
        <f t="shared" si="34"/>
        <v>0.12205264857881137</v>
      </c>
      <c r="P2234" s="2" t="s">
        <v>22</v>
      </c>
    </row>
    <row r="2235" spans="1:16" x14ac:dyDescent="0.25">
      <c r="A2235" s="6" t="s">
        <v>4539</v>
      </c>
      <c r="B2235" s="6" t="s">
        <v>4540</v>
      </c>
      <c r="C2235" s="6" t="s">
        <v>18</v>
      </c>
      <c r="D2235" s="7" t="s">
        <v>231</v>
      </c>
      <c r="E2235" s="7" t="s">
        <v>34</v>
      </c>
      <c r="F2235" s="6" t="s">
        <v>73</v>
      </c>
      <c r="G2235" s="8">
        <v>435898</v>
      </c>
      <c r="H2235" s="8">
        <v>260105</v>
      </c>
      <c r="I2235" s="8">
        <v>193921</v>
      </c>
      <c r="J2235" s="8">
        <v>10418</v>
      </c>
      <c r="K2235" s="8">
        <v>1850</v>
      </c>
      <c r="L2235" s="8">
        <v>462</v>
      </c>
      <c r="M2235" s="8">
        <v>1064</v>
      </c>
      <c r="N2235" s="8">
        <v>4199</v>
      </c>
      <c r="O2235" s="9">
        <f t="shared" si="34"/>
        <v>7.1132058931214256E-2</v>
      </c>
      <c r="P2235" s="6" t="s">
        <v>22</v>
      </c>
    </row>
    <row r="2236" spans="1:16" x14ac:dyDescent="0.25">
      <c r="A2236" s="2" t="s">
        <v>4541</v>
      </c>
      <c r="B2236" s="2" t="s">
        <v>4542</v>
      </c>
      <c r="C2236" s="2" t="s">
        <v>32</v>
      </c>
      <c r="D2236" s="3" t="s">
        <v>175</v>
      </c>
      <c r="E2236" s="3" t="s">
        <v>27</v>
      </c>
      <c r="F2236" s="2" t="s">
        <v>51</v>
      </c>
      <c r="G2236" s="4">
        <v>87984</v>
      </c>
      <c r="H2236" s="4">
        <v>39197</v>
      </c>
      <c r="I2236" s="4">
        <v>35229</v>
      </c>
      <c r="J2236" s="4">
        <v>1844</v>
      </c>
      <c r="K2236" s="4">
        <v>259</v>
      </c>
      <c r="L2236" s="4">
        <v>111</v>
      </c>
      <c r="M2236" s="4">
        <v>48</v>
      </c>
      <c r="N2236" s="4">
        <v>1018</v>
      </c>
      <c r="O2236" s="5">
        <f t="shared" si="34"/>
        <v>6.4208464617218769E-2</v>
      </c>
      <c r="P2236" s="2" t="s">
        <v>22</v>
      </c>
    </row>
    <row r="2237" spans="1:16" x14ac:dyDescent="0.25">
      <c r="A2237" s="6" t="s">
        <v>4543</v>
      </c>
      <c r="B2237" s="6" t="s">
        <v>4544</v>
      </c>
      <c r="C2237" s="6" t="s">
        <v>32</v>
      </c>
      <c r="D2237" s="7" t="s">
        <v>33</v>
      </c>
      <c r="E2237" s="7" t="s">
        <v>27</v>
      </c>
      <c r="F2237" s="6" t="s">
        <v>35</v>
      </c>
      <c r="G2237" s="8">
        <v>777948</v>
      </c>
      <c r="H2237" s="8">
        <v>315724</v>
      </c>
      <c r="I2237" s="8">
        <v>225067</v>
      </c>
      <c r="J2237" s="8">
        <v>9384</v>
      </c>
      <c r="K2237" s="8">
        <v>1164</v>
      </c>
      <c r="L2237" s="8">
        <v>504</v>
      </c>
      <c r="M2237" s="8">
        <v>13</v>
      </c>
      <c r="N2237" s="8">
        <v>5260</v>
      </c>
      <c r="O2237" s="9">
        <f t="shared" si="34"/>
        <v>4.9163138087769419E-2</v>
      </c>
      <c r="P2237" s="6" t="s">
        <v>29</v>
      </c>
    </row>
    <row r="2238" spans="1:16" x14ac:dyDescent="0.25">
      <c r="A2238" s="2" t="s">
        <v>4545</v>
      </c>
      <c r="B2238" s="2" t="s">
        <v>4546</v>
      </c>
      <c r="C2238" s="2" t="s">
        <v>43</v>
      </c>
      <c r="D2238" s="3" t="s">
        <v>81</v>
      </c>
      <c r="E2238" s="3" t="s">
        <v>39</v>
      </c>
      <c r="F2238" s="2" t="s">
        <v>46</v>
      </c>
      <c r="G2238" s="4">
        <v>142114</v>
      </c>
      <c r="H2238" s="4">
        <v>87618</v>
      </c>
      <c r="I2238" s="4">
        <v>70636</v>
      </c>
      <c r="J2238" s="4">
        <v>3883</v>
      </c>
      <c r="K2238" s="4">
        <v>650</v>
      </c>
      <c r="L2238" s="4">
        <v>464</v>
      </c>
      <c r="M2238" s="4">
        <v>7</v>
      </c>
      <c r="N2238" s="4">
        <v>1720</v>
      </c>
      <c r="O2238" s="5">
        <f t="shared" si="34"/>
        <v>7.084206353700663E-2</v>
      </c>
      <c r="P2238" s="2" t="s">
        <v>22</v>
      </c>
    </row>
    <row r="2239" spans="1:16" x14ac:dyDescent="0.25">
      <c r="A2239" s="6" t="s">
        <v>4547</v>
      </c>
      <c r="B2239" s="6" t="s">
        <v>4548</v>
      </c>
      <c r="C2239" s="6" t="s">
        <v>43</v>
      </c>
      <c r="D2239" s="7" t="s">
        <v>69</v>
      </c>
      <c r="E2239" s="7" t="s">
        <v>20</v>
      </c>
      <c r="F2239" s="6" t="s">
        <v>46</v>
      </c>
      <c r="G2239" s="8">
        <v>717811</v>
      </c>
      <c r="H2239" s="8">
        <v>399825</v>
      </c>
      <c r="I2239" s="8">
        <v>338579</v>
      </c>
      <c r="J2239" s="8">
        <v>13423</v>
      </c>
      <c r="K2239" s="8">
        <v>1184</v>
      </c>
      <c r="L2239" s="8">
        <v>1001</v>
      </c>
      <c r="M2239" s="8">
        <v>9</v>
      </c>
      <c r="N2239" s="8">
        <v>4083</v>
      </c>
      <c r="O2239" s="9">
        <f t="shared" si="34"/>
        <v>4.6125128847329576E-2</v>
      </c>
      <c r="P2239" s="6" t="s">
        <v>22</v>
      </c>
    </row>
    <row r="2240" spans="1:16" x14ac:dyDescent="0.25">
      <c r="A2240" s="2" t="s">
        <v>4549</v>
      </c>
      <c r="B2240" s="2" t="s">
        <v>4550</v>
      </c>
      <c r="C2240" s="2" t="s">
        <v>25</v>
      </c>
      <c r="D2240" s="3" t="s">
        <v>244</v>
      </c>
      <c r="E2240" s="3" t="s">
        <v>39</v>
      </c>
      <c r="F2240" s="2" t="s">
        <v>65</v>
      </c>
      <c r="G2240" s="4">
        <v>394366</v>
      </c>
      <c r="H2240" s="4">
        <v>195962</v>
      </c>
      <c r="I2240" s="4">
        <v>170212</v>
      </c>
      <c r="J2240" s="4">
        <v>10043</v>
      </c>
      <c r="K2240" s="4">
        <v>1507</v>
      </c>
      <c r="L2240" s="4">
        <v>203</v>
      </c>
      <c r="M2240" s="4">
        <v>1100</v>
      </c>
      <c r="N2240" s="4">
        <v>1029</v>
      </c>
      <c r="O2240" s="5">
        <f t="shared" si="34"/>
        <v>7.5511714802716609E-2</v>
      </c>
      <c r="P2240" s="2" t="s">
        <v>66</v>
      </c>
    </row>
    <row r="2241" spans="1:16" x14ac:dyDescent="0.25">
      <c r="A2241" s="6" t="s">
        <v>4551</v>
      </c>
      <c r="B2241" s="6" t="s">
        <v>4552</v>
      </c>
      <c r="C2241" s="6" t="s">
        <v>25</v>
      </c>
      <c r="D2241" s="7" t="s">
        <v>26</v>
      </c>
      <c r="E2241" s="7" t="s">
        <v>20</v>
      </c>
      <c r="F2241" s="6" t="s">
        <v>54</v>
      </c>
      <c r="G2241" s="8">
        <v>231091</v>
      </c>
      <c r="H2241" s="8">
        <v>59128</v>
      </c>
      <c r="I2241" s="8">
        <v>43654</v>
      </c>
      <c r="J2241" s="8">
        <v>2759</v>
      </c>
      <c r="K2241" s="8">
        <v>440</v>
      </c>
      <c r="L2241" s="8">
        <v>409</v>
      </c>
      <c r="M2241" s="8">
        <v>252</v>
      </c>
      <c r="N2241" s="8">
        <v>1703</v>
      </c>
      <c r="O2241" s="9">
        <f t="shared" si="34"/>
        <v>8.8422595867503548E-2</v>
      </c>
      <c r="P2241" s="6" t="s">
        <v>22</v>
      </c>
    </row>
    <row r="2242" spans="1:16" x14ac:dyDescent="0.25">
      <c r="A2242" s="2" t="s">
        <v>4553</v>
      </c>
      <c r="B2242" s="2" t="s">
        <v>4554</v>
      </c>
      <c r="C2242" s="2" t="s">
        <v>32</v>
      </c>
      <c r="D2242" s="3" t="s">
        <v>175</v>
      </c>
      <c r="E2242" s="3" t="s">
        <v>34</v>
      </c>
      <c r="F2242" s="2" t="s">
        <v>51</v>
      </c>
      <c r="G2242" s="4">
        <v>15991</v>
      </c>
      <c r="H2242" s="4">
        <v>8888</v>
      </c>
      <c r="I2242" s="4">
        <v>6228</v>
      </c>
      <c r="J2242" s="4">
        <v>627</v>
      </c>
      <c r="K2242" s="4">
        <v>99</v>
      </c>
      <c r="L2242" s="4">
        <v>67</v>
      </c>
      <c r="M2242" s="4">
        <v>46</v>
      </c>
      <c r="N2242" s="4">
        <v>199</v>
      </c>
      <c r="O2242" s="5">
        <f t="shared" ref="O2242:O2305" si="35">IF(I2242&gt;0, (J2242+K2242+L2242+M2242)/I2242, 0)</f>
        <v>0.13471419396274886</v>
      </c>
      <c r="P2242" s="2" t="s">
        <v>22</v>
      </c>
    </row>
    <row r="2243" spans="1:16" x14ac:dyDescent="0.25">
      <c r="A2243" s="6" t="s">
        <v>4555</v>
      </c>
      <c r="B2243" s="6" t="s">
        <v>4556</v>
      </c>
      <c r="C2243" s="6" t="s">
        <v>43</v>
      </c>
      <c r="D2243" s="7" t="s">
        <v>110</v>
      </c>
      <c r="E2243" s="7" t="s">
        <v>20</v>
      </c>
      <c r="F2243" s="6" t="s">
        <v>107</v>
      </c>
      <c r="G2243" s="8">
        <v>699410</v>
      </c>
      <c r="H2243" s="8">
        <v>339072</v>
      </c>
      <c r="I2243" s="8">
        <v>286274</v>
      </c>
      <c r="J2243" s="8">
        <v>10109</v>
      </c>
      <c r="K2243" s="8">
        <v>1458</v>
      </c>
      <c r="L2243" s="8">
        <v>815</v>
      </c>
      <c r="M2243" s="8">
        <v>50</v>
      </c>
      <c r="N2243" s="8">
        <v>7828</v>
      </c>
      <c r="O2243" s="9">
        <f t="shared" si="35"/>
        <v>4.3426926650691297E-2</v>
      </c>
      <c r="P2243" s="6" t="s">
        <v>29</v>
      </c>
    </row>
    <row r="2244" spans="1:16" x14ac:dyDescent="0.25">
      <c r="A2244" s="2" t="s">
        <v>4557</v>
      </c>
      <c r="B2244" s="2" t="s">
        <v>4558</v>
      </c>
      <c r="C2244" s="2" t="s">
        <v>32</v>
      </c>
      <c r="D2244" s="3" t="s">
        <v>121</v>
      </c>
      <c r="E2244" s="3" t="s">
        <v>20</v>
      </c>
      <c r="F2244" s="2" t="s">
        <v>35</v>
      </c>
      <c r="G2244" s="4">
        <v>685051</v>
      </c>
      <c r="H2244" s="4">
        <v>295603</v>
      </c>
      <c r="I2244" s="4">
        <v>218314</v>
      </c>
      <c r="J2244" s="4">
        <v>7218</v>
      </c>
      <c r="K2244" s="4">
        <v>483</v>
      </c>
      <c r="L2244" s="4">
        <v>532</v>
      </c>
      <c r="M2244" s="4">
        <v>20</v>
      </c>
      <c r="N2244" s="4">
        <v>6634</v>
      </c>
      <c r="O2244" s="5">
        <f t="shared" si="35"/>
        <v>3.7803347471989886E-2</v>
      </c>
      <c r="P2244" s="2" t="s">
        <v>22</v>
      </c>
    </row>
    <row r="2245" spans="1:16" x14ac:dyDescent="0.25">
      <c r="A2245" s="6" t="s">
        <v>4559</v>
      </c>
      <c r="B2245" s="6" t="s">
        <v>4560</v>
      </c>
      <c r="C2245" s="6" t="s">
        <v>32</v>
      </c>
      <c r="D2245" s="7" t="s">
        <v>33</v>
      </c>
      <c r="E2245" s="7" t="s">
        <v>34</v>
      </c>
      <c r="F2245" s="6" t="s">
        <v>51</v>
      </c>
      <c r="G2245" s="8">
        <v>702784</v>
      </c>
      <c r="H2245" s="8">
        <v>167617</v>
      </c>
      <c r="I2245" s="8">
        <v>148034</v>
      </c>
      <c r="J2245" s="8">
        <v>8285</v>
      </c>
      <c r="K2245" s="8">
        <v>520</v>
      </c>
      <c r="L2245" s="8">
        <v>847</v>
      </c>
      <c r="M2245" s="8">
        <v>12</v>
      </c>
      <c r="N2245" s="8">
        <v>4188</v>
      </c>
      <c r="O2245" s="9">
        <f t="shared" si="35"/>
        <v>6.5282300012159372E-2</v>
      </c>
      <c r="P2245" s="6" t="s">
        <v>22</v>
      </c>
    </row>
    <row r="2246" spans="1:16" x14ac:dyDescent="0.25">
      <c r="A2246" s="2" t="s">
        <v>4561</v>
      </c>
      <c r="B2246" s="2" t="s">
        <v>4562</v>
      </c>
      <c r="C2246" s="2" t="s">
        <v>18</v>
      </c>
      <c r="D2246" s="3" t="s">
        <v>19</v>
      </c>
      <c r="E2246" s="3" t="s">
        <v>45</v>
      </c>
      <c r="F2246" s="2" t="s">
        <v>58</v>
      </c>
      <c r="G2246" s="4">
        <v>724615</v>
      </c>
      <c r="H2246" s="4">
        <v>244505</v>
      </c>
      <c r="I2246" s="4">
        <v>202462</v>
      </c>
      <c r="J2246" s="4">
        <v>9911</v>
      </c>
      <c r="K2246" s="4">
        <v>1506</v>
      </c>
      <c r="L2246" s="4">
        <v>1265</v>
      </c>
      <c r="M2246" s="4">
        <v>1945</v>
      </c>
      <c r="N2246" s="4">
        <v>1622</v>
      </c>
      <c r="O2246" s="5">
        <f t="shared" si="35"/>
        <v>7.2245655974948392E-2</v>
      </c>
      <c r="P2246" s="2" t="s">
        <v>22</v>
      </c>
    </row>
    <row r="2247" spans="1:16" x14ac:dyDescent="0.25">
      <c r="A2247" s="6" t="s">
        <v>4563</v>
      </c>
      <c r="B2247" s="6" t="s">
        <v>4564</v>
      </c>
      <c r="C2247" s="6" t="s">
        <v>76</v>
      </c>
      <c r="D2247" s="7" t="s">
        <v>86</v>
      </c>
      <c r="E2247" s="7" t="s">
        <v>45</v>
      </c>
      <c r="F2247" s="6" t="s">
        <v>104</v>
      </c>
      <c r="G2247" s="8">
        <v>348281</v>
      </c>
      <c r="H2247" s="8">
        <v>196448</v>
      </c>
      <c r="I2247" s="8">
        <v>150138</v>
      </c>
      <c r="J2247" s="8">
        <v>10315</v>
      </c>
      <c r="K2247" s="8">
        <v>421</v>
      </c>
      <c r="L2247" s="8">
        <v>683</v>
      </c>
      <c r="M2247" s="8">
        <v>2164</v>
      </c>
      <c r="N2247" s="8">
        <v>4514</v>
      </c>
      <c r="O2247" s="9">
        <f t="shared" si="35"/>
        <v>9.0470100840560022E-2</v>
      </c>
      <c r="P2247" s="6" t="s">
        <v>22</v>
      </c>
    </row>
    <row r="2248" spans="1:16" x14ac:dyDescent="0.25">
      <c r="A2248" s="2" t="s">
        <v>4565</v>
      </c>
      <c r="B2248" s="2" t="s">
        <v>4566</v>
      </c>
      <c r="C2248" s="2" t="s">
        <v>76</v>
      </c>
      <c r="D2248" s="3" t="s">
        <v>77</v>
      </c>
      <c r="E2248" s="3" t="s">
        <v>50</v>
      </c>
      <c r="F2248" s="2" t="s">
        <v>87</v>
      </c>
      <c r="G2248" s="4">
        <v>292470</v>
      </c>
      <c r="H2248" s="4">
        <v>97035</v>
      </c>
      <c r="I2248" s="4">
        <v>73650</v>
      </c>
      <c r="J2248" s="4">
        <v>2460</v>
      </c>
      <c r="K2248" s="4">
        <v>221</v>
      </c>
      <c r="L2248" s="4">
        <v>76</v>
      </c>
      <c r="M2248" s="4">
        <v>544</v>
      </c>
      <c r="N2248" s="4">
        <v>1767</v>
      </c>
      <c r="O2248" s="5">
        <f t="shared" si="35"/>
        <v>4.4820095044127629E-2</v>
      </c>
      <c r="P2248" s="2" t="s">
        <v>29</v>
      </c>
    </row>
    <row r="2249" spans="1:16" x14ac:dyDescent="0.25">
      <c r="A2249" s="6" t="s">
        <v>4567</v>
      </c>
      <c r="B2249" s="6" t="s">
        <v>4568</v>
      </c>
      <c r="C2249" s="6" t="s">
        <v>25</v>
      </c>
      <c r="D2249" s="7" t="s">
        <v>26</v>
      </c>
      <c r="E2249" s="7" t="s">
        <v>34</v>
      </c>
      <c r="F2249" s="6" t="s">
        <v>28</v>
      </c>
      <c r="G2249" s="8">
        <v>690941</v>
      </c>
      <c r="H2249" s="8">
        <v>421135</v>
      </c>
      <c r="I2249" s="8">
        <v>370267</v>
      </c>
      <c r="J2249" s="8">
        <v>30895</v>
      </c>
      <c r="K2249" s="8">
        <v>5361</v>
      </c>
      <c r="L2249" s="8">
        <v>2877</v>
      </c>
      <c r="M2249" s="8">
        <v>5016</v>
      </c>
      <c r="N2249" s="8">
        <v>5435</v>
      </c>
      <c r="O2249" s="9">
        <f t="shared" si="35"/>
        <v>0.11923557865000121</v>
      </c>
      <c r="P2249" s="6" t="s">
        <v>29</v>
      </c>
    </row>
    <row r="2250" spans="1:16" x14ac:dyDescent="0.25">
      <c r="A2250" s="2" t="s">
        <v>4569</v>
      </c>
      <c r="B2250" s="2" t="s">
        <v>4570</v>
      </c>
      <c r="C2250" s="2" t="s">
        <v>18</v>
      </c>
      <c r="D2250" s="3" t="s">
        <v>231</v>
      </c>
      <c r="E2250" s="3" t="s">
        <v>39</v>
      </c>
      <c r="F2250" s="2" t="s">
        <v>58</v>
      </c>
      <c r="G2250" s="4">
        <v>431660</v>
      </c>
      <c r="H2250" s="4">
        <v>53435</v>
      </c>
      <c r="I2250" s="4">
        <v>48202</v>
      </c>
      <c r="J2250" s="4">
        <v>2787</v>
      </c>
      <c r="K2250" s="4">
        <v>266</v>
      </c>
      <c r="L2250" s="4">
        <v>282</v>
      </c>
      <c r="M2250" s="4">
        <v>148</v>
      </c>
      <c r="N2250" s="4">
        <v>1448</v>
      </c>
      <c r="O2250" s="5">
        <f t="shared" si="35"/>
        <v>7.225841251400357E-2</v>
      </c>
      <c r="P2250" s="2" t="s">
        <v>66</v>
      </c>
    </row>
    <row r="2251" spans="1:16" x14ac:dyDescent="0.25">
      <c r="A2251" s="6" t="s">
        <v>4571</v>
      </c>
      <c r="B2251" s="6" t="s">
        <v>4572</v>
      </c>
      <c r="C2251" s="6" t="s">
        <v>76</v>
      </c>
      <c r="D2251" s="7" t="s">
        <v>103</v>
      </c>
      <c r="E2251" s="7" t="s">
        <v>27</v>
      </c>
      <c r="F2251" s="6" t="s">
        <v>78</v>
      </c>
      <c r="G2251" s="8">
        <v>757750</v>
      </c>
      <c r="H2251" s="8">
        <v>252218</v>
      </c>
      <c r="I2251" s="8">
        <v>184412</v>
      </c>
      <c r="J2251" s="8">
        <v>8196</v>
      </c>
      <c r="K2251" s="8">
        <v>1102</v>
      </c>
      <c r="L2251" s="8">
        <v>1200</v>
      </c>
      <c r="M2251" s="8">
        <v>1695</v>
      </c>
      <c r="N2251" s="8">
        <v>4019</v>
      </c>
      <c r="O2251" s="9">
        <f t="shared" si="35"/>
        <v>6.6118256946402623E-2</v>
      </c>
      <c r="P2251" s="6" t="s">
        <v>66</v>
      </c>
    </row>
    <row r="2252" spans="1:16" x14ac:dyDescent="0.25">
      <c r="A2252" s="2" t="s">
        <v>4573</v>
      </c>
      <c r="B2252" s="2" t="s">
        <v>4574</v>
      </c>
      <c r="C2252" s="2" t="s">
        <v>76</v>
      </c>
      <c r="D2252" s="3" t="s">
        <v>77</v>
      </c>
      <c r="E2252" s="3" t="s">
        <v>27</v>
      </c>
      <c r="F2252" s="2" t="s">
        <v>78</v>
      </c>
      <c r="G2252" s="4">
        <v>93684</v>
      </c>
      <c r="H2252" s="4">
        <v>32041</v>
      </c>
      <c r="I2252" s="4">
        <v>25127</v>
      </c>
      <c r="J2252" s="4">
        <v>1721</v>
      </c>
      <c r="K2252" s="4">
        <v>136</v>
      </c>
      <c r="L2252" s="4">
        <v>85</v>
      </c>
      <c r="M2252" s="4">
        <v>97</v>
      </c>
      <c r="N2252" s="4">
        <v>670</v>
      </c>
      <c r="O2252" s="5">
        <f t="shared" si="35"/>
        <v>8.1147769331794489E-2</v>
      </c>
      <c r="P2252" s="2" t="s">
        <v>22</v>
      </c>
    </row>
    <row r="2253" spans="1:16" x14ac:dyDescent="0.25">
      <c r="A2253" s="6" t="s">
        <v>4575</v>
      </c>
      <c r="B2253" s="6" t="s">
        <v>4576</v>
      </c>
      <c r="C2253" s="6" t="s">
        <v>25</v>
      </c>
      <c r="D2253" s="7" t="s">
        <v>145</v>
      </c>
      <c r="E2253" s="7" t="s">
        <v>20</v>
      </c>
      <c r="F2253" s="6" t="s">
        <v>146</v>
      </c>
      <c r="G2253" s="8">
        <v>579825</v>
      </c>
      <c r="H2253" s="8">
        <v>79501</v>
      </c>
      <c r="I2253" s="8">
        <v>58413</v>
      </c>
      <c r="J2253" s="8">
        <v>5207</v>
      </c>
      <c r="K2253" s="8">
        <v>607</v>
      </c>
      <c r="L2253" s="8">
        <v>393</v>
      </c>
      <c r="M2253" s="8">
        <v>1148</v>
      </c>
      <c r="N2253" s="8">
        <v>1419</v>
      </c>
      <c r="O2253" s="9">
        <f t="shared" si="35"/>
        <v>0.12591375207573657</v>
      </c>
      <c r="P2253" s="6" t="s">
        <v>22</v>
      </c>
    </row>
    <row r="2254" spans="1:16" x14ac:dyDescent="0.25">
      <c r="A2254" s="2" t="s">
        <v>4577</v>
      </c>
      <c r="B2254" s="2" t="s">
        <v>4578</v>
      </c>
      <c r="C2254" s="2" t="s">
        <v>32</v>
      </c>
      <c r="D2254" s="3" t="s">
        <v>49</v>
      </c>
      <c r="E2254" s="3" t="s">
        <v>50</v>
      </c>
      <c r="F2254" s="2" t="s">
        <v>40</v>
      </c>
      <c r="G2254" s="4">
        <v>530234</v>
      </c>
      <c r="H2254" s="4">
        <v>313164</v>
      </c>
      <c r="I2254" s="4">
        <v>248187</v>
      </c>
      <c r="J2254" s="4">
        <v>6281</v>
      </c>
      <c r="K2254" s="4">
        <v>791</v>
      </c>
      <c r="L2254" s="4">
        <v>598</v>
      </c>
      <c r="M2254" s="4">
        <v>44</v>
      </c>
      <c r="N2254" s="4">
        <v>1589</v>
      </c>
      <c r="O2254" s="5">
        <f t="shared" si="35"/>
        <v>3.1081402329694949E-2</v>
      </c>
      <c r="P2254" s="2" t="s">
        <v>22</v>
      </c>
    </row>
    <row r="2255" spans="1:16" x14ac:dyDescent="0.25">
      <c r="A2255" s="6" t="s">
        <v>4579</v>
      </c>
      <c r="B2255" s="6" t="s">
        <v>4580</v>
      </c>
      <c r="C2255" s="6" t="s">
        <v>18</v>
      </c>
      <c r="D2255" s="7" t="s">
        <v>19</v>
      </c>
      <c r="E2255" s="7" t="s">
        <v>27</v>
      </c>
      <c r="F2255" s="6" t="s">
        <v>58</v>
      </c>
      <c r="G2255" s="8">
        <v>515377</v>
      </c>
      <c r="H2255" s="8">
        <v>134543</v>
      </c>
      <c r="I2255" s="8">
        <v>118413</v>
      </c>
      <c r="J2255" s="8">
        <v>4315</v>
      </c>
      <c r="K2255" s="8">
        <v>287</v>
      </c>
      <c r="L2255" s="8">
        <v>306</v>
      </c>
      <c r="M2255" s="8">
        <v>842</v>
      </c>
      <c r="N2255" s="8">
        <v>695</v>
      </c>
      <c r="O2255" s="9">
        <f t="shared" si="35"/>
        <v>4.8558857557869491E-2</v>
      </c>
      <c r="P2255" s="6" t="s">
        <v>66</v>
      </c>
    </row>
    <row r="2256" spans="1:16" x14ac:dyDescent="0.25">
      <c r="A2256" s="2" t="s">
        <v>4581</v>
      </c>
      <c r="B2256" s="2" t="s">
        <v>4582</v>
      </c>
      <c r="C2256" s="2" t="s">
        <v>43</v>
      </c>
      <c r="D2256" s="3" t="s">
        <v>172</v>
      </c>
      <c r="E2256" s="3" t="s">
        <v>39</v>
      </c>
      <c r="F2256" s="2" t="s">
        <v>107</v>
      </c>
      <c r="G2256" s="4">
        <v>255297</v>
      </c>
      <c r="H2256" s="4">
        <v>27711</v>
      </c>
      <c r="I2256" s="4">
        <v>22552</v>
      </c>
      <c r="J2256" s="4">
        <v>1389</v>
      </c>
      <c r="K2256" s="4">
        <v>152</v>
      </c>
      <c r="L2256" s="4">
        <v>38</v>
      </c>
      <c r="M2256" s="4">
        <v>10</v>
      </c>
      <c r="N2256" s="4">
        <v>413</v>
      </c>
      <c r="O2256" s="5">
        <f t="shared" si="35"/>
        <v>7.0459382759843911E-2</v>
      </c>
      <c r="P2256" s="2" t="s">
        <v>66</v>
      </c>
    </row>
    <row r="2257" spans="1:16" x14ac:dyDescent="0.25">
      <c r="A2257" s="6" t="s">
        <v>4583</v>
      </c>
      <c r="B2257" s="6" t="s">
        <v>4584</v>
      </c>
      <c r="C2257" s="6" t="s">
        <v>32</v>
      </c>
      <c r="D2257" s="7" t="s">
        <v>121</v>
      </c>
      <c r="E2257" s="7" t="s">
        <v>20</v>
      </c>
      <c r="F2257" s="6" t="s">
        <v>40</v>
      </c>
      <c r="G2257" s="8">
        <v>287840</v>
      </c>
      <c r="H2257" s="8">
        <v>150566</v>
      </c>
      <c r="I2257" s="8">
        <v>128133</v>
      </c>
      <c r="J2257" s="8">
        <v>8102</v>
      </c>
      <c r="K2257" s="8">
        <v>869</v>
      </c>
      <c r="L2257" s="8">
        <v>484</v>
      </c>
      <c r="M2257" s="8">
        <v>5</v>
      </c>
      <c r="N2257" s="8">
        <v>4274</v>
      </c>
      <c r="O2257" s="9">
        <f t="shared" si="35"/>
        <v>7.3829536497233339E-2</v>
      </c>
      <c r="P2257" s="6" t="s">
        <v>22</v>
      </c>
    </row>
    <row r="2258" spans="1:16" x14ac:dyDescent="0.25">
      <c r="A2258" s="2" t="s">
        <v>4585</v>
      </c>
      <c r="B2258" s="2" t="s">
        <v>4586</v>
      </c>
      <c r="C2258" s="2" t="s">
        <v>32</v>
      </c>
      <c r="D2258" s="3" t="s">
        <v>175</v>
      </c>
      <c r="E2258" s="3" t="s">
        <v>34</v>
      </c>
      <c r="F2258" s="2" t="s">
        <v>128</v>
      </c>
      <c r="G2258" s="4">
        <v>76256</v>
      </c>
      <c r="H2258" s="4">
        <v>35288</v>
      </c>
      <c r="I2258" s="4">
        <v>28200</v>
      </c>
      <c r="J2258" s="4">
        <v>1804</v>
      </c>
      <c r="K2258" s="4">
        <v>307</v>
      </c>
      <c r="L2258" s="4">
        <v>96</v>
      </c>
      <c r="M2258" s="4">
        <v>28</v>
      </c>
      <c r="N2258" s="4">
        <v>1147</v>
      </c>
      <c r="O2258" s="5">
        <f t="shared" si="35"/>
        <v>7.9255319148936174E-2</v>
      </c>
      <c r="P2258" s="2" t="s">
        <v>29</v>
      </c>
    </row>
    <row r="2259" spans="1:16" x14ac:dyDescent="0.25">
      <c r="A2259" s="6" t="s">
        <v>4587</v>
      </c>
      <c r="B2259" s="6" t="s">
        <v>4588</v>
      </c>
      <c r="C2259" s="6" t="s">
        <v>18</v>
      </c>
      <c r="D2259" s="7" t="s">
        <v>19</v>
      </c>
      <c r="E2259" s="7" t="s">
        <v>39</v>
      </c>
      <c r="F2259" s="6" t="s">
        <v>73</v>
      </c>
      <c r="G2259" s="8">
        <v>245745</v>
      </c>
      <c r="H2259" s="8">
        <v>108778</v>
      </c>
      <c r="I2259" s="8">
        <v>89413</v>
      </c>
      <c r="J2259" s="8">
        <v>3978</v>
      </c>
      <c r="K2259" s="8">
        <v>245</v>
      </c>
      <c r="L2259" s="8">
        <v>376</v>
      </c>
      <c r="M2259" s="8">
        <v>451</v>
      </c>
      <c r="N2259" s="8">
        <v>2421</v>
      </c>
      <c r="O2259" s="9">
        <f t="shared" si="35"/>
        <v>5.6479482849250112E-2</v>
      </c>
      <c r="P2259" s="6" t="s">
        <v>22</v>
      </c>
    </row>
    <row r="2260" spans="1:16" x14ac:dyDescent="0.25">
      <c r="A2260" s="2" t="s">
        <v>4589</v>
      </c>
      <c r="B2260" s="2" t="s">
        <v>4590</v>
      </c>
      <c r="C2260" s="2" t="s">
        <v>25</v>
      </c>
      <c r="D2260" s="3" t="s">
        <v>145</v>
      </c>
      <c r="E2260" s="3" t="s">
        <v>50</v>
      </c>
      <c r="F2260" s="2" t="s">
        <v>28</v>
      </c>
      <c r="G2260" s="4">
        <v>134466</v>
      </c>
      <c r="H2260" s="4">
        <v>52265</v>
      </c>
      <c r="I2260" s="4">
        <v>44113</v>
      </c>
      <c r="J2260" s="4">
        <v>3270</v>
      </c>
      <c r="K2260" s="4">
        <v>273</v>
      </c>
      <c r="L2260" s="4">
        <v>94</v>
      </c>
      <c r="M2260" s="4">
        <v>220</v>
      </c>
      <c r="N2260" s="4">
        <v>1677</v>
      </c>
      <c r="O2260" s="5">
        <f t="shared" si="35"/>
        <v>8.7434543105207083E-2</v>
      </c>
      <c r="P2260" s="2" t="s">
        <v>29</v>
      </c>
    </row>
    <row r="2261" spans="1:16" x14ac:dyDescent="0.25">
      <c r="A2261" s="6" t="s">
        <v>4591</v>
      </c>
      <c r="B2261" s="6" t="s">
        <v>4592</v>
      </c>
      <c r="C2261" s="6" t="s">
        <v>76</v>
      </c>
      <c r="D2261" s="7" t="s">
        <v>189</v>
      </c>
      <c r="E2261" s="7" t="s">
        <v>50</v>
      </c>
      <c r="F2261" s="6" t="s">
        <v>155</v>
      </c>
      <c r="G2261" s="8">
        <v>696480</v>
      </c>
      <c r="H2261" s="8">
        <v>80750</v>
      </c>
      <c r="I2261" s="8">
        <v>62094</v>
      </c>
      <c r="J2261" s="8">
        <v>3787</v>
      </c>
      <c r="K2261" s="8">
        <v>468</v>
      </c>
      <c r="L2261" s="8">
        <v>479</v>
      </c>
      <c r="M2261" s="8">
        <v>216</v>
      </c>
      <c r="N2261" s="8">
        <v>2058</v>
      </c>
      <c r="O2261" s="9">
        <f t="shared" si="35"/>
        <v>7.971784713498889E-2</v>
      </c>
      <c r="P2261" s="6" t="s">
        <v>29</v>
      </c>
    </row>
    <row r="2262" spans="1:16" x14ac:dyDescent="0.25">
      <c r="A2262" s="2" t="s">
        <v>4593</v>
      </c>
      <c r="B2262" s="2" t="s">
        <v>4594</v>
      </c>
      <c r="C2262" s="2" t="s">
        <v>32</v>
      </c>
      <c r="D2262" s="3" t="s">
        <v>121</v>
      </c>
      <c r="E2262" s="3" t="s">
        <v>39</v>
      </c>
      <c r="F2262" s="2" t="s">
        <v>35</v>
      </c>
      <c r="G2262" s="4">
        <v>453603</v>
      </c>
      <c r="H2262" s="4">
        <v>1971995</v>
      </c>
      <c r="I2262" s="4">
        <v>1745490</v>
      </c>
      <c r="J2262" s="4">
        <v>101390</v>
      </c>
      <c r="K2262" s="4">
        <v>17306</v>
      </c>
      <c r="L2262" s="4">
        <v>13841</v>
      </c>
      <c r="M2262" s="4">
        <v>4</v>
      </c>
      <c r="N2262" s="4">
        <v>62763</v>
      </c>
      <c r="O2262" s="5">
        <f t="shared" si="35"/>
        <v>7.5933405519367059E-2</v>
      </c>
      <c r="P2262" s="2" t="s">
        <v>29</v>
      </c>
    </row>
    <row r="2263" spans="1:16" x14ac:dyDescent="0.25">
      <c r="A2263" s="6" t="s">
        <v>4595</v>
      </c>
      <c r="B2263" s="6" t="s">
        <v>4596</v>
      </c>
      <c r="C2263" s="6" t="s">
        <v>25</v>
      </c>
      <c r="D2263" s="7" t="s">
        <v>61</v>
      </c>
      <c r="E2263" s="7" t="s">
        <v>27</v>
      </c>
      <c r="F2263" s="6" t="s">
        <v>65</v>
      </c>
      <c r="G2263" s="8">
        <v>579335</v>
      </c>
      <c r="H2263" s="8">
        <v>198623</v>
      </c>
      <c r="I2263" s="8">
        <v>168274</v>
      </c>
      <c r="J2263" s="8">
        <v>11748</v>
      </c>
      <c r="K2263" s="8">
        <v>390</v>
      </c>
      <c r="L2263" s="8">
        <v>387</v>
      </c>
      <c r="M2263" s="8">
        <v>1049</v>
      </c>
      <c r="N2263" s="8">
        <v>2416</v>
      </c>
      <c r="O2263" s="9">
        <f t="shared" si="35"/>
        <v>8.0666056550625767E-2</v>
      </c>
      <c r="P2263" s="6" t="s">
        <v>29</v>
      </c>
    </row>
    <row r="2264" spans="1:16" x14ac:dyDescent="0.25">
      <c r="A2264" s="2" t="s">
        <v>4597</v>
      </c>
      <c r="B2264" s="2" t="s">
        <v>4598</v>
      </c>
      <c r="C2264" s="2" t="s">
        <v>43</v>
      </c>
      <c r="D2264" s="3" t="s">
        <v>69</v>
      </c>
      <c r="E2264" s="3" t="s">
        <v>45</v>
      </c>
      <c r="F2264" s="2" t="s">
        <v>70</v>
      </c>
      <c r="G2264" s="4">
        <v>191621</v>
      </c>
      <c r="H2264" s="4">
        <v>57040</v>
      </c>
      <c r="I2264" s="4">
        <v>42021</v>
      </c>
      <c r="J2264" s="4">
        <v>1155</v>
      </c>
      <c r="K2264" s="4">
        <v>55</v>
      </c>
      <c r="L2264" s="4">
        <v>163</v>
      </c>
      <c r="M2264" s="4">
        <v>35</v>
      </c>
      <c r="N2264" s="4">
        <v>421</v>
      </c>
      <c r="O2264" s="5">
        <f t="shared" si="35"/>
        <v>3.3507055995811615E-2</v>
      </c>
      <c r="P2264" s="2" t="s">
        <v>22</v>
      </c>
    </row>
    <row r="2265" spans="1:16" x14ac:dyDescent="0.25">
      <c r="A2265" s="6" t="s">
        <v>4599</v>
      </c>
      <c r="B2265" s="6" t="s">
        <v>4600</v>
      </c>
      <c r="C2265" s="6" t="s">
        <v>76</v>
      </c>
      <c r="D2265" s="7" t="s">
        <v>77</v>
      </c>
      <c r="E2265" s="7" t="s">
        <v>39</v>
      </c>
      <c r="F2265" s="6" t="s">
        <v>104</v>
      </c>
      <c r="G2265" s="8">
        <v>61723</v>
      </c>
      <c r="H2265" s="8">
        <v>34111</v>
      </c>
      <c r="I2265" s="8">
        <v>30198</v>
      </c>
      <c r="J2265" s="8">
        <v>1691</v>
      </c>
      <c r="K2265" s="8">
        <v>201</v>
      </c>
      <c r="L2265" s="8">
        <v>250</v>
      </c>
      <c r="M2265" s="8">
        <v>349</v>
      </c>
      <c r="N2265" s="8">
        <v>1002</v>
      </c>
      <c r="O2265" s="9">
        <f t="shared" si="35"/>
        <v>8.2488906550102659E-2</v>
      </c>
      <c r="P2265" s="6" t="s">
        <v>22</v>
      </c>
    </row>
    <row r="2266" spans="1:16" x14ac:dyDescent="0.25">
      <c r="A2266" s="2" t="s">
        <v>4601</v>
      </c>
      <c r="B2266" s="2" t="s">
        <v>4602</v>
      </c>
      <c r="C2266" s="2" t="s">
        <v>25</v>
      </c>
      <c r="D2266" s="3" t="s">
        <v>145</v>
      </c>
      <c r="E2266" s="3" t="s">
        <v>20</v>
      </c>
      <c r="F2266" s="2" t="s">
        <v>65</v>
      </c>
      <c r="G2266" s="4">
        <v>337614</v>
      </c>
      <c r="H2266" s="4">
        <v>78932</v>
      </c>
      <c r="I2266" s="4">
        <v>63995</v>
      </c>
      <c r="J2266" s="4">
        <v>5141</v>
      </c>
      <c r="K2266" s="4">
        <v>297</v>
      </c>
      <c r="L2266" s="4">
        <v>557</v>
      </c>
      <c r="M2266" s="4">
        <v>270</v>
      </c>
      <c r="N2266" s="4">
        <v>1383</v>
      </c>
      <c r="O2266" s="5">
        <f t="shared" si="35"/>
        <v>9.7898273302601771E-2</v>
      </c>
      <c r="P2266" s="2" t="s">
        <v>22</v>
      </c>
    </row>
    <row r="2267" spans="1:16" x14ac:dyDescent="0.25">
      <c r="A2267" s="6" t="s">
        <v>4603</v>
      </c>
      <c r="B2267" s="6" t="s">
        <v>4604</v>
      </c>
      <c r="C2267" s="6" t="s">
        <v>43</v>
      </c>
      <c r="D2267" s="7" t="s">
        <v>44</v>
      </c>
      <c r="E2267" s="7" t="s">
        <v>50</v>
      </c>
      <c r="F2267" s="6" t="s">
        <v>107</v>
      </c>
      <c r="G2267" s="8">
        <v>497584</v>
      </c>
      <c r="H2267" s="8">
        <v>89431</v>
      </c>
      <c r="I2267" s="8">
        <v>69322</v>
      </c>
      <c r="J2267" s="8">
        <v>6512</v>
      </c>
      <c r="K2267" s="8">
        <v>258</v>
      </c>
      <c r="L2267" s="8">
        <v>911</v>
      </c>
      <c r="M2267" s="8">
        <v>18</v>
      </c>
      <c r="N2267" s="8">
        <v>1993</v>
      </c>
      <c r="O2267" s="9">
        <f t="shared" si="35"/>
        <v>0.11106142350191858</v>
      </c>
      <c r="P2267" s="6" t="s">
        <v>22</v>
      </c>
    </row>
    <row r="2268" spans="1:16" x14ac:dyDescent="0.25">
      <c r="A2268" s="2" t="s">
        <v>4605</v>
      </c>
      <c r="B2268" s="2" t="s">
        <v>4606</v>
      </c>
      <c r="C2268" s="2" t="s">
        <v>18</v>
      </c>
      <c r="D2268" s="3" t="s">
        <v>231</v>
      </c>
      <c r="E2268" s="3" t="s">
        <v>20</v>
      </c>
      <c r="F2268" s="2" t="s">
        <v>58</v>
      </c>
      <c r="G2268" s="4">
        <v>376211</v>
      </c>
      <c r="H2268" s="4">
        <v>106318</v>
      </c>
      <c r="I2268" s="4">
        <v>81450</v>
      </c>
      <c r="J2268" s="4">
        <v>7272</v>
      </c>
      <c r="K2268" s="4">
        <v>957</v>
      </c>
      <c r="L2268" s="4">
        <v>1042</v>
      </c>
      <c r="M2268" s="4">
        <v>1117</v>
      </c>
      <c r="N2268" s="4">
        <v>997</v>
      </c>
      <c r="O2268" s="5">
        <f t="shared" si="35"/>
        <v>0.12753836709637814</v>
      </c>
      <c r="P2268" s="2" t="s">
        <v>29</v>
      </c>
    </row>
    <row r="2269" spans="1:16" x14ac:dyDescent="0.25">
      <c r="A2269" s="6" t="s">
        <v>4607</v>
      </c>
      <c r="B2269" s="6" t="s">
        <v>4608</v>
      </c>
      <c r="C2269" s="6" t="s">
        <v>43</v>
      </c>
      <c r="D2269" s="7" t="s">
        <v>172</v>
      </c>
      <c r="E2269" s="7" t="s">
        <v>34</v>
      </c>
      <c r="F2269" s="6" t="s">
        <v>107</v>
      </c>
      <c r="G2269" s="8">
        <v>120466</v>
      </c>
      <c r="H2269" s="8">
        <v>34720</v>
      </c>
      <c r="I2269" s="8">
        <v>30123</v>
      </c>
      <c r="J2269" s="8">
        <v>909</v>
      </c>
      <c r="K2269" s="8">
        <v>42</v>
      </c>
      <c r="L2269" s="8">
        <v>105</v>
      </c>
      <c r="M2269" s="8">
        <v>30</v>
      </c>
      <c r="N2269" s="8">
        <v>1103</v>
      </c>
      <c r="O2269" s="9">
        <f t="shared" si="35"/>
        <v>3.6052186037247289E-2</v>
      </c>
      <c r="P2269" s="6" t="s">
        <v>29</v>
      </c>
    </row>
    <row r="2270" spans="1:16" x14ac:dyDescent="0.25">
      <c r="A2270" s="2" t="s">
        <v>4609</v>
      </c>
      <c r="B2270" s="2" t="s">
        <v>4610</v>
      </c>
      <c r="C2270" s="2" t="s">
        <v>32</v>
      </c>
      <c r="D2270" s="3" t="s">
        <v>121</v>
      </c>
      <c r="E2270" s="3" t="s">
        <v>50</v>
      </c>
      <c r="F2270" s="2" t="s">
        <v>35</v>
      </c>
      <c r="G2270" s="4">
        <v>520963</v>
      </c>
      <c r="H2270" s="4">
        <v>234399</v>
      </c>
      <c r="I2270" s="4">
        <v>198166</v>
      </c>
      <c r="J2270" s="4">
        <v>15248</v>
      </c>
      <c r="K2270" s="4">
        <v>2393</v>
      </c>
      <c r="L2270" s="4">
        <v>1359</v>
      </c>
      <c r="M2270" s="4">
        <v>38</v>
      </c>
      <c r="N2270" s="4">
        <v>5001</v>
      </c>
      <c r="O2270" s="5">
        <f t="shared" si="35"/>
        <v>9.6070970802256697E-2</v>
      </c>
      <c r="P2270" s="2" t="s">
        <v>22</v>
      </c>
    </row>
    <row r="2271" spans="1:16" x14ac:dyDescent="0.25">
      <c r="A2271" s="6" t="s">
        <v>4611</v>
      </c>
      <c r="B2271" s="6" t="s">
        <v>4612</v>
      </c>
      <c r="C2271" s="6" t="s">
        <v>25</v>
      </c>
      <c r="D2271" s="7" t="s">
        <v>244</v>
      </c>
      <c r="E2271" s="7" t="s">
        <v>39</v>
      </c>
      <c r="F2271" s="6" t="s">
        <v>28</v>
      </c>
      <c r="G2271" s="8">
        <v>739174</v>
      </c>
      <c r="H2271" s="8">
        <v>379092</v>
      </c>
      <c r="I2271" s="8">
        <v>307827</v>
      </c>
      <c r="J2271" s="8">
        <v>17324</v>
      </c>
      <c r="K2271" s="8">
        <v>1165</v>
      </c>
      <c r="L2271" s="8">
        <v>1755</v>
      </c>
      <c r="M2271" s="8">
        <v>3452</v>
      </c>
      <c r="N2271" s="8">
        <v>12130</v>
      </c>
      <c r="O2271" s="9">
        <f t="shared" si="35"/>
        <v>7.6978302747972072E-2</v>
      </c>
      <c r="P2271" s="6" t="s">
        <v>22</v>
      </c>
    </row>
    <row r="2272" spans="1:16" x14ac:dyDescent="0.25">
      <c r="A2272" s="2" t="s">
        <v>4613</v>
      </c>
      <c r="B2272" s="2" t="s">
        <v>4614</v>
      </c>
      <c r="C2272" s="2" t="s">
        <v>43</v>
      </c>
      <c r="D2272" s="3" t="s">
        <v>172</v>
      </c>
      <c r="E2272" s="3" t="s">
        <v>20</v>
      </c>
      <c r="F2272" s="2" t="s">
        <v>70</v>
      </c>
      <c r="G2272" s="4">
        <v>317757</v>
      </c>
      <c r="H2272" s="4">
        <v>185846</v>
      </c>
      <c r="I2272" s="4">
        <v>141495</v>
      </c>
      <c r="J2272" s="4">
        <v>7296</v>
      </c>
      <c r="K2272" s="4">
        <v>277</v>
      </c>
      <c r="L2272" s="4">
        <v>219</v>
      </c>
      <c r="M2272" s="4">
        <v>21</v>
      </c>
      <c r="N2272" s="4">
        <v>4957</v>
      </c>
      <c r="O2272" s="5">
        <f t="shared" si="35"/>
        <v>5.5217498851549522E-2</v>
      </c>
      <c r="P2272" s="2" t="s">
        <v>29</v>
      </c>
    </row>
    <row r="2273" spans="1:16" x14ac:dyDescent="0.25">
      <c r="A2273" s="6" t="s">
        <v>4615</v>
      </c>
      <c r="B2273" s="6" t="s">
        <v>4616</v>
      </c>
      <c r="C2273" s="6" t="s">
        <v>43</v>
      </c>
      <c r="D2273" s="7" t="s">
        <v>172</v>
      </c>
      <c r="E2273" s="7" t="s">
        <v>34</v>
      </c>
      <c r="F2273" s="6" t="s">
        <v>107</v>
      </c>
      <c r="G2273" s="8">
        <v>214867</v>
      </c>
      <c r="H2273" s="8">
        <v>134950</v>
      </c>
      <c r="I2273" s="8">
        <v>116404</v>
      </c>
      <c r="J2273" s="8">
        <v>10051</v>
      </c>
      <c r="K2273" s="8">
        <v>1001</v>
      </c>
      <c r="L2273" s="8">
        <v>694</v>
      </c>
      <c r="M2273" s="8">
        <v>42</v>
      </c>
      <c r="N2273" s="8">
        <v>2801</v>
      </c>
      <c r="O2273" s="9">
        <f t="shared" si="35"/>
        <v>0.10126799766331054</v>
      </c>
      <c r="P2273" s="6" t="s">
        <v>29</v>
      </c>
    </row>
    <row r="2274" spans="1:16" x14ac:dyDescent="0.25">
      <c r="A2274" s="2" t="s">
        <v>4617</v>
      </c>
      <c r="B2274" s="2" t="s">
        <v>4618</v>
      </c>
      <c r="C2274" s="2" t="s">
        <v>43</v>
      </c>
      <c r="D2274" s="3" t="s">
        <v>69</v>
      </c>
      <c r="E2274" s="3" t="s">
        <v>27</v>
      </c>
      <c r="F2274" s="2" t="s">
        <v>46</v>
      </c>
      <c r="G2274" s="4">
        <v>774080</v>
      </c>
      <c r="H2274" s="4">
        <v>246343</v>
      </c>
      <c r="I2274" s="4">
        <v>182187</v>
      </c>
      <c r="J2274" s="4">
        <v>18115</v>
      </c>
      <c r="K2274" s="4">
        <v>1129</v>
      </c>
      <c r="L2274" s="4">
        <v>1467</v>
      </c>
      <c r="M2274" s="4">
        <v>13</v>
      </c>
      <c r="N2274" s="4">
        <v>6290</v>
      </c>
      <c r="O2274" s="5">
        <f t="shared" si="35"/>
        <v>0.1137512555780599</v>
      </c>
      <c r="P2274" s="2" t="s">
        <v>22</v>
      </c>
    </row>
    <row r="2275" spans="1:16" x14ac:dyDescent="0.25">
      <c r="A2275" s="6" t="s">
        <v>4619</v>
      </c>
      <c r="B2275" s="6" t="s">
        <v>4620</v>
      </c>
      <c r="C2275" s="6" t="s">
        <v>32</v>
      </c>
      <c r="D2275" s="7" t="s">
        <v>49</v>
      </c>
      <c r="E2275" s="7" t="s">
        <v>39</v>
      </c>
      <c r="F2275" s="6" t="s">
        <v>128</v>
      </c>
      <c r="G2275" s="8">
        <v>601024</v>
      </c>
      <c r="H2275" s="8">
        <v>112902</v>
      </c>
      <c r="I2275" s="8">
        <v>98815</v>
      </c>
      <c r="J2275" s="8">
        <v>3308</v>
      </c>
      <c r="K2275" s="8">
        <v>458</v>
      </c>
      <c r="L2275" s="8">
        <v>475</v>
      </c>
      <c r="M2275" s="8">
        <v>5</v>
      </c>
      <c r="N2275" s="8">
        <v>3178</v>
      </c>
      <c r="O2275" s="9">
        <f t="shared" si="35"/>
        <v>4.2969184840358242E-2</v>
      </c>
      <c r="P2275" s="6" t="s">
        <v>29</v>
      </c>
    </row>
    <row r="2276" spans="1:16" x14ac:dyDescent="0.25">
      <c r="A2276" s="2" t="s">
        <v>4621</v>
      </c>
      <c r="B2276" s="2" t="s">
        <v>4622</v>
      </c>
      <c r="C2276" s="2" t="s">
        <v>43</v>
      </c>
      <c r="D2276" s="3" t="s">
        <v>81</v>
      </c>
      <c r="E2276" s="3" t="s">
        <v>39</v>
      </c>
      <c r="F2276" s="2" t="s">
        <v>70</v>
      </c>
      <c r="G2276" s="4">
        <v>367947</v>
      </c>
      <c r="H2276" s="4">
        <v>151029</v>
      </c>
      <c r="I2276" s="4">
        <v>108869</v>
      </c>
      <c r="J2276" s="4">
        <v>7567</v>
      </c>
      <c r="K2276" s="4">
        <v>538</v>
      </c>
      <c r="L2276" s="4">
        <v>513</v>
      </c>
      <c r="M2276" s="4">
        <v>4</v>
      </c>
      <c r="N2276" s="4">
        <v>4576</v>
      </c>
      <c r="O2276" s="5">
        <f t="shared" si="35"/>
        <v>7.9196098062809431E-2</v>
      </c>
      <c r="P2276" s="2" t="s">
        <v>29</v>
      </c>
    </row>
    <row r="2277" spans="1:16" x14ac:dyDescent="0.25">
      <c r="A2277" s="6" t="s">
        <v>4623</v>
      </c>
      <c r="B2277" s="6" t="s">
        <v>4624</v>
      </c>
      <c r="C2277" s="6" t="s">
        <v>25</v>
      </c>
      <c r="D2277" s="7" t="s">
        <v>145</v>
      </c>
      <c r="E2277" s="7" t="s">
        <v>50</v>
      </c>
      <c r="F2277" s="6" t="s">
        <v>54</v>
      </c>
      <c r="G2277" s="8">
        <v>56151</v>
      </c>
      <c r="H2277" s="8">
        <v>15603</v>
      </c>
      <c r="I2277" s="8">
        <v>11018</v>
      </c>
      <c r="J2277" s="8">
        <v>1158</v>
      </c>
      <c r="K2277" s="8">
        <v>62</v>
      </c>
      <c r="L2277" s="8">
        <v>45</v>
      </c>
      <c r="M2277" s="8">
        <v>167</v>
      </c>
      <c r="N2277" s="8">
        <v>230</v>
      </c>
      <c r="O2277" s="9">
        <f t="shared" si="35"/>
        <v>0.12996914140497368</v>
      </c>
      <c r="P2277" s="6" t="s">
        <v>22</v>
      </c>
    </row>
    <row r="2278" spans="1:16" x14ac:dyDescent="0.25">
      <c r="A2278" s="2" t="s">
        <v>4625</v>
      </c>
      <c r="B2278" s="2" t="s">
        <v>4626</v>
      </c>
      <c r="C2278" s="2" t="s">
        <v>43</v>
      </c>
      <c r="D2278" s="3" t="s">
        <v>172</v>
      </c>
      <c r="E2278" s="3" t="s">
        <v>39</v>
      </c>
      <c r="F2278" s="2" t="s">
        <v>46</v>
      </c>
      <c r="G2278" s="4">
        <v>467049</v>
      </c>
      <c r="H2278" s="4">
        <v>257877</v>
      </c>
      <c r="I2278" s="4">
        <v>213658</v>
      </c>
      <c r="J2278" s="4">
        <v>11914</v>
      </c>
      <c r="K2278" s="4">
        <v>606</v>
      </c>
      <c r="L2278" s="4">
        <v>539</v>
      </c>
      <c r="M2278" s="4">
        <v>49</v>
      </c>
      <c r="N2278" s="4">
        <v>7007</v>
      </c>
      <c r="O2278" s="5">
        <f t="shared" si="35"/>
        <v>6.1350382386805083E-2</v>
      </c>
      <c r="P2278" s="2" t="s">
        <v>22</v>
      </c>
    </row>
    <row r="2279" spans="1:16" x14ac:dyDescent="0.25">
      <c r="A2279" s="6" t="s">
        <v>4627</v>
      </c>
      <c r="B2279" s="6" t="s">
        <v>4628</v>
      </c>
      <c r="C2279" s="6" t="s">
        <v>43</v>
      </c>
      <c r="D2279" s="7" t="s">
        <v>69</v>
      </c>
      <c r="E2279" s="7" t="s">
        <v>27</v>
      </c>
      <c r="F2279" s="6" t="s">
        <v>46</v>
      </c>
      <c r="G2279" s="8">
        <v>407181</v>
      </c>
      <c r="H2279" s="8">
        <v>177657</v>
      </c>
      <c r="I2279" s="8">
        <v>141488</v>
      </c>
      <c r="J2279" s="8">
        <v>4091</v>
      </c>
      <c r="K2279" s="8">
        <v>540</v>
      </c>
      <c r="L2279" s="8">
        <v>520</v>
      </c>
      <c r="M2279" s="8">
        <v>34</v>
      </c>
      <c r="N2279" s="8">
        <v>1820</v>
      </c>
      <c r="O2279" s="9">
        <f t="shared" si="35"/>
        <v>3.6646217347054165E-2</v>
      </c>
      <c r="P2279" s="6" t="s">
        <v>22</v>
      </c>
    </row>
    <row r="2280" spans="1:16" x14ac:dyDescent="0.25">
      <c r="A2280" s="2" t="s">
        <v>4629</v>
      </c>
      <c r="B2280" s="2" t="s">
        <v>4630</v>
      </c>
      <c r="C2280" s="2" t="s">
        <v>25</v>
      </c>
      <c r="D2280" s="3" t="s">
        <v>61</v>
      </c>
      <c r="E2280" s="3" t="s">
        <v>27</v>
      </c>
      <c r="F2280" s="2" t="s">
        <v>28</v>
      </c>
      <c r="G2280" s="4">
        <v>416750</v>
      </c>
      <c r="H2280" s="4">
        <v>241222</v>
      </c>
      <c r="I2280" s="4">
        <v>189707</v>
      </c>
      <c r="J2280" s="4">
        <v>5953</v>
      </c>
      <c r="K2280" s="4">
        <v>359</v>
      </c>
      <c r="L2280" s="4">
        <v>131</v>
      </c>
      <c r="M2280" s="4">
        <v>957</v>
      </c>
      <c r="N2280" s="4">
        <v>4009</v>
      </c>
      <c r="O2280" s="5">
        <f t="shared" si="35"/>
        <v>3.9007522126226234E-2</v>
      </c>
      <c r="P2280" s="2" t="s">
        <v>22</v>
      </c>
    </row>
    <row r="2281" spans="1:16" x14ac:dyDescent="0.25">
      <c r="A2281" s="6" t="s">
        <v>4631</v>
      </c>
      <c r="B2281" s="6" t="s">
        <v>4632</v>
      </c>
      <c r="C2281" s="6" t="s">
        <v>25</v>
      </c>
      <c r="D2281" s="7" t="s">
        <v>61</v>
      </c>
      <c r="E2281" s="7" t="s">
        <v>34</v>
      </c>
      <c r="F2281" s="6" t="s">
        <v>146</v>
      </c>
      <c r="G2281" s="8">
        <v>220063</v>
      </c>
      <c r="H2281" s="8">
        <v>68434</v>
      </c>
      <c r="I2281" s="8">
        <v>48643</v>
      </c>
      <c r="J2281" s="8">
        <v>4757</v>
      </c>
      <c r="K2281" s="8">
        <v>345</v>
      </c>
      <c r="L2281" s="8">
        <v>643</v>
      </c>
      <c r="M2281" s="8">
        <v>713</v>
      </c>
      <c r="N2281" s="8">
        <v>1514</v>
      </c>
      <c r="O2281" s="9">
        <f t="shared" si="35"/>
        <v>0.1327631930596386</v>
      </c>
      <c r="P2281" s="6" t="s">
        <v>29</v>
      </c>
    </row>
    <row r="2282" spans="1:16" x14ac:dyDescent="0.25">
      <c r="A2282" s="2" t="s">
        <v>4633</v>
      </c>
      <c r="B2282" s="2" t="s">
        <v>4634</v>
      </c>
      <c r="C2282" s="2" t="s">
        <v>25</v>
      </c>
      <c r="D2282" s="3" t="s">
        <v>145</v>
      </c>
      <c r="E2282" s="3" t="s">
        <v>20</v>
      </c>
      <c r="F2282" s="2" t="s">
        <v>54</v>
      </c>
      <c r="G2282" s="4">
        <v>66529</v>
      </c>
      <c r="H2282" s="4">
        <v>31475</v>
      </c>
      <c r="I2282" s="4">
        <v>24885</v>
      </c>
      <c r="J2282" s="4">
        <v>2081</v>
      </c>
      <c r="K2282" s="4">
        <v>197</v>
      </c>
      <c r="L2282" s="4">
        <v>308</v>
      </c>
      <c r="M2282" s="4">
        <v>508</v>
      </c>
      <c r="N2282" s="4">
        <v>652</v>
      </c>
      <c r="O2282" s="5">
        <f t="shared" si="35"/>
        <v>0.12433192686357243</v>
      </c>
      <c r="P2282" s="2" t="s">
        <v>22</v>
      </c>
    </row>
    <row r="2283" spans="1:16" x14ac:dyDescent="0.25">
      <c r="A2283" s="6" t="s">
        <v>4635</v>
      </c>
      <c r="B2283" s="6" t="s">
        <v>4636</v>
      </c>
      <c r="C2283" s="6" t="s">
        <v>76</v>
      </c>
      <c r="D2283" s="7" t="s">
        <v>189</v>
      </c>
      <c r="E2283" s="7" t="s">
        <v>45</v>
      </c>
      <c r="F2283" s="6" t="s">
        <v>78</v>
      </c>
      <c r="G2283" s="8">
        <v>478254</v>
      </c>
      <c r="H2283" s="8">
        <v>290810</v>
      </c>
      <c r="I2283" s="8">
        <v>213308</v>
      </c>
      <c r="J2283" s="8">
        <v>21433</v>
      </c>
      <c r="K2283" s="8">
        <v>1774</v>
      </c>
      <c r="L2283" s="8">
        <v>2556</v>
      </c>
      <c r="M2283" s="8">
        <v>1517</v>
      </c>
      <c r="N2283" s="8">
        <v>1470</v>
      </c>
      <c r="O2283" s="9">
        <f t="shared" si="35"/>
        <v>0.12789018695970147</v>
      </c>
      <c r="P2283" s="6" t="s">
        <v>22</v>
      </c>
    </row>
    <row r="2284" spans="1:16" x14ac:dyDescent="0.25">
      <c r="A2284" s="2" t="s">
        <v>4637</v>
      </c>
      <c r="B2284" s="2" t="s">
        <v>4638</v>
      </c>
      <c r="C2284" s="2" t="s">
        <v>32</v>
      </c>
      <c r="D2284" s="3" t="s">
        <v>175</v>
      </c>
      <c r="E2284" s="3" t="s">
        <v>45</v>
      </c>
      <c r="F2284" s="2" t="s">
        <v>128</v>
      </c>
      <c r="G2284" s="4">
        <v>194028</v>
      </c>
      <c r="H2284" s="4">
        <v>114064</v>
      </c>
      <c r="I2284" s="4">
        <v>90355</v>
      </c>
      <c r="J2284" s="4">
        <v>2401</v>
      </c>
      <c r="K2284" s="4">
        <v>109</v>
      </c>
      <c r="L2284" s="4">
        <v>129</v>
      </c>
      <c r="M2284" s="4">
        <v>42</v>
      </c>
      <c r="N2284" s="4">
        <v>1718</v>
      </c>
      <c r="O2284" s="5">
        <f t="shared" si="35"/>
        <v>2.9671849925294671E-2</v>
      </c>
      <c r="P2284" s="2" t="s">
        <v>22</v>
      </c>
    </row>
    <row r="2285" spans="1:16" x14ac:dyDescent="0.25">
      <c r="A2285" s="6" t="s">
        <v>4639</v>
      </c>
      <c r="B2285" s="6" t="s">
        <v>4640</v>
      </c>
      <c r="C2285" s="6" t="s">
        <v>32</v>
      </c>
      <c r="D2285" s="7" t="s">
        <v>49</v>
      </c>
      <c r="E2285" s="7" t="s">
        <v>50</v>
      </c>
      <c r="F2285" s="6" t="s">
        <v>40</v>
      </c>
      <c r="G2285" s="8">
        <v>78617</v>
      </c>
      <c r="H2285" s="8">
        <v>24949</v>
      </c>
      <c r="I2285" s="8">
        <v>20162</v>
      </c>
      <c r="J2285" s="8">
        <v>1313</v>
      </c>
      <c r="K2285" s="8">
        <v>102</v>
      </c>
      <c r="L2285" s="8">
        <v>106</v>
      </c>
      <c r="M2285" s="8">
        <v>14</v>
      </c>
      <c r="N2285" s="8">
        <v>759</v>
      </c>
      <c r="O2285" s="9">
        <f t="shared" si="35"/>
        <v>7.6133320107132224E-2</v>
      </c>
      <c r="P2285" s="6" t="s">
        <v>22</v>
      </c>
    </row>
    <row r="2286" spans="1:16" x14ac:dyDescent="0.25">
      <c r="A2286" s="2" t="s">
        <v>4641</v>
      </c>
      <c r="B2286" s="2" t="s">
        <v>4642</v>
      </c>
      <c r="C2286" s="2" t="s">
        <v>25</v>
      </c>
      <c r="D2286" s="3" t="s">
        <v>244</v>
      </c>
      <c r="E2286" s="3" t="s">
        <v>20</v>
      </c>
      <c r="F2286" s="2" t="s">
        <v>146</v>
      </c>
      <c r="G2286" s="4">
        <v>814293</v>
      </c>
      <c r="H2286" s="4">
        <v>155671</v>
      </c>
      <c r="I2286" s="4">
        <v>134399</v>
      </c>
      <c r="J2286" s="4">
        <v>11025</v>
      </c>
      <c r="K2286" s="4">
        <v>353</v>
      </c>
      <c r="L2286" s="4">
        <v>329</v>
      </c>
      <c r="M2286" s="4">
        <v>700</v>
      </c>
      <c r="N2286" s="4">
        <v>5098</v>
      </c>
      <c r="O2286" s="5">
        <f t="shared" si="35"/>
        <v>9.2314674960379164E-2</v>
      </c>
      <c r="P2286" s="2" t="s">
        <v>29</v>
      </c>
    </row>
    <row r="2287" spans="1:16" x14ac:dyDescent="0.25">
      <c r="A2287" s="6" t="s">
        <v>4643</v>
      </c>
      <c r="B2287" s="6" t="s">
        <v>4644</v>
      </c>
      <c r="C2287" s="6" t="s">
        <v>18</v>
      </c>
      <c r="D2287" s="7" t="s">
        <v>226</v>
      </c>
      <c r="E2287" s="7" t="s">
        <v>20</v>
      </c>
      <c r="F2287" s="6" t="s">
        <v>21</v>
      </c>
      <c r="G2287" s="8">
        <v>695842</v>
      </c>
      <c r="H2287" s="8">
        <v>448517</v>
      </c>
      <c r="I2287" s="8">
        <v>405741</v>
      </c>
      <c r="J2287" s="8">
        <v>9789</v>
      </c>
      <c r="K2287" s="8">
        <v>918</v>
      </c>
      <c r="L2287" s="8">
        <v>761</v>
      </c>
      <c r="M2287" s="8">
        <v>983</v>
      </c>
      <c r="N2287" s="8">
        <v>6815</v>
      </c>
      <c r="O2287" s="9">
        <f t="shared" si="35"/>
        <v>3.06870639151577E-2</v>
      </c>
      <c r="P2287" s="6" t="s">
        <v>66</v>
      </c>
    </row>
    <row r="2288" spans="1:16" x14ac:dyDescent="0.25">
      <c r="A2288" s="2" t="s">
        <v>4645</v>
      </c>
      <c r="B2288" s="2" t="s">
        <v>4646</v>
      </c>
      <c r="C2288" s="2" t="s">
        <v>32</v>
      </c>
      <c r="D2288" s="3" t="s">
        <v>175</v>
      </c>
      <c r="E2288" s="3" t="s">
        <v>50</v>
      </c>
      <c r="F2288" s="2" t="s">
        <v>35</v>
      </c>
      <c r="G2288" s="4">
        <v>605337</v>
      </c>
      <c r="H2288" s="4">
        <v>171548</v>
      </c>
      <c r="I2288" s="4">
        <v>150667</v>
      </c>
      <c r="J2288" s="4">
        <v>5188</v>
      </c>
      <c r="K2288" s="4">
        <v>870</v>
      </c>
      <c r="L2288" s="4">
        <v>688</v>
      </c>
      <c r="M2288" s="4">
        <v>44</v>
      </c>
      <c r="N2288" s="4">
        <v>1711</v>
      </c>
      <c r="O2288" s="5">
        <f t="shared" si="35"/>
        <v>4.5066271977274384E-2</v>
      </c>
      <c r="P2288" s="2" t="s">
        <v>29</v>
      </c>
    </row>
    <row r="2289" spans="1:16" x14ac:dyDescent="0.25">
      <c r="A2289" s="6" t="s">
        <v>4647</v>
      </c>
      <c r="B2289" s="6" t="s">
        <v>4648</v>
      </c>
      <c r="C2289" s="6" t="s">
        <v>25</v>
      </c>
      <c r="D2289" s="7" t="s">
        <v>61</v>
      </c>
      <c r="E2289" s="7" t="s">
        <v>45</v>
      </c>
      <c r="F2289" s="6" t="s">
        <v>54</v>
      </c>
      <c r="G2289" s="8">
        <v>376357</v>
      </c>
      <c r="H2289" s="8">
        <v>68936</v>
      </c>
      <c r="I2289" s="8">
        <v>57150</v>
      </c>
      <c r="J2289" s="8">
        <v>5512</v>
      </c>
      <c r="K2289" s="8">
        <v>458</v>
      </c>
      <c r="L2289" s="8">
        <v>189</v>
      </c>
      <c r="M2289" s="8">
        <v>761</v>
      </c>
      <c r="N2289" s="8">
        <v>1156</v>
      </c>
      <c r="O2289" s="9">
        <f t="shared" si="35"/>
        <v>0.121084864391951</v>
      </c>
      <c r="P2289" s="6" t="s">
        <v>22</v>
      </c>
    </row>
    <row r="2290" spans="1:16" x14ac:dyDescent="0.25">
      <c r="A2290" s="2" t="s">
        <v>4649</v>
      </c>
      <c r="B2290" s="2" t="s">
        <v>4650</v>
      </c>
      <c r="C2290" s="2" t="s">
        <v>32</v>
      </c>
      <c r="D2290" s="3" t="s">
        <v>49</v>
      </c>
      <c r="E2290" s="3" t="s">
        <v>50</v>
      </c>
      <c r="F2290" s="2" t="s">
        <v>128</v>
      </c>
      <c r="G2290" s="4">
        <v>346023</v>
      </c>
      <c r="H2290" s="4">
        <v>121806</v>
      </c>
      <c r="I2290" s="4">
        <v>111709</v>
      </c>
      <c r="J2290" s="4">
        <v>3429</v>
      </c>
      <c r="K2290" s="4">
        <v>488</v>
      </c>
      <c r="L2290" s="4">
        <v>336</v>
      </c>
      <c r="M2290" s="4">
        <v>14</v>
      </c>
      <c r="N2290" s="4">
        <v>3851</v>
      </c>
      <c r="O2290" s="5">
        <f t="shared" si="35"/>
        <v>3.8197459470588759E-2</v>
      </c>
      <c r="P2290" s="2" t="s">
        <v>22</v>
      </c>
    </row>
    <row r="2291" spans="1:16" x14ac:dyDescent="0.25">
      <c r="A2291" s="6" t="s">
        <v>4651</v>
      </c>
      <c r="B2291" s="6" t="s">
        <v>4652</v>
      </c>
      <c r="C2291" s="6" t="s">
        <v>25</v>
      </c>
      <c r="D2291" s="7" t="s">
        <v>244</v>
      </c>
      <c r="E2291" s="7" t="s">
        <v>34</v>
      </c>
      <c r="F2291" s="6" t="s">
        <v>146</v>
      </c>
      <c r="G2291" s="8">
        <v>512468</v>
      </c>
      <c r="H2291" s="8">
        <v>157090</v>
      </c>
      <c r="I2291" s="8">
        <v>137207</v>
      </c>
      <c r="J2291" s="8">
        <v>5401</v>
      </c>
      <c r="K2291" s="8">
        <v>348</v>
      </c>
      <c r="L2291" s="8">
        <v>782</v>
      </c>
      <c r="M2291" s="8">
        <v>589</v>
      </c>
      <c r="N2291" s="8">
        <v>4360</v>
      </c>
      <c r="O2291" s="9">
        <f t="shared" si="35"/>
        <v>5.1892396160545744E-2</v>
      </c>
      <c r="P2291" s="6" t="s">
        <v>66</v>
      </c>
    </row>
    <row r="2292" spans="1:16" x14ac:dyDescent="0.25">
      <c r="A2292" s="2" t="s">
        <v>4653</v>
      </c>
      <c r="B2292" s="2" t="s">
        <v>4654</v>
      </c>
      <c r="C2292" s="2" t="s">
        <v>32</v>
      </c>
      <c r="D2292" s="3" t="s">
        <v>38</v>
      </c>
      <c r="E2292" s="3" t="s">
        <v>50</v>
      </c>
      <c r="F2292" s="2" t="s">
        <v>51</v>
      </c>
      <c r="G2292" s="4">
        <v>627581</v>
      </c>
      <c r="H2292" s="4">
        <v>145366</v>
      </c>
      <c r="I2292" s="4">
        <v>119733</v>
      </c>
      <c r="J2292" s="4">
        <v>6015</v>
      </c>
      <c r="K2292" s="4">
        <v>653</v>
      </c>
      <c r="L2292" s="4">
        <v>269</v>
      </c>
      <c r="M2292" s="4">
        <v>1</v>
      </c>
      <c r="N2292" s="4">
        <v>3006</v>
      </c>
      <c r="O2292" s="5">
        <f t="shared" si="35"/>
        <v>5.79455956169143E-2</v>
      </c>
      <c r="P2292" s="2" t="s">
        <v>29</v>
      </c>
    </row>
    <row r="2293" spans="1:16" x14ac:dyDescent="0.25">
      <c r="A2293" s="6" t="s">
        <v>4655</v>
      </c>
      <c r="B2293" s="6" t="s">
        <v>4656</v>
      </c>
      <c r="C2293" s="6" t="s">
        <v>32</v>
      </c>
      <c r="D2293" s="7" t="s">
        <v>49</v>
      </c>
      <c r="E2293" s="7" t="s">
        <v>20</v>
      </c>
      <c r="F2293" s="6" t="s">
        <v>128</v>
      </c>
      <c r="G2293" s="8">
        <v>542875</v>
      </c>
      <c r="H2293" s="8">
        <v>49728</v>
      </c>
      <c r="I2293" s="8">
        <v>43057</v>
      </c>
      <c r="J2293" s="8">
        <v>1807</v>
      </c>
      <c r="K2293" s="8">
        <v>236</v>
      </c>
      <c r="L2293" s="8">
        <v>236</v>
      </c>
      <c r="M2293" s="8">
        <v>42</v>
      </c>
      <c r="N2293" s="8">
        <v>406</v>
      </c>
      <c r="O2293" s="9">
        <f t="shared" si="35"/>
        <v>5.3905288338713796E-2</v>
      </c>
      <c r="P2293" s="6" t="s">
        <v>22</v>
      </c>
    </row>
    <row r="2294" spans="1:16" x14ac:dyDescent="0.25">
      <c r="A2294" s="2" t="s">
        <v>4657</v>
      </c>
      <c r="B2294" s="2" t="s">
        <v>4658</v>
      </c>
      <c r="C2294" s="2" t="s">
        <v>25</v>
      </c>
      <c r="D2294" s="3" t="s">
        <v>64</v>
      </c>
      <c r="E2294" s="3" t="s">
        <v>39</v>
      </c>
      <c r="F2294" s="2" t="s">
        <v>65</v>
      </c>
      <c r="G2294" s="4">
        <v>181172</v>
      </c>
      <c r="H2294" s="4">
        <v>77930</v>
      </c>
      <c r="I2294" s="4">
        <v>58890</v>
      </c>
      <c r="J2294" s="4">
        <v>2761</v>
      </c>
      <c r="K2294" s="4">
        <v>319</v>
      </c>
      <c r="L2294" s="4">
        <v>138</v>
      </c>
      <c r="M2294" s="4">
        <v>197</v>
      </c>
      <c r="N2294" s="4">
        <v>557</v>
      </c>
      <c r="O2294" s="5">
        <f t="shared" si="35"/>
        <v>5.7989471896756663E-2</v>
      </c>
      <c r="P2294" s="2" t="s">
        <v>22</v>
      </c>
    </row>
    <row r="2295" spans="1:16" x14ac:dyDescent="0.25">
      <c r="A2295" s="6" t="s">
        <v>4659</v>
      </c>
      <c r="B2295" s="6" t="s">
        <v>4660</v>
      </c>
      <c r="C2295" s="6" t="s">
        <v>25</v>
      </c>
      <c r="D2295" s="7" t="s">
        <v>244</v>
      </c>
      <c r="E2295" s="7" t="s">
        <v>50</v>
      </c>
      <c r="F2295" s="6" t="s">
        <v>65</v>
      </c>
      <c r="G2295" s="8">
        <v>556015</v>
      </c>
      <c r="H2295" s="8">
        <v>204252</v>
      </c>
      <c r="I2295" s="8">
        <v>184108</v>
      </c>
      <c r="J2295" s="8">
        <v>10579</v>
      </c>
      <c r="K2295" s="8">
        <v>840</v>
      </c>
      <c r="L2295" s="8">
        <v>1495</v>
      </c>
      <c r="M2295" s="8">
        <v>2124</v>
      </c>
      <c r="N2295" s="8">
        <v>3955</v>
      </c>
      <c r="O2295" s="9">
        <f t="shared" si="35"/>
        <v>8.1680318074173849E-2</v>
      </c>
      <c r="P2295" s="6" t="s">
        <v>29</v>
      </c>
    </row>
    <row r="2296" spans="1:16" x14ac:dyDescent="0.25">
      <c r="A2296" s="2" t="s">
        <v>4661</v>
      </c>
      <c r="B2296" s="2" t="s">
        <v>4662</v>
      </c>
      <c r="C2296" s="2" t="s">
        <v>76</v>
      </c>
      <c r="D2296" s="3" t="s">
        <v>182</v>
      </c>
      <c r="E2296" s="3" t="s">
        <v>20</v>
      </c>
      <c r="F2296" s="2" t="s">
        <v>155</v>
      </c>
      <c r="G2296" s="4">
        <v>415385</v>
      </c>
      <c r="H2296" s="4">
        <v>46975</v>
      </c>
      <c r="I2296" s="4">
        <v>41679</v>
      </c>
      <c r="J2296" s="4">
        <v>3180</v>
      </c>
      <c r="K2296" s="4">
        <v>221</v>
      </c>
      <c r="L2296" s="4">
        <v>124</v>
      </c>
      <c r="M2296" s="4">
        <v>514</v>
      </c>
      <c r="N2296" s="4">
        <v>1000</v>
      </c>
      <c r="O2296" s="5">
        <f t="shared" si="35"/>
        <v>9.6907315434631353E-2</v>
      </c>
      <c r="P2296" s="2" t="s">
        <v>22</v>
      </c>
    </row>
    <row r="2297" spans="1:16" x14ac:dyDescent="0.25">
      <c r="A2297" s="6" t="s">
        <v>4663</v>
      </c>
      <c r="B2297" s="6" t="s">
        <v>4664</v>
      </c>
      <c r="C2297" s="6" t="s">
        <v>25</v>
      </c>
      <c r="D2297" s="7" t="s">
        <v>244</v>
      </c>
      <c r="E2297" s="7" t="s">
        <v>20</v>
      </c>
      <c r="F2297" s="6" t="s">
        <v>28</v>
      </c>
      <c r="G2297" s="8">
        <v>7477</v>
      </c>
      <c r="H2297" s="8">
        <v>3073</v>
      </c>
      <c r="I2297" s="8">
        <v>2397</v>
      </c>
      <c r="J2297" s="8">
        <v>135</v>
      </c>
      <c r="K2297" s="8">
        <v>6</v>
      </c>
      <c r="L2297" s="8">
        <v>13</v>
      </c>
      <c r="M2297" s="8">
        <v>25</v>
      </c>
      <c r="N2297" s="8">
        <v>59</v>
      </c>
      <c r="O2297" s="9">
        <f t="shared" si="35"/>
        <v>7.4676679182311217E-2</v>
      </c>
      <c r="P2297" s="6" t="s">
        <v>22</v>
      </c>
    </row>
    <row r="2298" spans="1:16" x14ac:dyDescent="0.25">
      <c r="A2298" s="2" t="s">
        <v>4665</v>
      </c>
      <c r="B2298" s="2" t="s">
        <v>4666</v>
      </c>
      <c r="C2298" s="2" t="s">
        <v>32</v>
      </c>
      <c r="D2298" s="3" t="s">
        <v>33</v>
      </c>
      <c r="E2298" s="3" t="s">
        <v>50</v>
      </c>
      <c r="F2298" s="2" t="s">
        <v>128</v>
      </c>
      <c r="G2298" s="4">
        <v>230070</v>
      </c>
      <c r="H2298" s="4">
        <v>31342</v>
      </c>
      <c r="I2298" s="4">
        <v>24700</v>
      </c>
      <c r="J2298" s="4">
        <v>1610</v>
      </c>
      <c r="K2298" s="4">
        <v>159</v>
      </c>
      <c r="L2298" s="4">
        <v>63</v>
      </c>
      <c r="M2298" s="4">
        <v>41</v>
      </c>
      <c r="N2298" s="4">
        <v>677</v>
      </c>
      <c r="O2298" s="5">
        <f t="shared" si="35"/>
        <v>7.5829959514170042E-2</v>
      </c>
      <c r="P2298" s="2" t="s">
        <v>22</v>
      </c>
    </row>
    <row r="2299" spans="1:16" x14ac:dyDescent="0.25">
      <c r="A2299" s="6" t="s">
        <v>4667</v>
      </c>
      <c r="B2299" s="6" t="s">
        <v>4668</v>
      </c>
      <c r="C2299" s="6" t="s">
        <v>18</v>
      </c>
      <c r="D2299" s="7" t="s">
        <v>19</v>
      </c>
      <c r="E2299" s="7" t="s">
        <v>27</v>
      </c>
      <c r="F2299" s="6" t="s">
        <v>73</v>
      </c>
      <c r="G2299" s="8">
        <v>243711</v>
      </c>
      <c r="H2299" s="8">
        <v>50087</v>
      </c>
      <c r="I2299" s="8">
        <v>45598</v>
      </c>
      <c r="J2299" s="8">
        <v>3294</v>
      </c>
      <c r="K2299" s="8">
        <v>275</v>
      </c>
      <c r="L2299" s="8">
        <v>322</v>
      </c>
      <c r="M2299" s="8">
        <v>254</v>
      </c>
      <c r="N2299" s="8">
        <v>1299</v>
      </c>
      <c r="O2299" s="9">
        <f t="shared" si="35"/>
        <v>9.0903109785516911E-2</v>
      </c>
      <c r="P2299" s="6" t="s">
        <v>29</v>
      </c>
    </row>
    <row r="2300" spans="1:16" x14ac:dyDescent="0.25">
      <c r="A2300" s="2" t="s">
        <v>4669</v>
      </c>
      <c r="B2300" s="2" t="s">
        <v>4670</v>
      </c>
      <c r="C2300" s="2" t="s">
        <v>18</v>
      </c>
      <c r="D2300" s="3" t="s">
        <v>19</v>
      </c>
      <c r="E2300" s="3" t="s">
        <v>20</v>
      </c>
      <c r="F2300" s="2" t="s">
        <v>73</v>
      </c>
      <c r="G2300" s="4">
        <v>847436</v>
      </c>
      <c r="H2300" s="4">
        <v>293851</v>
      </c>
      <c r="I2300" s="4">
        <v>224461</v>
      </c>
      <c r="J2300" s="4">
        <v>21129</v>
      </c>
      <c r="K2300" s="4">
        <v>928</v>
      </c>
      <c r="L2300" s="4">
        <v>1120</v>
      </c>
      <c r="M2300" s="4">
        <v>4477</v>
      </c>
      <c r="N2300" s="4">
        <v>5778</v>
      </c>
      <c r="O2300" s="5">
        <f t="shared" si="35"/>
        <v>0.12320180343133105</v>
      </c>
      <c r="P2300" s="2" t="s">
        <v>29</v>
      </c>
    </row>
    <row r="2301" spans="1:16" x14ac:dyDescent="0.25">
      <c r="A2301" s="6" t="s">
        <v>4671</v>
      </c>
      <c r="B2301" s="6" t="s">
        <v>4672</v>
      </c>
      <c r="C2301" s="6" t="s">
        <v>32</v>
      </c>
      <c r="D2301" s="7" t="s">
        <v>49</v>
      </c>
      <c r="E2301" s="7" t="s">
        <v>45</v>
      </c>
      <c r="F2301" s="6" t="s">
        <v>35</v>
      </c>
      <c r="G2301" s="8">
        <v>488213</v>
      </c>
      <c r="H2301" s="8">
        <v>2403877</v>
      </c>
      <c r="I2301" s="8">
        <v>1703789</v>
      </c>
      <c r="J2301" s="8">
        <v>189848</v>
      </c>
      <c r="K2301" s="8">
        <v>18761</v>
      </c>
      <c r="L2301" s="8">
        <v>5471</v>
      </c>
      <c r="M2301" s="8">
        <v>19</v>
      </c>
      <c r="N2301" s="8">
        <v>38312</v>
      </c>
      <c r="O2301" s="9">
        <f t="shared" si="35"/>
        <v>0.12566051312691889</v>
      </c>
      <c r="P2301" s="6" t="s">
        <v>29</v>
      </c>
    </row>
    <row r="2302" spans="1:16" x14ac:dyDescent="0.25">
      <c r="A2302" s="2" t="s">
        <v>4673</v>
      </c>
      <c r="B2302" s="2" t="s">
        <v>4674</v>
      </c>
      <c r="C2302" s="2" t="s">
        <v>32</v>
      </c>
      <c r="D2302" s="3" t="s">
        <v>49</v>
      </c>
      <c r="E2302" s="3" t="s">
        <v>27</v>
      </c>
      <c r="F2302" s="2" t="s">
        <v>35</v>
      </c>
      <c r="G2302" s="4">
        <v>101162</v>
      </c>
      <c r="H2302" s="4">
        <v>9898</v>
      </c>
      <c r="I2302" s="4">
        <v>8612</v>
      </c>
      <c r="J2302" s="4">
        <v>346</v>
      </c>
      <c r="K2302" s="4">
        <v>28</v>
      </c>
      <c r="L2302" s="4">
        <v>16</v>
      </c>
      <c r="M2302" s="4">
        <v>25</v>
      </c>
      <c r="N2302" s="4">
        <v>210</v>
      </c>
      <c r="O2302" s="5">
        <f t="shared" si="35"/>
        <v>4.8188574082675337E-2</v>
      </c>
      <c r="P2302" s="2" t="s">
        <v>29</v>
      </c>
    </row>
    <row r="2303" spans="1:16" x14ac:dyDescent="0.25">
      <c r="A2303" s="6" t="s">
        <v>4675</v>
      </c>
      <c r="B2303" s="6" t="s">
        <v>4676</v>
      </c>
      <c r="C2303" s="6" t="s">
        <v>43</v>
      </c>
      <c r="D2303" s="7" t="s">
        <v>81</v>
      </c>
      <c r="E2303" s="7" t="s">
        <v>50</v>
      </c>
      <c r="F2303" s="6" t="s">
        <v>70</v>
      </c>
      <c r="G2303" s="8">
        <v>742544</v>
      </c>
      <c r="H2303" s="8">
        <v>468422</v>
      </c>
      <c r="I2303" s="8">
        <v>372137</v>
      </c>
      <c r="J2303" s="8">
        <v>27331</v>
      </c>
      <c r="K2303" s="8">
        <v>4470</v>
      </c>
      <c r="L2303" s="8">
        <v>659</v>
      </c>
      <c r="M2303" s="8">
        <v>45</v>
      </c>
      <c r="N2303" s="8">
        <v>15156</v>
      </c>
      <c r="O2303" s="9">
        <f t="shared" si="35"/>
        <v>8.7346864192488244E-2</v>
      </c>
      <c r="P2303" s="6" t="s">
        <v>29</v>
      </c>
    </row>
    <row r="2304" spans="1:16" x14ac:dyDescent="0.25">
      <c r="A2304" s="2" t="s">
        <v>4677</v>
      </c>
      <c r="B2304" s="2" t="s">
        <v>4678</v>
      </c>
      <c r="C2304" s="2" t="s">
        <v>43</v>
      </c>
      <c r="D2304" s="3" t="s">
        <v>69</v>
      </c>
      <c r="E2304" s="3" t="s">
        <v>45</v>
      </c>
      <c r="F2304" s="2" t="s">
        <v>46</v>
      </c>
      <c r="G2304" s="4">
        <v>843328</v>
      </c>
      <c r="H2304" s="4">
        <v>413043</v>
      </c>
      <c r="I2304" s="4">
        <v>342578</v>
      </c>
      <c r="J2304" s="4">
        <v>17856</v>
      </c>
      <c r="K2304" s="4">
        <v>1891</v>
      </c>
      <c r="L2304" s="4">
        <v>777</v>
      </c>
      <c r="M2304" s="4">
        <v>26</v>
      </c>
      <c r="N2304" s="4">
        <v>5128</v>
      </c>
      <c r="O2304" s="5">
        <f t="shared" si="35"/>
        <v>5.9986338877569489E-2</v>
      </c>
      <c r="P2304" s="2" t="s">
        <v>29</v>
      </c>
    </row>
    <row r="2305" spans="1:16" x14ac:dyDescent="0.25">
      <c r="A2305" s="6" t="s">
        <v>4679</v>
      </c>
      <c r="B2305" s="6" t="s">
        <v>4680</v>
      </c>
      <c r="C2305" s="6" t="s">
        <v>18</v>
      </c>
      <c r="D2305" s="7" t="s">
        <v>57</v>
      </c>
      <c r="E2305" s="7" t="s">
        <v>27</v>
      </c>
      <c r="F2305" s="6" t="s">
        <v>73</v>
      </c>
      <c r="G2305" s="8">
        <v>442460</v>
      </c>
      <c r="H2305" s="8">
        <v>265634</v>
      </c>
      <c r="I2305" s="8">
        <v>208445</v>
      </c>
      <c r="J2305" s="8">
        <v>18210</v>
      </c>
      <c r="K2305" s="8">
        <v>2442</v>
      </c>
      <c r="L2305" s="8">
        <v>1664</v>
      </c>
      <c r="M2305" s="8">
        <v>1153</v>
      </c>
      <c r="N2305" s="8">
        <v>9048</v>
      </c>
      <c r="O2305" s="9">
        <f t="shared" si="35"/>
        <v>0.11259085130370122</v>
      </c>
      <c r="P2305" s="6" t="s">
        <v>29</v>
      </c>
    </row>
    <row r="2306" spans="1:16" x14ac:dyDescent="0.25">
      <c r="A2306" s="2" t="s">
        <v>4681</v>
      </c>
      <c r="B2306" s="2" t="s">
        <v>4682</v>
      </c>
      <c r="C2306" s="2" t="s">
        <v>32</v>
      </c>
      <c r="D2306" s="3" t="s">
        <v>33</v>
      </c>
      <c r="E2306" s="3" t="s">
        <v>27</v>
      </c>
      <c r="F2306" s="2" t="s">
        <v>40</v>
      </c>
      <c r="G2306" s="4">
        <v>682526</v>
      </c>
      <c r="H2306" s="4">
        <v>279253</v>
      </c>
      <c r="I2306" s="4">
        <v>231263</v>
      </c>
      <c r="J2306" s="4">
        <v>16049</v>
      </c>
      <c r="K2306" s="4">
        <v>1454</v>
      </c>
      <c r="L2306" s="4">
        <v>1652</v>
      </c>
      <c r="M2306" s="4">
        <v>18</v>
      </c>
      <c r="N2306" s="4">
        <v>2233</v>
      </c>
      <c r="O2306" s="5">
        <f t="shared" ref="O2306:O2369" si="36">IF(I2306&gt;0, (J2306+K2306+L2306+M2306)/I2306, 0)</f>
        <v>8.2905609630593735E-2</v>
      </c>
      <c r="P2306" s="2" t="s">
        <v>29</v>
      </c>
    </row>
    <row r="2307" spans="1:16" x14ac:dyDescent="0.25">
      <c r="A2307" s="6" t="s">
        <v>4683</v>
      </c>
      <c r="B2307" s="6" t="s">
        <v>4684</v>
      </c>
      <c r="C2307" s="6" t="s">
        <v>18</v>
      </c>
      <c r="D2307" s="7" t="s">
        <v>19</v>
      </c>
      <c r="E2307" s="7" t="s">
        <v>39</v>
      </c>
      <c r="F2307" s="6" t="s">
        <v>73</v>
      </c>
      <c r="G2307" s="8">
        <v>240432</v>
      </c>
      <c r="H2307" s="8">
        <v>128159</v>
      </c>
      <c r="I2307" s="8">
        <v>102560</v>
      </c>
      <c r="J2307" s="8">
        <v>5764</v>
      </c>
      <c r="K2307" s="8">
        <v>280</v>
      </c>
      <c r="L2307" s="8">
        <v>355</v>
      </c>
      <c r="M2307" s="8">
        <v>940</v>
      </c>
      <c r="N2307" s="8">
        <v>4373</v>
      </c>
      <c r="O2307" s="9">
        <f t="shared" si="36"/>
        <v>7.1558112324492981E-2</v>
      </c>
      <c r="P2307" s="6" t="s">
        <v>22</v>
      </c>
    </row>
    <row r="2308" spans="1:16" x14ac:dyDescent="0.25">
      <c r="A2308" s="2" t="s">
        <v>4685</v>
      </c>
      <c r="B2308" s="2" t="s">
        <v>4686</v>
      </c>
      <c r="C2308" s="2" t="s">
        <v>43</v>
      </c>
      <c r="D2308" s="3" t="s">
        <v>110</v>
      </c>
      <c r="E2308" s="3" t="s">
        <v>50</v>
      </c>
      <c r="F2308" s="2" t="s">
        <v>107</v>
      </c>
      <c r="G2308" s="4">
        <v>746974</v>
      </c>
      <c r="H2308" s="4">
        <v>100410</v>
      </c>
      <c r="I2308" s="4">
        <v>77033</v>
      </c>
      <c r="J2308" s="4">
        <v>2036</v>
      </c>
      <c r="K2308" s="4">
        <v>289</v>
      </c>
      <c r="L2308" s="4">
        <v>112</v>
      </c>
      <c r="M2308" s="4">
        <v>50</v>
      </c>
      <c r="N2308" s="4">
        <v>1841</v>
      </c>
      <c r="O2308" s="5">
        <f t="shared" si="36"/>
        <v>3.228486492801786E-2</v>
      </c>
      <c r="P2308" s="2" t="s">
        <v>22</v>
      </c>
    </row>
    <row r="2309" spans="1:16" x14ac:dyDescent="0.25">
      <c r="A2309" s="6" t="s">
        <v>4687</v>
      </c>
      <c r="B2309" s="6" t="s">
        <v>4688</v>
      </c>
      <c r="C2309" s="6" t="s">
        <v>76</v>
      </c>
      <c r="D2309" s="7" t="s">
        <v>77</v>
      </c>
      <c r="E2309" s="7" t="s">
        <v>45</v>
      </c>
      <c r="F2309" s="6" t="s">
        <v>104</v>
      </c>
      <c r="G2309" s="8">
        <v>330021</v>
      </c>
      <c r="H2309" s="8">
        <v>33992</v>
      </c>
      <c r="I2309" s="8">
        <v>31211</v>
      </c>
      <c r="J2309" s="8">
        <v>1671</v>
      </c>
      <c r="K2309" s="8">
        <v>196</v>
      </c>
      <c r="L2309" s="8">
        <v>147</v>
      </c>
      <c r="M2309" s="8">
        <v>137</v>
      </c>
      <c r="N2309" s="8">
        <v>917</v>
      </c>
      <c r="O2309" s="9">
        <f t="shared" si="36"/>
        <v>6.8918009676075739E-2</v>
      </c>
      <c r="P2309" s="6" t="s">
        <v>22</v>
      </c>
    </row>
    <row r="2310" spans="1:16" x14ac:dyDescent="0.25">
      <c r="A2310" s="2" t="s">
        <v>4689</v>
      </c>
      <c r="B2310" s="2" t="s">
        <v>4690</v>
      </c>
      <c r="C2310" s="2" t="s">
        <v>18</v>
      </c>
      <c r="D2310" s="3" t="s">
        <v>19</v>
      </c>
      <c r="E2310" s="3" t="s">
        <v>39</v>
      </c>
      <c r="F2310" s="2" t="s">
        <v>21</v>
      </c>
      <c r="G2310" s="4">
        <v>781215</v>
      </c>
      <c r="H2310" s="4">
        <v>505514</v>
      </c>
      <c r="I2310" s="4">
        <v>407845</v>
      </c>
      <c r="J2310" s="4">
        <v>35067</v>
      </c>
      <c r="K2310" s="4">
        <v>4203</v>
      </c>
      <c r="L2310" s="4">
        <v>4786</v>
      </c>
      <c r="M2310" s="4">
        <v>4382</v>
      </c>
      <c r="N2310" s="4">
        <v>14613</v>
      </c>
      <c r="O2310" s="5">
        <f t="shared" si="36"/>
        <v>0.11876570756047028</v>
      </c>
      <c r="P2310" s="2" t="s">
        <v>29</v>
      </c>
    </row>
    <row r="2311" spans="1:16" x14ac:dyDescent="0.25">
      <c r="A2311" s="6" t="s">
        <v>4691</v>
      </c>
      <c r="B2311" s="6" t="s">
        <v>4692</v>
      </c>
      <c r="C2311" s="6" t="s">
        <v>32</v>
      </c>
      <c r="D2311" s="7" t="s">
        <v>121</v>
      </c>
      <c r="E2311" s="7" t="s">
        <v>45</v>
      </c>
      <c r="F2311" s="6" t="s">
        <v>40</v>
      </c>
      <c r="G2311" s="8">
        <v>291759</v>
      </c>
      <c r="H2311" s="8">
        <v>179606</v>
      </c>
      <c r="I2311" s="8">
        <v>161338</v>
      </c>
      <c r="J2311" s="8">
        <v>8564</v>
      </c>
      <c r="K2311" s="8">
        <v>976</v>
      </c>
      <c r="L2311" s="8">
        <v>1260</v>
      </c>
      <c r="M2311" s="8">
        <v>42</v>
      </c>
      <c r="N2311" s="8">
        <v>6111</v>
      </c>
      <c r="O2311" s="9">
        <f t="shared" si="36"/>
        <v>6.7200535521699786E-2</v>
      </c>
      <c r="P2311" s="6" t="s">
        <v>22</v>
      </c>
    </row>
    <row r="2312" spans="1:16" x14ac:dyDescent="0.25">
      <c r="A2312" s="2" t="s">
        <v>4693</v>
      </c>
      <c r="B2312" s="2" t="s">
        <v>4694</v>
      </c>
      <c r="C2312" s="2" t="s">
        <v>76</v>
      </c>
      <c r="D2312" s="3" t="s">
        <v>103</v>
      </c>
      <c r="E2312" s="3" t="s">
        <v>20</v>
      </c>
      <c r="F2312" s="2" t="s">
        <v>155</v>
      </c>
      <c r="G2312" s="4">
        <v>374331</v>
      </c>
      <c r="H2312" s="4">
        <v>155853</v>
      </c>
      <c r="I2312" s="4">
        <v>123846</v>
      </c>
      <c r="J2312" s="4">
        <v>10659</v>
      </c>
      <c r="K2312" s="4">
        <v>1054</v>
      </c>
      <c r="L2312" s="4">
        <v>986</v>
      </c>
      <c r="M2312" s="4">
        <v>948</v>
      </c>
      <c r="N2312" s="4">
        <v>2655</v>
      </c>
      <c r="O2312" s="5">
        <f t="shared" si="36"/>
        <v>0.11019330458795601</v>
      </c>
      <c r="P2312" s="2" t="s">
        <v>29</v>
      </c>
    </row>
    <row r="2313" spans="1:16" x14ac:dyDescent="0.25">
      <c r="A2313" s="6" t="s">
        <v>4695</v>
      </c>
      <c r="B2313" s="6" t="s">
        <v>4696</v>
      </c>
      <c r="C2313" s="6" t="s">
        <v>25</v>
      </c>
      <c r="D2313" s="7" t="s">
        <v>145</v>
      </c>
      <c r="E2313" s="7" t="s">
        <v>50</v>
      </c>
      <c r="F2313" s="6" t="s">
        <v>54</v>
      </c>
      <c r="G2313" s="8">
        <v>167970</v>
      </c>
      <c r="H2313" s="8">
        <v>104785</v>
      </c>
      <c r="I2313" s="8">
        <v>74427</v>
      </c>
      <c r="J2313" s="8">
        <v>2855</v>
      </c>
      <c r="K2313" s="8">
        <v>471</v>
      </c>
      <c r="L2313" s="8">
        <v>208</v>
      </c>
      <c r="M2313" s="8">
        <v>369</v>
      </c>
      <c r="N2313" s="8">
        <v>2077</v>
      </c>
      <c r="O2313" s="9">
        <f t="shared" si="36"/>
        <v>5.2440646539562256E-2</v>
      </c>
      <c r="P2313" s="6" t="s">
        <v>22</v>
      </c>
    </row>
    <row r="2314" spans="1:16" x14ac:dyDescent="0.25">
      <c r="A2314" s="2" t="s">
        <v>4697</v>
      </c>
      <c r="B2314" s="2" t="s">
        <v>4698</v>
      </c>
      <c r="C2314" s="2" t="s">
        <v>25</v>
      </c>
      <c r="D2314" s="3" t="s">
        <v>26</v>
      </c>
      <c r="E2314" s="3" t="s">
        <v>27</v>
      </c>
      <c r="F2314" s="2" t="s">
        <v>65</v>
      </c>
      <c r="G2314" s="4">
        <v>110069</v>
      </c>
      <c r="H2314" s="4">
        <v>22168</v>
      </c>
      <c r="I2314" s="4">
        <v>15562</v>
      </c>
      <c r="J2314" s="4">
        <v>1604</v>
      </c>
      <c r="K2314" s="4">
        <v>231</v>
      </c>
      <c r="L2314" s="4">
        <v>69</v>
      </c>
      <c r="M2314" s="4">
        <v>303</v>
      </c>
      <c r="N2314" s="4">
        <v>215</v>
      </c>
      <c r="O2314" s="5">
        <f t="shared" si="36"/>
        <v>0.14181981750417685</v>
      </c>
      <c r="P2314" s="2" t="s">
        <v>29</v>
      </c>
    </row>
    <row r="2315" spans="1:16" x14ac:dyDescent="0.25">
      <c r="A2315" s="6" t="s">
        <v>4699</v>
      </c>
      <c r="B2315" s="6" t="s">
        <v>4700</v>
      </c>
      <c r="C2315" s="6" t="s">
        <v>43</v>
      </c>
      <c r="D2315" s="7" t="s">
        <v>172</v>
      </c>
      <c r="E2315" s="7" t="s">
        <v>45</v>
      </c>
      <c r="F2315" s="6" t="s">
        <v>70</v>
      </c>
      <c r="G2315" s="8">
        <v>513241</v>
      </c>
      <c r="H2315" s="8">
        <v>160185</v>
      </c>
      <c r="I2315" s="8">
        <v>116904</v>
      </c>
      <c r="J2315" s="8">
        <v>11513</v>
      </c>
      <c r="K2315" s="8">
        <v>1810</v>
      </c>
      <c r="L2315" s="8">
        <v>886</v>
      </c>
      <c r="M2315" s="8">
        <v>9</v>
      </c>
      <c r="N2315" s="8">
        <v>4348</v>
      </c>
      <c r="O2315" s="9">
        <f t="shared" si="36"/>
        <v>0.12162115924177103</v>
      </c>
      <c r="P2315" s="6" t="s">
        <v>22</v>
      </c>
    </row>
    <row r="2316" spans="1:16" x14ac:dyDescent="0.25">
      <c r="A2316" s="2" t="s">
        <v>4701</v>
      </c>
      <c r="B2316" s="2" t="s">
        <v>4702</v>
      </c>
      <c r="C2316" s="2" t="s">
        <v>43</v>
      </c>
      <c r="D2316" s="3" t="s">
        <v>81</v>
      </c>
      <c r="E2316" s="3" t="s">
        <v>50</v>
      </c>
      <c r="F2316" s="2" t="s">
        <v>107</v>
      </c>
      <c r="G2316" s="4">
        <v>326489</v>
      </c>
      <c r="H2316" s="4">
        <v>76869</v>
      </c>
      <c r="I2316" s="4">
        <v>55940</v>
      </c>
      <c r="J2316" s="4">
        <v>3467</v>
      </c>
      <c r="K2316" s="4">
        <v>533</v>
      </c>
      <c r="L2316" s="4">
        <v>242</v>
      </c>
      <c r="M2316" s="4">
        <v>29</v>
      </c>
      <c r="N2316" s="4">
        <v>2664</v>
      </c>
      <c r="O2316" s="5">
        <f t="shared" si="36"/>
        <v>7.6349660350375409E-2</v>
      </c>
      <c r="P2316" s="2" t="s">
        <v>22</v>
      </c>
    </row>
    <row r="2317" spans="1:16" x14ac:dyDescent="0.25">
      <c r="A2317" s="6" t="s">
        <v>4703</v>
      </c>
      <c r="B2317" s="6" t="s">
        <v>4704</v>
      </c>
      <c r="C2317" s="6" t="s">
        <v>32</v>
      </c>
      <c r="D2317" s="7" t="s">
        <v>33</v>
      </c>
      <c r="E2317" s="7" t="s">
        <v>34</v>
      </c>
      <c r="F2317" s="6" t="s">
        <v>35</v>
      </c>
      <c r="G2317" s="8">
        <v>729902</v>
      </c>
      <c r="H2317" s="8">
        <v>191639</v>
      </c>
      <c r="I2317" s="8">
        <v>163783</v>
      </c>
      <c r="J2317" s="8">
        <v>4210</v>
      </c>
      <c r="K2317" s="8">
        <v>639</v>
      </c>
      <c r="L2317" s="8">
        <v>299</v>
      </c>
      <c r="M2317" s="8">
        <v>4</v>
      </c>
      <c r="N2317" s="8">
        <v>2323</v>
      </c>
      <c r="O2317" s="9">
        <f t="shared" si="36"/>
        <v>3.1456256143800029E-2</v>
      </c>
      <c r="P2317" s="6" t="s">
        <v>22</v>
      </c>
    </row>
    <row r="2318" spans="1:16" x14ac:dyDescent="0.25">
      <c r="A2318" s="2" t="s">
        <v>4705</v>
      </c>
      <c r="B2318" s="2" t="s">
        <v>4706</v>
      </c>
      <c r="C2318" s="2" t="s">
        <v>25</v>
      </c>
      <c r="D2318" s="3" t="s">
        <v>64</v>
      </c>
      <c r="E2318" s="3" t="s">
        <v>45</v>
      </c>
      <c r="F2318" s="2" t="s">
        <v>54</v>
      </c>
      <c r="G2318" s="4">
        <v>749309</v>
      </c>
      <c r="H2318" s="4">
        <v>247466</v>
      </c>
      <c r="I2318" s="4">
        <v>226043</v>
      </c>
      <c r="J2318" s="4">
        <v>9203</v>
      </c>
      <c r="K2318" s="4">
        <v>281</v>
      </c>
      <c r="L2318" s="4">
        <v>464</v>
      </c>
      <c r="M2318" s="4">
        <v>1628</v>
      </c>
      <c r="N2318" s="4">
        <v>3299</v>
      </c>
      <c r="O2318" s="5">
        <f t="shared" si="36"/>
        <v>5.1211495158000914E-2</v>
      </c>
      <c r="P2318" s="2" t="s">
        <v>29</v>
      </c>
    </row>
    <row r="2319" spans="1:16" x14ac:dyDescent="0.25">
      <c r="A2319" s="6" t="s">
        <v>4707</v>
      </c>
      <c r="B2319" s="6" t="s">
        <v>4708</v>
      </c>
      <c r="C2319" s="6" t="s">
        <v>32</v>
      </c>
      <c r="D2319" s="7" t="s">
        <v>33</v>
      </c>
      <c r="E2319" s="7" t="s">
        <v>50</v>
      </c>
      <c r="F2319" s="6" t="s">
        <v>51</v>
      </c>
      <c r="G2319" s="8">
        <v>353710</v>
      </c>
      <c r="H2319" s="8">
        <v>61898</v>
      </c>
      <c r="I2319" s="8">
        <v>53479</v>
      </c>
      <c r="J2319" s="8">
        <v>4630</v>
      </c>
      <c r="K2319" s="8">
        <v>462</v>
      </c>
      <c r="L2319" s="8">
        <v>493</v>
      </c>
      <c r="M2319" s="8">
        <v>23</v>
      </c>
      <c r="N2319" s="8">
        <v>1338</v>
      </c>
      <c r="O2319" s="9">
        <f t="shared" si="36"/>
        <v>0.10486359131621759</v>
      </c>
      <c r="P2319" s="6" t="s">
        <v>22</v>
      </c>
    </row>
    <row r="2320" spans="1:16" x14ac:dyDescent="0.25">
      <c r="A2320" s="2" t="s">
        <v>4709</v>
      </c>
      <c r="B2320" s="2" t="s">
        <v>4710</v>
      </c>
      <c r="C2320" s="2" t="s">
        <v>25</v>
      </c>
      <c r="D2320" s="3" t="s">
        <v>64</v>
      </c>
      <c r="E2320" s="3" t="s">
        <v>34</v>
      </c>
      <c r="F2320" s="2" t="s">
        <v>146</v>
      </c>
      <c r="G2320" s="4">
        <v>399033</v>
      </c>
      <c r="H2320" s="4">
        <v>132814</v>
      </c>
      <c r="I2320" s="4">
        <v>115094</v>
      </c>
      <c r="J2320" s="4">
        <v>9928</v>
      </c>
      <c r="K2320" s="4">
        <v>1131</v>
      </c>
      <c r="L2320" s="4">
        <v>581</v>
      </c>
      <c r="M2320" s="4">
        <v>1156</v>
      </c>
      <c r="N2320" s="4">
        <v>2147</v>
      </c>
      <c r="O2320" s="5">
        <f t="shared" si="36"/>
        <v>0.11117868872399951</v>
      </c>
      <c r="P2320" s="2" t="s">
        <v>22</v>
      </c>
    </row>
    <row r="2321" spans="1:16" x14ac:dyDescent="0.25">
      <c r="A2321" s="6" t="s">
        <v>4711</v>
      </c>
      <c r="B2321" s="6" t="s">
        <v>4712</v>
      </c>
      <c r="C2321" s="6" t="s">
        <v>76</v>
      </c>
      <c r="D2321" s="7" t="s">
        <v>103</v>
      </c>
      <c r="E2321" s="7" t="s">
        <v>45</v>
      </c>
      <c r="F2321" s="6" t="s">
        <v>78</v>
      </c>
      <c r="G2321" s="8">
        <v>524403</v>
      </c>
      <c r="H2321" s="8">
        <v>3061511</v>
      </c>
      <c r="I2321" s="8">
        <v>2562597</v>
      </c>
      <c r="J2321" s="8">
        <v>129835</v>
      </c>
      <c r="K2321" s="8">
        <v>14842</v>
      </c>
      <c r="L2321" s="8">
        <v>11569</v>
      </c>
      <c r="M2321" s="8">
        <v>29588</v>
      </c>
      <c r="N2321" s="8">
        <v>39824</v>
      </c>
      <c r="O2321" s="9">
        <f t="shared" si="36"/>
        <v>7.2517840300289127E-2</v>
      </c>
      <c r="P2321" s="6" t="s">
        <v>22</v>
      </c>
    </row>
    <row r="2322" spans="1:16" x14ac:dyDescent="0.25">
      <c r="A2322" s="2" t="s">
        <v>4713</v>
      </c>
      <c r="B2322" s="2" t="s">
        <v>4714</v>
      </c>
      <c r="C2322" s="2" t="s">
        <v>43</v>
      </c>
      <c r="D2322" s="3" t="s">
        <v>172</v>
      </c>
      <c r="E2322" s="3" t="s">
        <v>45</v>
      </c>
      <c r="F2322" s="2" t="s">
        <v>107</v>
      </c>
      <c r="G2322" s="4">
        <v>620453</v>
      </c>
      <c r="H2322" s="4">
        <v>110937</v>
      </c>
      <c r="I2322" s="4">
        <v>91355</v>
      </c>
      <c r="J2322" s="4">
        <v>6190</v>
      </c>
      <c r="K2322" s="4">
        <v>997</v>
      </c>
      <c r="L2322" s="4">
        <v>322</v>
      </c>
      <c r="M2322" s="4">
        <v>27</v>
      </c>
      <c r="N2322" s="4">
        <v>637</v>
      </c>
      <c r="O2322" s="5">
        <f t="shared" si="36"/>
        <v>8.2491379782168459E-2</v>
      </c>
      <c r="P2322" s="2" t="s">
        <v>22</v>
      </c>
    </row>
    <row r="2323" spans="1:16" x14ac:dyDescent="0.25">
      <c r="A2323" s="6" t="s">
        <v>4715</v>
      </c>
      <c r="B2323" s="6" t="s">
        <v>4716</v>
      </c>
      <c r="C2323" s="6" t="s">
        <v>76</v>
      </c>
      <c r="D2323" s="7" t="s">
        <v>103</v>
      </c>
      <c r="E2323" s="7" t="s">
        <v>34</v>
      </c>
      <c r="F2323" s="6" t="s">
        <v>104</v>
      </c>
      <c r="G2323" s="8">
        <v>841715</v>
      </c>
      <c r="H2323" s="8">
        <v>349148</v>
      </c>
      <c r="I2323" s="8">
        <v>278718</v>
      </c>
      <c r="J2323" s="8">
        <v>26928</v>
      </c>
      <c r="K2323" s="8">
        <v>1113</v>
      </c>
      <c r="L2323" s="8">
        <v>2586</v>
      </c>
      <c r="M2323" s="8">
        <v>3902</v>
      </c>
      <c r="N2323" s="8">
        <v>7202</v>
      </c>
      <c r="O2323" s="9">
        <f t="shared" si="36"/>
        <v>0.12388507380219434</v>
      </c>
      <c r="P2323" s="6" t="s">
        <v>22</v>
      </c>
    </row>
    <row r="2324" spans="1:16" x14ac:dyDescent="0.25">
      <c r="A2324" s="2" t="s">
        <v>4717</v>
      </c>
      <c r="B2324" s="2" t="s">
        <v>4718</v>
      </c>
      <c r="C2324" s="2" t="s">
        <v>32</v>
      </c>
      <c r="D2324" s="3" t="s">
        <v>49</v>
      </c>
      <c r="E2324" s="3" t="s">
        <v>50</v>
      </c>
      <c r="F2324" s="2" t="s">
        <v>40</v>
      </c>
      <c r="G2324" s="4">
        <v>848946</v>
      </c>
      <c r="H2324" s="4">
        <v>324363</v>
      </c>
      <c r="I2324" s="4">
        <v>274796</v>
      </c>
      <c r="J2324" s="4">
        <v>18639</v>
      </c>
      <c r="K2324" s="4">
        <v>1936</v>
      </c>
      <c r="L2324" s="4">
        <v>2039</v>
      </c>
      <c r="M2324" s="4">
        <v>7</v>
      </c>
      <c r="N2324" s="4">
        <v>3542</v>
      </c>
      <c r="O2324" s="5">
        <f t="shared" si="36"/>
        <v>8.2319247732863657E-2</v>
      </c>
      <c r="P2324" s="2" t="s">
        <v>22</v>
      </c>
    </row>
    <row r="2325" spans="1:16" x14ac:dyDescent="0.25">
      <c r="A2325" s="6" t="s">
        <v>4719</v>
      </c>
      <c r="B2325" s="6" t="s">
        <v>4720</v>
      </c>
      <c r="C2325" s="6" t="s">
        <v>32</v>
      </c>
      <c r="D2325" s="7" t="s">
        <v>175</v>
      </c>
      <c r="E2325" s="7" t="s">
        <v>50</v>
      </c>
      <c r="F2325" s="6" t="s">
        <v>51</v>
      </c>
      <c r="G2325" s="8">
        <v>736411</v>
      </c>
      <c r="H2325" s="8">
        <v>240049</v>
      </c>
      <c r="I2325" s="8">
        <v>181145</v>
      </c>
      <c r="J2325" s="8">
        <v>16502</v>
      </c>
      <c r="K2325" s="8">
        <v>810</v>
      </c>
      <c r="L2325" s="8">
        <v>1778</v>
      </c>
      <c r="M2325" s="8">
        <v>16</v>
      </c>
      <c r="N2325" s="8">
        <v>7702</v>
      </c>
      <c r="O2325" s="9">
        <f t="shared" si="36"/>
        <v>0.10547351569184907</v>
      </c>
      <c r="P2325" s="6" t="s">
        <v>29</v>
      </c>
    </row>
    <row r="2326" spans="1:16" x14ac:dyDescent="0.25">
      <c r="A2326" s="2" t="s">
        <v>4721</v>
      </c>
      <c r="B2326" s="2" t="s">
        <v>4722</v>
      </c>
      <c r="C2326" s="2" t="s">
        <v>76</v>
      </c>
      <c r="D2326" s="3" t="s">
        <v>77</v>
      </c>
      <c r="E2326" s="3" t="s">
        <v>34</v>
      </c>
      <c r="F2326" s="2" t="s">
        <v>78</v>
      </c>
      <c r="G2326" s="4">
        <v>556174</v>
      </c>
      <c r="H2326" s="4">
        <v>97697</v>
      </c>
      <c r="I2326" s="4">
        <v>77903</v>
      </c>
      <c r="J2326" s="4">
        <v>5561</v>
      </c>
      <c r="K2326" s="4">
        <v>613</v>
      </c>
      <c r="L2326" s="4">
        <v>142</v>
      </c>
      <c r="M2326" s="4">
        <v>1212</v>
      </c>
      <c r="N2326" s="4">
        <v>2250</v>
      </c>
      <c r="O2326" s="5">
        <f t="shared" si="36"/>
        <v>9.6632992310950794E-2</v>
      </c>
      <c r="P2326" s="2" t="s">
        <v>66</v>
      </c>
    </row>
    <row r="2327" spans="1:16" x14ac:dyDescent="0.25">
      <c r="A2327" s="6" t="s">
        <v>4723</v>
      </c>
      <c r="B2327" s="6" t="s">
        <v>4724</v>
      </c>
      <c r="C2327" s="6" t="s">
        <v>18</v>
      </c>
      <c r="D2327" s="7" t="s">
        <v>92</v>
      </c>
      <c r="E2327" s="7" t="s">
        <v>45</v>
      </c>
      <c r="F2327" s="6" t="s">
        <v>73</v>
      </c>
      <c r="G2327" s="8">
        <v>765241</v>
      </c>
      <c r="H2327" s="8">
        <v>445808</v>
      </c>
      <c r="I2327" s="8">
        <v>325380</v>
      </c>
      <c r="J2327" s="8">
        <v>19665</v>
      </c>
      <c r="K2327" s="8">
        <v>914</v>
      </c>
      <c r="L2327" s="8">
        <v>2321</v>
      </c>
      <c r="M2327" s="8">
        <v>3348</v>
      </c>
      <c r="N2327" s="8">
        <v>2339</v>
      </c>
      <c r="O2327" s="9">
        <f t="shared" si="36"/>
        <v>8.0668756530825503E-2</v>
      </c>
      <c r="P2327" s="6" t="s">
        <v>22</v>
      </c>
    </row>
    <row r="2328" spans="1:16" x14ac:dyDescent="0.25">
      <c r="A2328" s="2" t="s">
        <v>4725</v>
      </c>
      <c r="B2328" s="2" t="s">
        <v>4726</v>
      </c>
      <c r="C2328" s="2" t="s">
        <v>43</v>
      </c>
      <c r="D2328" s="3" t="s">
        <v>172</v>
      </c>
      <c r="E2328" s="3" t="s">
        <v>27</v>
      </c>
      <c r="F2328" s="2" t="s">
        <v>70</v>
      </c>
      <c r="G2328" s="4">
        <v>348215</v>
      </c>
      <c r="H2328" s="4">
        <v>208293</v>
      </c>
      <c r="I2328" s="4">
        <v>147720</v>
      </c>
      <c r="J2328" s="4">
        <v>5674</v>
      </c>
      <c r="K2328" s="4">
        <v>183</v>
      </c>
      <c r="L2328" s="4">
        <v>273</v>
      </c>
      <c r="M2328" s="4">
        <v>45</v>
      </c>
      <c r="N2328" s="4">
        <v>6286</v>
      </c>
      <c r="O2328" s="5">
        <f t="shared" si="36"/>
        <v>4.1802057947468184E-2</v>
      </c>
      <c r="P2328" s="2" t="s">
        <v>22</v>
      </c>
    </row>
    <row r="2329" spans="1:16" x14ac:dyDescent="0.25">
      <c r="A2329" s="6" t="s">
        <v>4727</v>
      </c>
      <c r="B2329" s="6" t="s">
        <v>4728</v>
      </c>
      <c r="C2329" s="6" t="s">
        <v>76</v>
      </c>
      <c r="D2329" s="7" t="s">
        <v>77</v>
      </c>
      <c r="E2329" s="7" t="s">
        <v>50</v>
      </c>
      <c r="F2329" s="6" t="s">
        <v>104</v>
      </c>
      <c r="G2329" s="8">
        <v>747202</v>
      </c>
      <c r="H2329" s="8">
        <v>467450</v>
      </c>
      <c r="I2329" s="8">
        <v>401326</v>
      </c>
      <c r="J2329" s="8">
        <v>27784</v>
      </c>
      <c r="K2329" s="8">
        <v>4210</v>
      </c>
      <c r="L2329" s="8">
        <v>2691</v>
      </c>
      <c r="M2329" s="8">
        <v>1600</v>
      </c>
      <c r="N2329" s="8">
        <v>4922</v>
      </c>
      <c r="O2329" s="9">
        <f t="shared" si="36"/>
        <v>9.0412781628900193E-2</v>
      </c>
      <c r="P2329" s="6" t="s">
        <v>22</v>
      </c>
    </row>
    <row r="2330" spans="1:16" x14ac:dyDescent="0.25">
      <c r="A2330" s="2" t="s">
        <v>4729</v>
      </c>
      <c r="B2330" s="2" t="s">
        <v>4730</v>
      </c>
      <c r="C2330" s="2" t="s">
        <v>32</v>
      </c>
      <c r="D2330" s="3" t="s">
        <v>33</v>
      </c>
      <c r="E2330" s="3" t="s">
        <v>50</v>
      </c>
      <c r="F2330" s="2" t="s">
        <v>35</v>
      </c>
      <c r="G2330" s="4">
        <v>25611</v>
      </c>
      <c r="H2330" s="4">
        <v>16074</v>
      </c>
      <c r="I2330" s="4">
        <v>11820</v>
      </c>
      <c r="J2330" s="4">
        <v>1243</v>
      </c>
      <c r="K2330" s="4">
        <v>91</v>
      </c>
      <c r="L2330" s="4">
        <v>94</v>
      </c>
      <c r="M2330" s="4">
        <v>28</v>
      </c>
      <c r="N2330" s="4">
        <v>480</v>
      </c>
      <c r="O2330" s="5">
        <f t="shared" si="36"/>
        <v>0.12318104906937394</v>
      </c>
      <c r="P2330" s="2" t="s">
        <v>29</v>
      </c>
    </row>
    <row r="2331" spans="1:16" x14ac:dyDescent="0.25">
      <c r="A2331" s="6" t="s">
        <v>4731</v>
      </c>
      <c r="B2331" s="6" t="s">
        <v>4732</v>
      </c>
      <c r="C2331" s="6" t="s">
        <v>18</v>
      </c>
      <c r="D2331" s="7" t="s">
        <v>92</v>
      </c>
      <c r="E2331" s="7" t="s">
        <v>27</v>
      </c>
      <c r="F2331" s="6" t="s">
        <v>21</v>
      </c>
      <c r="G2331" s="8">
        <v>418301</v>
      </c>
      <c r="H2331" s="8">
        <v>45761</v>
      </c>
      <c r="I2331" s="8">
        <v>40174</v>
      </c>
      <c r="J2331" s="8">
        <v>2622</v>
      </c>
      <c r="K2331" s="8">
        <v>402</v>
      </c>
      <c r="L2331" s="8">
        <v>319</v>
      </c>
      <c r="M2331" s="8">
        <v>269</v>
      </c>
      <c r="N2331" s="8">
        <v>1466</v>
      </c>
      <c r="O2331" s="9">
        <f t="shared" si="36"/>
        <v>8.9908896301090252E-2</v>
      </c>
      <c r="P2331" s="6" t="s">
        <v>29</v>
      </c>
    </row>
    <row r="2332" spans="1:16" x14ac:dyDescent="0.25">
      <c r="A2332" s="2" t="s">
        <v>4733</v>
      </c>
      <c r="B2332" s="2" t="s">
        <v>4734</v>
      </c>
      <c r="C2332" s="2" t="s">
        <v>32</v>
      </c>
      <c r="D2332" s="3" t="s">
        <v>175</v>
      </c>
      <c r="E2332" s="3" t="s">
        <v>27</v>
      </c>
      <c r="F2332" s="2" t="s">
        <v>51</v>
      </c>
      <c r="G2332" s="4">
        <v>3011</v>
      </c>
      <c r="H2332" s="4">
        <v>415</v>
      </c>
      <c r="I2332" s="4">
        <v>358</v>
      </c>
      <c r="J2332" s="4">
        <v>17</v>
      </c>
      <c r="K2332" s="4">
        <v>2</v>
      </c>
      <c r="L2332" s="4">
        <v>1</v>
      </c>
      <c r="M2332" s="4">
        <v>45</v>
      </c>
      <c r="N2332" s="4">
        <v>13</v>
      </c>
      <c r="O2332" s="5">
        <f t="shared" si="36"/>
        <v>0.18156424581005587</v>
      </c>
      <c r="P2332" s="2" t="s">
        <v>22</v>
      </c>
    </row>
    <row r="2333" spans="1:16" x14ac:dyDescent="0.25">
      <c r="A2333" s="6" t="s">
        <v>4735</v>
      </c>
      <c r="B2333" s="6" t="s">
        <v>4736</v>
      </c>
      <c r="C2333" s="6" t="s">
        <v>43</v>
      </c>
      <c r="D2333" s="7" t="s">
        <v>81</v>
      </c>
      <c r="E2333" s="7" t="s">
        <v>20</v>
      </c>
      <c r="F2333" s="6" t="s">
        <v>70</v>
      </c>
      <c r="G2333" s="8">
        <v>301773</v>
      </c>
      <c r="H2333" s="8">
        <v>131411</v>
      </c>
      <c r="I2333" s="8">
        <v>100753</v>
      </c>
      <c r="J2333" s="8">
        <v>9938</v>
      </c>
      <c r="K2333" s="8">
        <v>1147</v>
      </c>
      <c r="L2333" s="8">
        <v>1172</v>
      </c>
      <c r="M2333" s="8">
        <v>18</v>
      </c>
      <c r="N2333" s="8">
        <v>3216</v>
      </c>
      <c r="O2333" s="9">
        <f t="shared" si="36"/>
        <v>0.12183260051809872</v>
      </c>
      <c r="P2333" s="6" t="s">
        <v>22</v>
      </c>
    </row>
    <row r="2334" spans="1:16" x14ac:dyDescent="0.25">
      <c r="A2334" s="2" t="s">
        <v>4737</v>
      </c>
      <c r="B2334" s="2" t="s">
        <v>4738</v>
      </c>
      <c r="C2334" s="2" t="s">
        <v>25</v>
      </c>
      <c r="D2334" s="3" t="s">
        <v>61</v>
      </c>
      <c r="E2334" s="3" t="s">
        <v>50</v>
      </c>
      <c r="F2334" s="2" t="s">
        <v>146</v>
      </c>
      <c r="G2334" s="4">
        <v>835391</v>
      </c>
      <c r="H2334" s="4">
        <v>432943</v>
      </c>
      <c r="I2334" s="4">
        <v>305247</v>
      </c>
      <c r="J2334" s="4">
        <v>34536</v>
      </c>
      <c r="K2334" s="4">
        <v>6181</v>
      </c>
      <c r="L2334" s="4">
        <v>4701</v>
      </c>
      <c r="M2334" s="4">
        <v>8488</v>
      </c>
      <c r="N2334" s="4">
        <v>9341</v>
      </c>
      <c r="O2334" s="5">
        <f t="shared" si="36"/>
        <v>0.17659796820279969</v>
      </c>
      <c r="P2334" s="2" t="s">
        <v>22</v>
      </c>
    </row>
    <row r="2335" spans="1:16" x14ac:dyDescent="0.25">
      <c r="A2335" s="6" t="s">
        <v>4739</v>
      </c>
      <c r="B2335" s="6" t="s">
        <v>4740</v>
      </c>
      <c r="C2335" s="6" t="s">
        <v>32</v>
      </c>
      <c r="D2335" s="7" t="s">
        <v>175</v>
      </c>
      <c r="E2335" s="7" t="s">
        <v>20</v>
      </c>
      <c r="F2335" s="6" t="s">
        <v>40</v>
      </c>
      <c r="G2335" s="8">
        <v>819634</v>
      </c>
      <c r="H2335" s="8">
        <v>182973</v>
      </c>
      <c r="I2335" s="8">
        <v>144056</v>
      </c>
      <c r="J2335" s="8">
        <v>9192</v>
      </c>
      <c r="K2335" s="8">
        <v>294</v>
      </c>
      <c r="L2335" s="8">
        <v>569</v>
      </c>
      <c r="M2335" s="8">
        <v>32</v>
      </c>
      <c r="N2335" s="8">
        <v>2013</v>
      </c>
      <c r="O2335" s="9">
        <f t="shared" si="36"/>
        <v>7.0021380574221137E-2</v>
      </c>
      <c r="P2335" s="6" t="s">
        <v>22</v>
      </c>
    </row>
    <row r="2336" spans="1:16" x14ac:dyDescent="0.25">
      <c r="A2336" s="2" t="s">
        <v>4741</v>
      </c>
      <c r="B2336" s="2" t="s">
        <v>4742</v>
      </c>
      <c r="C2336" s="2" t="s">
        <v>18</v>
      </c>
      <c r="D2336" s="3" t="s">
        <v>231</v>
      </c>
      <c r="E2336" s="3" t="s">
        <v>45</v>
      </c>
      <c r="F2336" s="2" t="s">
        <v>58</v>
      </c>
      <c r="G2336" s="4">
        <v>150095</v>
      </c>
      <c r="H2336" s="4">
        <v>52545</v>
      </c>
      <c r="I2336" s="4">
        <v>40860</v>
      </c>
      <c r="J2336" s="4">
        <v>2771</v>
      </c>
      <c r="K2336" s="4">
        <v>295</v>
      </c>
      <c r="L2336" s="4">
        <v>267</v>
      </c>
      <c r="M2336" s="4">
        <v>146</v>
      </c>
      <c r="N2336" s="4">
        <v>1227</v>
      </c>
      <c r="O2336" s="5">
        <f t="shared" si="36"/>
        <v>8.5144395496818404E-2</v>
      </c>
      <c r="P2336" s="2" t="s">
        <v>22</v>
      </c>
    </row>
    <row r="2337" spans="1:16" x14ac:dyDescent="0.25">
      <c r="A2337" s="6" t="s">
        <v>4743</v>
      </c>
      <c r="B2337" s="6" t="s">
        <v>4744</v>
      </c>
      <c r="C2337" s="6" t="s">
        <v>43</v>
      </c>
      <c r="D2337" s="7" t="s">
        <v>69</v>
      </c>
      <c r="E2337" s="7" t="s">
        <v>20</v>
      </c>
      <c r="F2337" s="6" t="s">
        <v>46</v>
      </c>
      <c r="G2337" s="8">
        <v>459250</v>
      </c>
      <c r="H2337" s="8">
        <v>73088</v>
      </c>
      <c r="I2337" s="8">
        <v>59826</v>
      </c>
      <c r="J2337" s="8">
        <v>1825</v>
      </c>
      <c r="K2337" s="8">
        <v>102</v>
      </c>
      <c r="L2337" s="8">
        <v>117</v>
      </c>
      <c r="M2337" s="8">
        <v>16</v>
      </c>
      <c r="N2337" s="8">
        <v>634</v>
      </c>
      <c r="O2337" s="9">
        <f t="shared" si="36"/>
        <v>3.4433189583124392E-2</v>
      </c>
      <c r="P2337" s="6" t="s">
        <v>22</v>
      </c>
    </row>
    <row r="2338" spans="1:16" x14ac:dyDescent="0.25">
      <c r="A2338" s="2" t="s">
        <v>4745</v>
      </c>
      <c r="B2338" s="2" t="s">
        <v>4746</v>
      </c>
      <c r="C2338" s="2" t="s">
        <v>18</v>
      </c>
      <c r="D2338" s="3" t="s">
        <v>231</v>
      </c>
      <c r="E2338" s="3" t="s">
        <v>45</v>
      </c>
      <c r="F2338" s="2" t="s">
        <v>58</v>
      </c>
      <c r="G2338" s="4">
        <v>590775</v>
      </c>
      <c r="H2338" s="4">
        <v>309610</v>
      </c>
      <c r="I2338" s="4">
        <v>227693</v>
      </c>
      <c r="J2338" s="4">
        <v>24061</v>
      </c>
      <c r="K2338" s="4">
        <v>4072</v>
      </c>
      <c r="L2338" s="4">
        <v>3140</v>
      </c>
      <c r="M2338" s="4">
        <v>1848</v>
      </c>
      <c r="N2338" s="4">
        <v>6321</v>
      </c>
      <c r="O2338" s="5">
        <f t="shared" si="36"/>
        <v>0.14546340906395894</v>
      </c>
      <c r="P2338" s="2" t="s">
        <v>22</v>
      </c>
    </row>
    <row r="2339" spans="1:16" x14ac:dyDescent="0.25">
      <c r="A2339" s="6" t="s">
        <v>4747</v>
      </c>
      <c r="B2339" s="6" t="s">
        <v>4748</v>
      </c>
      <c r="C2339" s="6" t="s">
        <v>76</v>
      </c>
      <c r="D2339" s="7" t="s">
        <v>182</v>
      </c>
      <c r="E2339" s="7" t="s">
        <v>20</v>
      </c>
      <c r="F2339" s="6" t="s">
        <v>78</v>
      </c>
      <c r="G2339" s="8">
        <v>382980</v>
      </c>
      <c r="H2339" s="8">
        <v>34508</v>
      </c>
      <c r="I2339" s="8">
        <v>27090</v>
      </c>
      <c r="J2339" s="8">
        <v>2260</v>
      </c>
      <c r="K2339" s="8">
        <v>164</v>
      </c>
      <c r="L2339" s="8">
        <v>178</v>
      </c>
      <c r="M2339" s="8">
        <v>464</v>
      </c>
      <c r="N2339" s="8">
        <v>862</v>
      </c>
      <c r="O2339" s="9">
        <f t="shared" si="36"/>
        <v>0.11317829457364341</v>
      </c>
      <c r="P2339" s="6" t="s">
        <v>22</v>
      </c>
    </row>
    <row r="2340" spans="1:16" x14ac:dyDescent="0.25">
      <c r="A2340" s="2" t="s">
        <v>4749</v>
      </c>
      <c r="B2340" s="2" t="s">
        <v>4750</v>
      </c>
      <c r="C2340" s="2" t="s">
        <v>25</v>
      </c>
      <c r="D2340" s="3" t="s">
        <v>61</v>
      </c>
      <c r="E2340" s="3" t="s">
        <v>34</v>
      </c>
      <c r="F2340" s="2" t="s">
        <v>54</v>
      </c>
      <c r="G2340" s="4">
        <v>781575</v>
      </c>
      <c r="H2340" s="4">
        <v>485651</v>
      </c>
      <c r="I2340" s="4">
        <v>414769</v>
      </c>
      <c r="J2340" s="4">
        <v>33810</v>
      </c>
      <c r="K2340" s="4">
        <v>3201</v>
      </c>
      <c r="L2340" s="4">
        <v>3590</v>
      </c>
      <c r="M2340" s="4">
        <v>4577</v>
      </c>
      <c r="N2340" s="4">
        <v>9256</v>
      </c>
      <c r="O2340" s="5">
        <f t="shared" si="36"/>
        <v>0.10892328018728498</v>
      </c>
      <c r="P2340" s="2" t="s">
        <v>22</v>
      </c>
    </row>
    <row r="2341" spans="1:16" x14ac:dyDescent="0.25">
      <c r="A2341" s="6" t="s">
        <v>4751</v>
      </c>
      <c r="B2341" s="6" t="s">
        <v>4752</v>
      </c>
      <c r="C2341" s="6" t="s">
        <v>32</v>
      </c>
      <c r="D2341" s="7" t="s">
        <v>38</v>
      </c>
      <c r="E2341" s="7" t="s">
        <v>39</v>
      </c>
      <c r="F2341" s="6" t="s">
        <v>35</v>
      </c>
      <c r="G2341" s="8">
        <v>679774</v>
      </c>
      <c r="H2341" s="8">
        <v>345433</v>
      </c>
      <c r="I2341" s="8">
        <v>312229</v>
      </c>
      <c r="J2341" s="8">
        <v>8555</v>
      </c>
      <c r="K2341" s="8">
        <v>1376</v>
      </c>
      <c r="L2341" s="8">
        <v>499</v>
      </c>
      <c r="M2341" s="8">
        <v>35</v>
      </c>
      <c r="N2341" s="8">
        <v>4115</v>
      </c>
      <c r="O2341" s="9">
        <f t="shared" si="36"/>
        <v>3.351706599963488E-2</v>
      </c>
      <c r="P2341" s="6" t="s">
        <v>22</v>
      </c>
    </row>
    <row r="2342" spans="1:16" x14ac:dyDescent="0.25">
      <c r="A2342" s="2" t="s">
        <v>4753</v>
      </c>
      <c r="B2342" s="2" t="s">
        <v>4754</v>
      </c>
      <c r="C2342" s="2" t="s">
        <v>25</v>
      </c>
      <c r="D2342" s="3" t="s">
        <v>26</v>
      </c>
      <c r="E2342" s="3" t="s">
        <v>34</v>
      </c>
      <c r="F2342" s="2" t="s">
        <v>54</v>
      </c>
      <c r="G2342" s="4">
        <v>676116</v>
      </c>
      <c r="H2342" s="4">
        <v>234748</v>
      </c>
      <c r="I2342" s="4">
        <v>204908</v>
      </c>
      <c r="J2342" s="4">
        <v>15299</v>
      </c>
      <c r="K2342" s="4">
        <v>1937</v>
      </c>
      <c r="L2342" s="4">
        <v>680</v>
      </c>
      <c r="M2342" s="4">
        <v>3620</v>
      </c>
      <c r="N2342" s="4">
        <v>7740</v>
      </c>
      <c r="O2342" s="5">
        <f t="shared" si="36"/>
        <v>0.10510082573642805</v>
      </c>
      <c r="P2342" s="2" t="s">
        <v>22</v>
      </c>
    </row>
    <row r="2343" spans="1:16" x14ac:dyDescent="0.25">
      <c r="A2343" s="6" t="s">
        <v>4755</v>
      </c>
      <c r="B2343" s="6" t="s">
        <v>4756</v>
      </c>
      <c r="C2343" s="6" t="s">
        <v>43</v>
      </c>
      <c r="D2343" s="7" t="s">
        <v>44</v>
      </c>
      <c r="E2343" s="7" t="s">
        <v>20</v>
      </c>
      <c r="F2343" s="6" t="s">
        <v>46</v>
      </c>
      <c r="G2343" s="8">
        <v>136873</v>
      </c>
      <c r="H2343" s="8">
        <v>70569</v>
      </c>
      <c r="I2343" s="8">
        <v>56400</v>
      </c>
      <c r="J2343" s="8">
        <v>2179</v>
      </c>
      <c r="K2343" s="8">
        <v>214</v>
      </c>
      <c r="L2343" s="8">
        <v>146</v>
      </c>
      <c r="M2343" s="8">
        <v>43</v>
      </c>
      <c r="N2343" s="8">
        <v>1070</v>
      </c>
      <c r="O2343" s="9">
        <f t="shared" si="36"/>
        <v>4.5780141843971632E-2</v>
      </c>
      <c r="P2343" s="6" t="s">
        <v>22</v>
      </c>
    </row>
    <row r="2344" spans="1:16" x14ac:dyDescent="0.25">
      <c r="A2344" s="2" t="s">
        <v>4757</v>
      </c>
      <c r="B2344" s="2" t="s">
        <v>4758</v>
      </c>
      <c r="C2344" s="2" t="s">
        <v>43</v>
      </c>
      <c r="D2344" s="3" t="s">
        <v>110</v>
      </c>
      <c r="E2344" s="3" t="s">
        <v>20</v>
      </c>
      <c r="F2344" s="2" t="s">
        <v>70</v>
      </c>
      <c r="G2344" s="4">
        <v>107155</v>
      </c>
      <c r="H2344" s="4">
        <v>25794</v>
      </c>
      <c r="I2344" s="4">
        <v>20507</v>
      </c>
      <c r="J2344" s="4">
        <v>569</v>
      </c>
      <c r="K2344" s="4">
        <v>77</v>
      </c>
      <c r="L2344" s="4">
        <v>25</v>
      </c>
      <c r="M2344" s="4">
        <v>14</v>
      </c>
      <c r="N2344" s="4">
        <v>579</v>
      </c>
      <c r="O2344" s="5">
        <f t="shared" si="36"/>
        <v>3.3403228165992102E-2</v>
      </c>
      <c r="P2344" s="2" t="s">
        <v>22</v>
      </c>
    </row>
    <row r="2345" spans="1:16" x14ac:dyDescent="0.25">
      <c r="A2345" s="6" t="s">
        <v>4759</v>
      </c>
      <c r="B2345" s="6" t="s">
        <v>4760</v>
      </c>
      <c r="C2345" s="6" t="s">
        <v>43</v>
      </c>
      <c r="D2345" s="7" t="s">
        <v>110</v>
      </c>
      <c r="E2345" s="7" t="s">
        <v>20</v>
      </c>
      <c r="F2345" s="6" t="s">
        <v>70</v>
      </c>
      <c r="G2345" s="8">
        <v>797446</v>
      </c>
      <c r="H2345" s="8">
        <v>367046</v>
      </c>
      <c r="I2345" s="8">
        <v>283678</v>
      </c>
      <c r="J2345" s="8">
        <v>22493</v>
      </c>
      <c r="K2345" s="8">
        <v>3009</v>
      </c>
      <c r="L2345" s="8">
        <v>2168</v>
      </c>
      <c r="M2345" s="8">
        <v>35</v>
      </c>
      <c r="N2345" s="8">
        <v>4550</v>
      </c>
      <c r="O2345" s="9">
        <f t="shared" si="36"/>
        <v>9.7663548107361164E-2</v>
      </c>
      <c r="P2345" s="6" t="s">
        <v>29</v>
      </c>
    </row>
    <row r="2346" spans="1:16" x14ac:dyDescent="0.25">
      <c r="A2346" s="2" t="s">
        <v>4761</v>
      </c>
      <c r="B2346" s="2" t="s">
        <v>4762</v>
      </c>
      <c r="C2346" s="2" t="s">
        <v>32</v>
      </c>
      <c r="D2346" s="3" t="s">
        <v>175</v>
      </c>
      <c r="E2346" s="3" t="s">
        <v>39</v>
      </c>
      <c r="F2346" s="2" t="s">
        <v>51</v>
      </c>
      <c r="G2346" s="4">
        <v>718121</v>
      </c>
      <c r="H2346" s="4">
        <v>272848</v>
      </c>
      <c r="I2346" s="4">
        <v>198845</v>
      </c>
      <c r="J2346" s="4">
        <v>15917</v>
      </c>
      <c r="K2346" s="4">
        <v>836</v>
      </c>
      <c r="L2346" s="4">
        <v>2332</v>
      </c>
      <c r="M2346" s="4">
        <v>20</v>
      </c>
      <c r="N2346" s="4">
        <v>3905</v>
      </c>
      <c r="O2346" s="5">
        <f t="shared" si="36"/>
        <v>9.6079861198420879E-2</v>
      </c>
      <c r="P2346" s="2" t="s">
        <v>22</v>
      </c>
    </row>
    <row r="2347" spans="1:16" x14ac:dyDescent="0.25">
      <c r="A2347" s="6" t="s">
        <v>4763</v>
      </c>
      <c r="B2347" s="6" t="s">
        <v>4764</v>
      </c>
      <c r="C2347" s="6" t="s">
        <v>32</v>
      </c>
      <c r="D2347" s="7" t="s">
        <v>33</v>
      </c>
      <c r="E2347" s="7" t="s">
        <v>50</v>
      </c>
      <c r="F2347" s="6" t="s">
        <v>35</v>
      </c>
      <c r="G2347" s="8">
        <v>784874</v>
      </c>
      <c r="H2347" s="8">
        <v>351279</v>
      </c>
      <c r="I2347" s="8">
        <v>297249</v>
      </c>
      <c r="J2347" s="8">
        <v>8464</v>
      </c>
      <c r="K2347" s="8">
        <v>1515</v>
      </c>
      <c r="L2347" s="8">
        <v>795</v>
      </c>
      <c r="M2347" s="8">
        <v>50</v>
      </c>
      <c r="N2347" s="8">
        <v>6335</v>
      </c>
      <c r="O2347" s="9">
        <f t="shared" si="36"/>
        <v>3.6413915606108009E-2</v>
      </c>
      <c r="P2347" s="6" t="s">
        <v>29</v>
      </c>
    </row>
    <row r="2348" spans="1:16" x14ac:dyDescent="0.25">
      <c r="A2348" s="2" t="s">
        <v>4765</v>
      </c>
      <c r="B2348" s="2" t="s">
        <v>4766</v>
      </c>
      <c r="C2348" s="2" t="s">
        <v>43</v>
      </c>
      <c r="D2348" s="3" t="s">
        <v>110</v>
      </c>
      <c r="E2348" s="3" t="s">
        <v>27</v>
      </c>
      <c r="F2348" s="2" t="s">
        <v>107</v>
      </c>
      <c r="G2348" s="4">
        <v>307191</v>
      </c>
      <c r="H2348" s="4">
        <v>82012</v>
      </c>
      <c r="I2348" s="4">
        <v>67977</v>
      </c>
      <c r="J2348" s="4">
        <v>5105</v>
      </c>
      <c r="K2348" s="4">
        <v>202</v>
      </c>
      <c r="L2348" s="4">
        <v>574</v>
      </c>
      <c r="M2348" s="4">
        <v>21</v>
      </c>
      <c r="N2348" s="4">
        <v>2251</v>
      </c>
      <c r="O2348" s="5">
        <f t="shared" si="36"/>
        <v>8.6823484413845853E-2</v>
      </c>
      <c r="P2348" s="2" t="s">
        <v>22</v>
      </c>
    </row>
    <row r="2349" spans="1:16" x14ac:dyDescent="0.25">
      <c r="A2349" s="6" t="s">
        <v>4767</v>
      </c>
      <c r="B2349" s="6" t="s">
        <v>4768</v>
      </c>
      <c r="C2349" s="6" t="s">
        <v>76</v>
      </c>
      <c r="D2349" s="7" t="s">
        <v>189</v>
      </c>
      <c r="E2349" s="7" t="s">
        <v>50</v>
      </c>
      <c r="F2349" s="6" t="s">
        <v>104</v>
      </c>
      <c r="G2349" s="8">
        <v>226647</v>
      </c>
      <c r="H2349" s="8">
        <v>91891</v>
      </c>
      <c r="I2349" s="8">
        <v>72430</v>
      </c>
      <c r="J2349" s="8">
        <v>2922</v>
      </c>
      <c r="K2349" s="8">
        <v>488</v>
      </c>
      <c r="L2349" s="8">
        <v>280</v>
      </c>
      <c r="M2349" s="8">
        <v>662</v>
      </c>
      <c r="N2349" s="8">
        <v>1432</v>
      </c>
      <c r="O2349" s="9">
        <f t="shared" si="36"/>
        <v>6.0085599889548529E-2</v>
      </c>
      <c r="P2349" s="6" t="s">
        <v>29</v>
      </c>
    </row>
    <row r="2350" spans="1:16" x14ac:dyDescent="0.25">
      <c r="A2350" s="2" t="s">
        <v>4769</v>
      </c>
      <c r="B2350" s="2" t="s">
        <v>4770</v>
      </c>
      <c r="C2350" s="2" t="s">
        <v>32</v>
      </c>
      <c r="D2350" s="3" t="s">
        <v>33</v>
      </c>
      <c r="E2350" s="3" t="s">
        <v>34</v>
      </c>
      <c r="F2350" s="2" t="s">
        <v>35</v>
      </c>
      <c r="G2350" s="4">
        <v>583364</v>
      </c>
      <c r="H2350" s="4">
        <v>97777</v>
      </c>
      <c r="I2350" s="4">
        <v>71351</v>
      </c>
      <c r="J2350" s="4">
        <v>2213</v>
      </c>
      <c r="K2350" s="4">
        <v>304</v>
      </c>
      <c r="L2350" s="4">
        <v>79</v>
      </c>
      <c r="M2350" s="4">
        <v>50</v>
      </c>
      <c r="N2350" s="4">
        <v>577</v>
      </c>
      <c r="O2350" s="5">
        <f t="shared" si="36"/>
        <v>3.7084273521043855E-2</v>
      </c>
      <c r="P2350" s="2" t="s">
        <v>29</v>
      </c>
    </row>
    <row r="2351" spans="1:16" x14ac:dyDescent="0.25">
      <c r="A2351" s="6" t="s">
        <v>4771</v>
      </c>
      <c r="B2351" s="6" t="s">
        <v>4772</v>
      </c>
      <c r="C2351" s="6" t="s">
        <v>32</v>
      </c>
      <c r="D2351" s="7" t="s">
        <v>33</v>
      </c>
      <c r="E2351" s="7" t="s">
        <v>34</v>
      </c>
      <c r="F2351" s="6" t="s">
        <v>35</v>
      </c>
      <c r="G2351" s="8">
        <v>193555</v>
      </c>
      <c r="H2351" s="8">
        <v>50988</v>
      </c>
      <c r="I2351" s="8">
        <v>42266</v>
      </c>
      <c r="J2351" s="8">
        <v>1349</v>
      </c>
      <c r="K2351" s="8">
        <v>215</v>
      </c>
      <c r="L2351" s="8">
        <v>161</v>
      </c>
      <c r="M2351" s="8">
        <v>48</v>
      </c>
      <c r="N2351" s="8">
        <v>320</v>
      </c>
      <c r="O2351" s="9">
        <f t="shared" si="36"/>
        <v>4.1948611176832441E-2</v>
      </c>
      <c r="P2351" s="6" t="s">
        <v>29</v>
      </c>
    </row>
    <row r="2352" spans="1:16" x14ac:dyDescent="0.25">
      <c r="A2352" s="2" t="s">
        <v>4773</v>
      </c>
      <c r="B2352" s="2" t="s">
        <v>4774</v>
      </c>
      <c r="C2352" s="2" t="s">
        <v>76</v>
      </c>
      <c r="D2352" s="3" t="s">
        <v>189</v>
      </c>
      <c r="E2352" s="3" t="s">
        <v>34</v>
      </c>
      <c r="F2352" s="2" t="s">
        <v>87</v>
      </c>
      <c r="G2352" s="4">
        <v>750315</v>
      </c>
      <c r="H2352" s="4">
        <v>462074</v>
      </c>
      <c r="I2352" s="4">
        <v>394065</v>
      </c>
      <c r="J2352" s="4">
        <v>34199</v>
      </c>
      <c r="K2352" s="4">
        <v>2425</v>
      </c>
      <c r="L2352" s="4">
        <v>3613</v>
      </c>
      <c r="M2352" s="4">
        <v>5018</v>
      </c>
      <c r="N2352" s="4">
        <v>11645</v>
      </c>
      <c r="O2352" s="5">
        <f t="shared" si="36"/>
        <v>0.11484146016520118</v>
      </c>
      <c r="P2352" s="2" t="s">
        <v>29</v>
      </c>
    </row>
    <row r="2353" spans="1:16" x14ac:dyDescent="0.25">
      <c r="A2353" s="6" t="s">
        <v>4775</v>
      </c>
      <c r="B2353" s="6" t="s">
        <v>4776</v>
      </c>
      <c r="C2353" s="6" t="s">
        <v>32</v>
      </c>
      <c r="D2353" s="7" t="s">
        <v>121</v>
      </c>
      <c r="E2353" s="7" t="s">
        <v>50</v>
      </c>
      <c r="F2353" s="6" t="s">
        <v>51</v>
      </c>
      <c r="G2353" s="8">
        <v>651732</v>
      </c>
      <c r="H2353" s="8">
        <v>243927</v>
      </c>
      <c r="I2353" s="8">
        <v>221721</v>
      </c>
      <c r="J2353" s="8">
        <v>9932</v>
      </c>
      <c r="K2353" s="8">
        <v>978</v>
      </c>
      <c r="L2353" s="8">
        <v>955</v>
      </c>
      <c r="M2353" s="8">
        <v>9</v>
      </c>
      <c r="N2353" s="8">
        <v>6656</v>
      </c>
      <c r="O2353" s="9">
        <f t="shared" si="36"/>
        <v>5.3553790574641102E-2</v>
      </c>
      <c r="P2353" s="6" t="s">
        <v>22</v>
      </c>
    </row>
    <row r="2354" spans="1:16" x14ac:dyDescent="0.25">
      <c r="A2354" s="2" t="s">
        <v>4777</v>
      </c>
      <c r="B2354" s="2" t="s">
        <v>4778</v>
      </c>
      <c r="C2354" s="2" t="s">
        <v>18</v>
      </c>
      <c r="D2354" s="3" t="s">
        <v>19</v>
      </c>
      <c r="E2354" s="3" t="s">
        <v>20</v>
      </c>
      <c r="F2354" s="2" t="s">
        <v>58</v>
      </c>
      <c r="G2354" s="4">
        <v>245784</v>
      </c>
      <c r="H2354" s="4">
        <v>84569</v>
      </c>
      <c r="I2354" s="4">
        <v>67524</v>
      </c>
      <c r="J2354" s="4">
        <v>4147</v>
      </c>
      <c r="K2354" s="4">
        <v>400</v>
      </c>
      <c r="L2354" s="4">
        <v>218</v>
      </c>
      <c r="M2354" s="4">
        <v>806</v>
      </c>
      <c r="N2354" s="4">
        <v>2505</v>
      </c>
      <c r="O2354" s="5">
        <f t="shared" si="36"/>
        <v>8.2503998578283277E-2</v>
      </c>
      <c r="P2354" s="2" t="s">
        <v>22</v>
      </c>
    </row>
    <row r="2355" spans="1:16" x14ac:dyDescent="0.25">
      <c r="A2355" s="6" t="s">
        <v>4779</v>
      </c>
      <c r="B2355" s="6" t="s">
        <v>4780</v>
      </c>
      <c r="C2355" s="6" t="s">
        <v>32</v>
      </c>
      <c r="D2355" s="7" t="s">
        <v>38</v>
      </c>
      <c r="E2355" s="7" t="s">
        <v>34</v>
      </c>
      <c r="F2355" s="6" t="s">
        <v>51</v>
      </c>
      <c r="G2355" s="8">
        <v>700448</v>
      </c>
      <c r="H2355" s="8">
        <v>175635</v>
      </c>
      <c r="I2355" s="8">
        <v>145753</v>
      </c>
      <c r="J2355" s="8">
        <v>9827</v>
      </c>
      <c r="K2355" s="8">
        <v>673</v>
      </c>
      <c r="L2355" s="8">
        <v>797</v>
      </c>
      <c r="M2355" s="8">
        <v>30</v>
      </c>
      <c r="N2355" s="8">
        <v>1273</v>
      </c>
      <c r="O2355" s="9">
        <f t="shared" si="36"/>
        <v>7.7713666271020151E-2</v>
      </c>
      <c r="P2355" s="6" t="s">
        <v>66</v>
      </c>
    </row>
    <row r="2356" spans="1:16" x14ac:dyDescent="0.25">
      <c r="A2356" s="2" t="s">
        <v>4781</v>
      </c>
      <c r="B2356" s="2" t="s">
        <v>4782</v>
      </c>
      <c r="C2356" s="2" t="s">
        <v>76</v>
      </c>
      <c r="D2356" s="3" t="s">
        <v>182</v>
      </c>
      <c r="E2356" s="3" t="s">
        <v>34</v>
      </c>
      <c r="F2356" s="2" t="s">
        <v>87</v>
      </c>
      <c r="G2356" s="4">
        <v>507252</v>
      </c>
      <c r="H2356" s="4">
        <v>328687</v>
      </c>
      <c r="I2356" s="4">
        <v>294249</v>
      </c>
      <c r="J2356" s="4">
        <v>25887</v>
      </c>
      <c r="K2356" s="4">
        <v>3122</v>
      </c>
      <c r="L2356" s="4">
        <v>2192</v>
      </c>
      <c r="M2356" s="4">
        <v>4755</v>
      </c>
      <c r="N2356" s="4">
        <v>6322</v>
      </c>
      <c r="O2356" s="5">
        <f t="shared" si="36"/>
        <v>0.1221958273435084</v>
      </c>
      <c r="P2356" s="2" t="s">
        <v>29</v>
      </c>
    </row>
    <row r="2357" spans="1:16" x14ac:dyDescent="0.25">
      <c r="A2357" s="6" t="s">
        <v>4783</v>
      </c>
      <c r="B2357" s="6" t="s">
        <v>4784</v>
      </c>
      <c r="C2357" s="6" t="s">
        <v>76</v>
      </c>
      <c r="D2357" s="7" t="s">
        <v>86</v>
      </c>
      <c r="E2357" s="7" t="s">
        <v>50</v>
      </c>
      <c r="F2357" s="6" t="s">
        <v>155</v>
      </c>
      <c r="G2357" s="8">
        <v>388640</v>
      </c>
      <c r="H2357" s="8">
        <v>141953</v>
      </c>
      <c r="I2357" s="8">
        <v>107017</v>
      </c>
      <c r="J2357" s="8">
        <v>11267</v>
      </c>
      <c r="K2357" s="8">
        <v>423</v>
      </c>
      <c r="L2357" s="8">
        <v>450</v>
      </c>
      <c r="M2357" s="8">
        <v>2269</v>
      </c>
      <c r="N2357" s="8">
        <v>2357</v>
      </c>
      <c r="O2357" s="9">
        <f t="shared" si="36"/>
        <v>0.13464215965687695</v>
      </c>
      <c r="P2357" s="6" t="s">
        <v>66</v>
      </c>
    </row>
    <row r="2358" spans="1:16" x14ac:dyDescent="0.25">
      <c r="A2358" s="2" t="s">
        <v>4785</v>
      </c>
      <c r="B2358" s="2" t="s">
        <v>4786</v>
      </c>
      <c r="C2358" s="2" t="s">
        <v>18</v>
      </c>
      <c r="D2358" s="3" t="s">
        <v>231</v>
      </c>
      <c r="E2358" s="3" t="s">
        <v>27</v>
      </c>
      <c r="F2358" s="2" t="s">
        <v>58</v>
      </c>
      <c r="G2358" s="4">
        <v>765493</v>
      </c>
      <c r="H2358" s="4">
        <v>226939</v>
      </c>
      <c r="I2358" s="4">
        <v>174842</v>
      </c>
      <c r="J2358" s="4">
        <v>4682</v>
      </c>
      <c r="K2358" s="4">
        <v>821</v>
      </c>
      <c r="L2358" s="4">
        <v>555</v>
      </c>
      <c r="M2358" s="4">
        <v>932</v>
      </c>
      <c r="N2358" s="4">
        <v>5636</v>
      </c>
      <c r="O2358" s="5">
        <f t="shared" si="36"/>
        <v>3.9978952425618559E-2</v>
      </c>
      <c r="P2358" s="2" t="s">
        <v>22</v>
      </c>
    </row>
    <row r="2359" spans="1:16" x14ac:dyDescent="0.25">
      <c r="A2359" s="6" t="s">
        <v>4787</v>
      </c>
      <c r="B2359" s="6" t="s">
        <v>4788</v>
      </c>
      <c r="C2359" s="6" t="s">
        <v>18</v>
      </c>
      <c r="D2359" s="7" t="s">
        <v>57</v>
      </c>
      <c r="E2359" s="7" t="s">
        <v>39</v>
      </c>
      <c r="F2359" s="6" t="s">
        <v>58</v>
      </c>
      <c r="G2359" s="8">
        <v>763789</v>
      </c>
      <c r="H2359" s="8">
        <v>356463</v>
      </c>
      <c r="I2359" s="8">
        <v>263907</v>
      </c>
      <c r="J2359" s="8">
        <v>15232</v>
      </c>
      <c r="K2359" s="8">
        <v>1051</v>
      </c>
      <c r="L2359" s="8">
        <v>1686</v>
      </c>
      <c r="M2359" s="8">
        <v>3164</v>
      </c>
      <c r="N2359" s="8">
        <v>3970</v>
      </c>
      <c r="O2359" s="9">
        <f t="shared" si="36"/>
        <v>8.0077451526484711E-2</v>
      </c>
      <c r="P2359" s="6" t="s">
        <v>22</v>
      </c>
    </row>
    <row r="2360" spans="1:16" x14ac:dyDescent="0.25">
      <c r="A2360" s="2" t="s">
        <v>4789</v>
      </c>
      <c r="B2360" s="2" t="s">
        <v>4790</v>
      </c>
      <c r="C2360" s="2" t="s">
        <v>32</v>
      </c>
      <c r="D2360" s="3" t="s">
        <v>49</v>
      </c>
      <c r="E2360" s="3" t="s">
        <v>39</v>
      </c>
      <c r="F2360" s="2" t="s">
        <v>40</v>
      </c>
      <c r="G2360" s="4">
        <v>416124</v>
      </c>
      <c r="H2360" s="4">
        <v>93931</v>
      </c>
      <c r="I2360" s="4">
        <v>83678</v>
      </c>
      <c r="J2360" s="4">
        <v>2094</v>
      </c>
      <c r="K2360" s="4">
        <v>162</v>
      </c>
      <c r="L2360" s="4">
        <v>213</v>
      </c>
      <c r="M2360" s="4">
        <v>21</v>
      </c>
      <c r="N2360" s="4">
        <v>1577</v>
      </c>
      <c r="O2360" s="5">
        <f t="shared" si="36"/>
        <v>2.9756925356724587E-2</v>
      </c>
      <c r="P2360" s="2" t="s">
        <v>66</v>
      </c>
    </row>
    <row r="2361" spans="1:16" x14ac:dyDescent="0.25">
      <c r="A2361" s="6" t="s">
        <v>4791</v>
      </c>
      <c r="B2361" s="6" t="s">
        <v>4792</v>
      </c>
      <c r="C2361" s="6" t="s">
        <v>32</v>
      </c>
      <c r="D2361" s="7" t="s">
        <v>49</v>
      </c>
      <c r="E2361" s="7" t="s">
        <v>39</v>
      </c>
      <c r="F2361" s="6" t="s">
        <v>51</v>
      </c>
      <c r="G2361" s="8">
        <v>748044</v>
      </c>
      <c r="H2361" s="8">
        <v>397771</v>
      </c>
      <c r="I2361" s="8">
        <v>309829</v>
      </c>
      <c r="J2361" s="8">
        <v>9798</v>
      </c>
      <c r="K2361" s="8">
        <v>674</v>
      </c>
      <c r="L2361" s="8">
        <v>763</v>
      </c>
      <c r="M2361" s="8">
        <v>29</v>
      </c>
      <c r="N2361" s="8">
        <v>12372</v>
      </c>
      <c r="O2361" s="9">
        <f t="shared" si="36"/>
        <v>3.6355538054862524E-2</v>
      </c>
      <c r="P2361" s="6" t="s">
        <v>66</v>
      </c>
    </row>
    <row r="2362" spans="1:16" x14ac:dyDescent="0.25">
      <c r="A2362" s="2" t="s">
        <v>4793</v>
      </c>
      <c r="B2362" s="2" t="s">
        <v>4794</v>
      </c>
      <c r="C2362" s="2" t="s">
        <v>76</v>
      </c>
      <c r="D2362" s="3" t="s">
        <v>103</v>
      </c>
      <c r="E2362" s="3" t="s">
        <v>27</v>
      </c>
      <c r="F2362" s="2" t="s">
        <v>87</v>
      </c>
      <c r="G2362" s="4">
        <v>97297</v>
      </c>
      <c r="H2362" s="4">
        <v>44056</v>
      </c>
      <c r="I2362" s="4">
        <v>39209</v>
      </c>
      <c r="J2362" s="4">
        <v>2873</v>
      </c>
      <c r="K2362" s="4">
        <v>462</v>
      </c>
      <c r="L2362" s="4">
        <v>314</v>
      </c>
      <c r="M2362" s="4">
        <v>417</v>
      </c>
      <c r="N2362" s="4">
        <v>1055</v>
      </c>
      <c r="O2362" s="5">
        <f t="shared" si="36"/>
        <v>0.10370068096610473</v>
      </c>
      <c r="P2362" s="2" t="s">
        <v>29</v>
      </c>
    </row>
    <row r="2363" spans="1:16" x14ac:dyDescent="0.25">
      <c r="A2363" s="6" t="s">
        <v>4795</v>
      </c>
      <c r="B2363" s="6" t="s">
        <v>4796</v>
      </c>
      <c r="C2363" s="6" t="s">
        <v>25</v>
      </c>
      <c r="D2363" s="7" t="s">
        <v>26</v>
      </c>
      <c r="E2363" s="7" t="s">
        <v>45</v>
      </c>
      <c r="F2363" s="6" t="s">
        <v>146</v>
      </c>
      <c r="G2363" s="8">
        <v>805102</v>
      </c>
      <c r="H2363" s="8">
        <v>209837</v>
      </c>
      <c r="I2363" s="8">
        <v>172004</v>
      </c>
      <c r="J2363" s="8">
        <v>9744</v>
      </c>
      <c r="K2363" s="8">
        <v>977</v>
      </c>
      <c r="L2363" s="8">
        <v>272</v>
      </c>
      <c r="M2363" s="8">
        <v>1189</v>
      </c>
      <c r="N2363" s="8">
        <v>4302</v>
      </c>
      <c r="O2363" s="9">
        <f t="shared" si="36"/>
        <v>7.0823934327108679E-2</v>
      </c>
      <c r="P2363" s="6" t="s">
        <v>22</v>
      </c>
    </row>
    <row r="2364" spans="1:16" x14ac:dyDescent="0.25">
      <c r="A2364" s="2" t="s">
        <v>4797</v>
      </c>
      <c r="B2364" s="2" t="s">
        <v>4798</v>
      </c>
      <c r="C2364" s="2" t="s">
        <v>25</v>
      </c>
      <c r="D2364" s="3" t="s">
        <v>61</v>
      </c>
      <c r="E2364" s="3" t="s">
        <v>27</v>
      </c>
      <c r="F2364" s="2" t="s">
        <v>65</v>
      </c>
      <c r="G2364" s="4">
        <v>641066</v>
      </c>
      <c r="H2364" s="4">
        <v>391278</v>
      </c>
      <c r="I2364" s="4">
        <v>299068</v>
      </c>
      <c r="J2364" s="4">
        <v>20716</v>
      </c>
      <c r="K2364" s="4">
        <v>3647</v>
      </c>
      <c r="L2364" s="4">
        <v>2947</v>
      </c>
      <c r="M2364" s="4">
        <v>1075</v>
      </c>
      <c r="N2364" s="4">
        <v>9666</v>
      </c>
      <c r="O2364" s="5">
        <f t="shared" si="36"/>
        <v>9.4911525138095684E-2</v>
      </c>
      <c r="P2364" s="2" t="s">
        <v>22</v>
      </c>
    </row>
    <row r="2365" spans="1:16" x14ac:dyDescent="0.25">
      <c r="A2365" s="6" t="s">
        <v>4799</v>
      </c>
      <c r="B2365" s="6" t="s">
        <v>4800</v>
      </c>
      <c r="C2365" s="6" t="s">
        <v>25</v>
      </c>
      <c r="D2365" s="7" t="s">
        <v>64</v>
      </c>
      <c r="E2365" s="7" t="s">
        <v>39</v>
      </c>
      <c r="F2365" s="6" t="s">
        <v>146</v>
      </c>
      <c r="G2365" s="8">
        <v>496342</v>
      </c>
      <c r="H2365" s="8">
        <v>158727</v>
      </c>
      <c r="I2365" s="8">
        <v>113355</v>
      </c>
      <c r="J2365" s="8">
        <v>7313</v>
      </c>
      <c r="K2365" s="8">
        <v>817</v>
      </c>
      <c r="L2365" s="8">
        <v>655</v>
      </c>
      <c r="M2365" s="8">
        <v>476</v>
      </c>
      <c r="N2365" s="8">
        <v>3173</v>
      </c>
      <c r="O2365" s="9">
        <f t="shared" si="36"/>
        <v>8.1699086939261617E-2</v>
      </c>
      <c r="P2365" s="6" t="s">
        <v>22</v>
      </c>
    </row>
    <row r="2366" spans="1:16" x14ac:dyDescent="0.25">
      <c r="A2366" s="2" t="s">
        <v>4801</v>
      </c>
      <c r="B2366" s="2" t="s">
        <v>4802</v>
      </c>
      <c r="C2366" s="2" t="s">
        <v>43</v>
      </c>
      <c r="D2366" s="3" t="s">
        <v>110</v>
      </c>
      <c r="E2366" s="3" t="s">
        <v>20</v>
      </c>
      <c r="F2366" s="2" t="s">
        <v>107</v>
      </c>
      <c r="G2366" s="4">
        <v>658283</v>
      </c>
      <c r="H2366" s="4">
        <v>76348</v>
      </c>
      <c r="I2366" s="4">
        <v>59376</v>
      </c>
      <c r="J2366" s="4">
        <v>3421</v>
      </c>
      <c r="K2366" s="4">
        <v>146</v>
      </c>
      <c r="L2366" s="4">
        <v>262</v>
      </c>
      <c r="M2366" s="4">
        <v>23</v>
      </c>
      <c r="N2366" s="4">
        <v>1151</v>
      </c>
      <c r="O2366" s="5">
        <f t="shared" si="36"/>
        <v>6.4874696847210991E-2</v>
      </c>
      <c r="P2366" s="2" t="s">
        <v>29</v>
      </c>
    </row>
    <row r="2367" spans="1:16" x14ac:dyDescent="0.25">
      <c r="A2367" s="6" t="s">
        <v>4803</v>
      </c>
      <c r="B2367" s="6" t="s">
        <v>4804</v>
      </c>
      <c r="C2367" s="6" t="s">
        <v>18</v>
      </c>
      <c r="D2367" s="7" t="s">
        <v>19</v>
      </c>
      <c r="E2367" s="7" t="s">
        <v>45</v>
      </c>
      <c r="F2367" s="6" t="s">
        <v>73</v>
      </c>
      <c r="G2367" s="8">
        <v>341361</v>
      </c>
      <c r="H2367" s="8">
        <v>157320</v>
      </c>
      <c r="I2367" s="8">
        <v>116871</v>
      </c>
      <c r="J2367" s="8">
        <v>10545</v>
      </c>
      <c r="K2367" s="8">
        <v>555</v>
      </c>
      <c r="L2367" s="8">
        <v>413</v>
      </c>
      <c r="M2367" s="8">
        <v>2168</v>
      </c>
      <c r="N2367" s="8">
        <v>4154</v>
      </c>
      <c r="O2367" s="9">
        <f t="shared" si="36"/>
        <v>0.11706069084717338</v>
      </c>
      <c r="P2367" s="6" t="s">
        <v>29</v>
      </c>
    </row>
    <row r="2368" spans="1:16" x14ac:dyDescent="0.25">
      <c r="A2368" s="2" t="s">
        <v>4805</v>
      </c>
      <c r="B2368" s="2" t="s">
        <v>4806</v>
      </c>
      <c r="C2368" s="2" t="s">
        <v>43</v>
      </c>
      <c r="D2368" s="3" t="s">
        <v>69</v>
      </c>
      <c r="E2368" s="3" t="s">
        <v>27</v>
      </c>
      <c r="F2368" s="2" t="s">
        <v>107</v>
      </c>
      <c r="G2368" s="4">
        <v>524536</v>
      </c>
      <c r="H2368" s="4">
        <v>259086</v>
      </c>
      <c r="I2368" s="4">
        <v>201352</v>
      </c>
      <c r="J2368" s="4">
        <v>19257</v>
      </c>
      <c r="K2368" s="4">
        <v>2452</v>
      </c>
      <c r="L2368" s="4">
        <v>1136</v>
      </c>
      <c r="M2368" s="4">
        <v>10</v>
      </c>
      <c r="N2368" s="4">
        <v>4486</v>
      </c>
      <c r="O2368" s="5">
        <f t="shared" si="36"/>
        <v>0.11350768802892447</v>
      </c>
      <c r="P2368" s="2" t="s">
        <v>29</v>
      </c>
    </row>
    <row r="2369" spans="1:16" x14ac:dyDescent="0.25">
      <c r="A2369" s="6" t="s">
        <v>4807</v>
      </c>
      <c r="B2369" s="6" t="s">
        <v>4808</v>
      </c>
      <c r="C2369" s="6" t="s">
        <v>32</v>
      </c>
      <c r="D2369" s="7" t="s">
        <v>38</v>
      </c>
      <c r="E2369" s="7" t="s">
        <v>45</v>
      </c>
      <c r="F2369" s="6" t="s">
        <v>40</v>
      </c>
      <c r="G2369" s="8">
        <v>339049</v>
      </c>
      <c r="H2369" s="8">
        <v>1552850</v>
      </c>
      <c r="I2369" s="8">
        <v>1170826</v>
      </c>
      <c r="J2369" s="8">
        <v>101698</v>
      </c>
      <c r="K2369" s="8">
        <v>17135</v>
      </c>
      <c r="L2369" s="8">
        <v>3658</v>
      </c>
      <c r="M2369" s="8">
        <v>35</v>
      </c>
      <c r="N2369" s="8">
        <v>51982</v>
      </c>
      <c r="O2369" s="9">
        <f t="shared" si="36"/>
        <v>0.10464919637930828</v>
      </c>
      <c r="P2369" s="6" t="s">
        <v>29</v>
      </c>
    </row>
    <row r="2370" spans="1:16" x14ac:dyDescent="0.25">
      <c r="A2370" s="2" t="s">
        <v>4809</v>
      </c>
      <c r="B2370" s="2" t="s">
        <v>4810</v>
      </c>
      <c r="C2370" s="2" t="s">
        <v>43</v>
      </c>
      <c r="D2370" s="3" t="s">
        <v>69</v>
      </c>
      <c r="E2370" s="3" t="s">
        <v>50</v>
      </c>
      <c r="F2370" s="2" t="s">
        <v>46</v>
      </c>
      <c r="G2370" s="4">
        <v>778482</v>
      </c>
      <c r="H2370" s="4">
        <v>477414</v>
      </c>
      <c r="I2370" s="4">
        <v>412980</v>
      </c>
      <c r="J2370" s="4">
        <v>30950</v>
      </c>
      <c r="K2370" s="4">
        <v>2499</v>
      </c>
      <c r="L2370" s="4">
        <v>1066</v>
      </c>
      <c r="M2370" s="4">
        <v>0</v>
      </c>
      <c r="N2370" s="4">
        <v>6971</v>
      </c>
      <c r="O2370" s="5">
        <f t="shared" ref="O2370:O2433" si="37">IF(I2370&gt;0, (J2370+K2370+L2370+M2370)/I2370, 0)</f>
        <v>8.357547580996659E-2</v>
      </c>
      <c r="P2370" s="2" t="s">
        <v>22</v>
      </c>
    </row>
    <row r="2371" spans="1:16" x14ac:dyDescent="0.25">
      <c r="A2371" s="6" t="s">
        <v>4811</v>
      </c>
      <c r="B2371" s="6" t="s">
        <v>4812</v>
      </c>
      <c r="C2371" s="6" t="s">
        <v>43</v>
      </c>
      <c r="D2371" s="7" t="s">
        <v>69</v>
      </c>
      <c r="E2371" s="7" t="s">
        <v>39</v>
      </c>
      <c r="F2371" s="6" t="s">
        <v>107</v>
      </c>
      <c r="G2371" s="8">
        <v>518213</v>
      </c>
      <c r="H2371" s="8">
        <v>118254</v>
      </c>
      <c r="I2371" s="8">
        <v>94100</v>
      </c>
      <c r="J2371" s="8">
        <v>6539</v>
      </c>
      <c r="K2371" s="8">
        <v>634</v>
      </c>
      <c r="L2371" s="8">
        <v>820</v>
      </c>
      <c r="M2371" s="8">
        <v>46</v>
      </c>
      <c r="N2371" s="8">
        <v>2535</v>
      </c>
      <c r="O2371" s="9">
        <f t="shared" si="37"/>
        <v>8.5430393198724766E-2</v>
      </c>
      <c r="P2371" s="6" t="s">
        <v>22</v>
      </c>
    </row>
    <row r="2372" spans="1:16" x14ac:dyDescent="0.25">
      <c r="A2372" s="2" t="s">
        <v>4813</v>
      </c>
      <c r="B2372" s="2" t="s">
        <v>4814</v>
      </c>
      <c r="C2372" s="2" t="s">
        <v>18</v>
      </c>
      <c r="D2372" s="3" t="s">
        <v>57</v>
      </c>
      <c r="E2372" s="3" t="s">
        <v>50</v>
      </c>
      <c r="F2372" s="2" t="s">
        <v>21</v>
      </c>
      <c r="G2372" s="4">
        <v>232408</v>
      </c>
      <c r="H2372" s="4">
        <v>126854</v>
      </c>
      <c r="I2372" s="4">
        <v>96514</v>
      </c>
      <c r="J2372" s="4">
        <v>6906</v>
      </c>
      <c r="K2372" s="4">
        <v>1216</v>
      </c>
      <c r="L2372" s="4">
        <v>316</v>
      </c>
      <c r="M2372" s="4">
        <v>1007</v>
      </c>
      <c r="N2372" s="4">
        <v>4037</v>
      </c>
      <c r="O2372" s="5">
        <f t="shared" si="37"/>
        <v>9.7861450152309515E-2</v>
      </c>
      <c r="P2372" s="2" t="s">
        <v>22</v>
      </c>
    </row>
    <row r="2373" spans="1:16" x14ac:dyDescent="0.25">
      <c r="A2373" s="6" t="s">
        <v>4815</v>
      </c>
      <c r="B2373" s="6" t="s">
        <v>4816</v>
      </c>
      <c r="C2373" s="6" t="s">
        <v>25</v>
      </c>
      <c r="D2373" s="7" t="s">
        <v>61</v>
      </c>
      <c r="E2373" s="7" t="s">
        <v>34</v>
      </c>
      <c r="F2373" s="6" t="s">
        <v>54</v>
      </c>
      <c r="G2373" s="8">
        <v>364183</v>
      </c>
      <c r="H2373" s="8">
        <v>904483</v>
      </c>
      <c r="I2373" s="8">
        <v>674275</v>
      </c>
      <c r="J2373" s="8">
        <v>66175</v>
      </c>
      <c r="K2373" s="8">
        <v>6935</v>
      </c>
      <c r="L2373" s="8">
        <v>3803</v>
      </c>
      <c r="M2373" s="8">
        <v>7454</v>
      </c>
      <c r="N2373" s="8">
        <v>13290</v>
      </c>
      <c r="O2373" s="9">
        <f t="shared" si="37"/>
        <v>0.12512253902339551</v>
      </c>
      <c r="P2373" s="6" t="s">
        <v>22</v>
      </c>
    </row>
    <row r="2374" spans="1:16" x14ac:dyDescent="0.25">
      <c r="A2374" s="2" t="s">
        <v>4817</v>
      </c>
      <c r="B2374" s="2" t="s">
        <v>4818</v>
      </c>
      <c r="C2374" s="2" t="s">
        <v>76</v>
      </c>
      <c r="D2374" s="3" t="s">
        <v>103</v>
      </c>
      <c r="E2374" s="3" t="s">
        <v>39</v>
      </c>
      <c r="F2374" s="2" t="s">
        <v>155</v>
      </c>
      <c r="G2374" s="4">
        <v>790556</v>
      </c>
      <c r="H2374" s="4">
        <v>344570</v>
      </c>
      <c r="I2374" s="4">
        <v>283928</v>
      </c>
      <c r="J2374" s="4">
        <v>10278</v>
      </c>
      <c r="K2374" s="4">
        <v>425</v>
      </c>
      <c r="L2374" s="4">
        <v>680</v>
      </c>
      <c r="M2374" s="4">
        <v>1721</v>
      </c>
      <c r="N2374" s="4">
        <v>6383</v>
      </c>
      <c r="O2374" s="5">
        <f t="shared" si="37"/>
        <v>4.6152545715815278E-2</v>
      </c>
      <c r="P2374" s="2" t="s">
        <v>66</v>
      </c>
    </row>
    <row r="2375" spans="1:16" x14ac:dyDescent="0.25">
      <c r="A2375" s="6" t="s">
        <v>4819</v>
      </c>
      <c r="B2375" s="6" t="s">
        <v>4820</v>
      </c>
      <c r="C2375" s="6" t="s">
        <v>43</v>
      </c>
      <c r="D2375" s="7" t="s">
        <v>110</v>
      </c>
      <c r="E2375" s="7" t="s">
        <v>27</v>
      </c>
      <c r="F2375" s="6" t="s">
        <v>70</v>
      </c>
      <c r="G2375" s="8">
        <v>638459</v>
      </c>
      <c r="H2375" s="8">
        <v>210868</v>
      </c>
      <c r="I2375" s="8">
        <v>170092</v>
      </c>
      <c r="J2375" s="8">
        <v>13335</v>
      </c>
      <c r="K2375" s="8">
        <v>1177</v>
      </c>
      <c r="L2375" s="8">
        <v>899</v>
      </c>
      <c r="M2375" s="8">
        <v>39</v>
      </c>
      <c r="N2375" s="8">
        <v>3845</v>
      </c>
      <c r="O2375" s="9">
        <f t="shared" si="37"/>
        <v>9.0833196152670326E-2</v>
      </c>
      <c r="P2375" s="6" t="s">
        <v>22</v>
      </c>
    </row>
    <row r="2376" spans="1:16" x14ac:dyDescent="0.25">
      <c r="A2376" s="2" t="s">
        <v>4821</v>
      </c>
      <c r="B2376" s="2" t="s">
        <v>4822</v>
      </c>
      <c r="C2376" s="2" t="s">
        <v>18</v>
      </c>
      <c r="D2376" s="3" t="s">
        <v>92</v>
      </c>
      <c r="E2376" s="3" t="s">
        <v>45</v>
      </c>
      <c r="F2376" s="2" t="s">
        <v>73</v>
      </c>
      <c r="G2376" s="4">
        <v>718698</v>
      </c>
      <c r="H2376" s="4">
        <v>427481</v>
      </c>
      <c r="I2376" s="4">
        <v>341809</v>
      </c>
      <c r="J2376" s="4">
        <v>14826</v>
      </c>
      <c r="K2376" s="4">
        <v>2223</v>
      </c>
      <c r="L2376" s="4">
        <v>1476</v>
      </c>
      <c r="M2376" s="4">
        <v>1491</v>
      </c>
      <c r="N2376" s="4">
        <v>5503</v>
      </c>
      <c r="O2376" s="5">
        <f t="shared" si="37"/>
        <v>5.8559019803457485E-2</v>
      </c>
      <c r="P2376" s="2" t="s">
        <v>66</v>
      </c>
    </row>
    <row r="2377" spans="1:16" x14ac:dyDescent="0.25">
      <c r="A2377" s="6" t="s">
        <v>4823</v>
      </c>
      <c r="B2377" s="6" t="s">
        <v>4824</v>
      </c>
      <c r="C2377" s="6" t="s">
        <v>76</v>
      </c>
      <c r="D2377" s="7" t="s">
        <v>182</v>
      </c>
      <c r="E2377" s="7" t="s">
        <v>20</v>
      </c>
      <c r="F2377" s="6" t="s">
        <v>78</v>
      </c>
      <c r="G2377" s="8">
        <v>192387</v>
      </c>
      <c r="H2377" s="8">
        <v>42912</v>
      </c>
      <c r="I2377" s="8">
        <v>34601</v>
      </c>
      <c r="J2377" s="8">
        <v>1468</v>
      </c>
      <c r="K2377" s="8">
        <v>185</v>
      </c>
      <c r="L2377" s="8">
        <v>44</v>
      </c>
      <c r="M2377" s="8">
        <v>138</v>
      </c>
      <c r="N2377" s="8">
        <v>567</v>
      </c>
      <c r="O2377" s="9">
        <f t="shared" si="37"/>
        <v>5.303314933094419E-2</v>
      </c>
      <c r="P2377" s="6" t="s">
        <v>22</v>
      </c>
    </row>
    <row r="2378" spans="1:16" x14ac:dyDescent="0.25">
      <c r="A2378" s="2" t="s">
        <v>4825</v>
      </c>
      <c r="B2378" s="2" t="s">
        <v>4826</v>
      </c>
      <c r="C2378" s="2" t="s">
        <v>76</v>
      </c>
      <c r="D2378" s="3" t="s">
        <v>189</v>
      </c>
      <c r="E2378" s="3" t="s">
        <v>34</v>
      </c>
      <c r="F2378" s="2" t="s">
        <v>104</v>
      </c>
      <c r="G2378" s="4">
        <v>350742</v>
      </c>
      <c r="H2378" s="4">
        <v>146539</v>
      </c>
      <c r="I2378" s="4">
        <v>119917</v>
      </c>
      <c r="J2378" s="4">
        <v>11489</v>
      </c>
      <c r="K2378" s="4">
        <v>563</v>
      </c>
      <c r="L2378" s="4">
        <v>509</v>
      </c>
      <c r="M2378" s="4">
        <v>1940</v>
      </c>
      <c r="N2378" s="4">
        <v>3542</v>
      </c>
      <c r="O2378" s="5">
        <f t="shared" si="37"/>
        <v>0.12092530667044706</v>
      </c>
      <c r="P2378" s="2" t="s">
        <v>22</v>
      </c>
    </row>
    <row r="2379" spans="1:16" x14ac:dyDescent="0.25">
      <c r="A2379" s="6" t="s">
        <v>4827</v>
      </c>
      <c r="B2379" s="6" t="s">
        <v>4828</v>
      </c>
      <c r="C2379" s="6" t="s">
        <v>18</v>
      </c>
      <c r="D2379" s="7" t="s">
        <v>231</v>
      </c>
      <c r="E2379" s="7" t="s">
        <v>50</v>
      </c>
      <c r="F2379" s="6" t="s">
        <v>73</v>
      </c>
      <c r="G2379" s="8">
        <v>121314</v>
      </c>
      <c r="H2379" s="8">
        <v>35966</v>
      </c>
      <c r="I2379" s="8">
        <v>28058</v>
      </c>
      <c r="J2379" s="8">
        <v>789</v>
      </c>
      <c r="K2379" s="8">
        <v>109</v>
      </c>
      <c r="L2379" s="8">
        <v>22</v>
      </c>
      <c r="M2379" s="8">
        <v>74</v>
      </c>
      <c r="N2379" s="8">
        <v>506</v>
      </c>
      <c r="O2379" s="9">
        <f t="shared" si="37"/>
        <v>3.5426616294817879E-2</v>
      </c>
      <c r="P2379" s="6" t="s">
        <v>22</v>
      </c>
    </row>
    <row r="2380" spans="1:16" x14ac:dyDescent="0.25">
      <c r="A2380" s="2" t="s">
        <v>4829</v>
      </c>
      <c r="B2380" s="2" t="s">
        <v>4830</v>
      </c>
      <c r="C2380" s="2" t="s">
        <v>32</v>
      </c>
      <c r="D2380" s="3" t="s">
        <v>175</v>
      </c>
      <c r="E2380" s="3" t="s">
        <v>20</v>
      </c>
      <c r="F2380" s="2" t="s">
        <v>51</v>
      </c>
      <c r="G2380" s="4">
        <v>642202</v>
      </c>
      <c r="H2380" s="4">
        <v>394639</v>
      </c>
      <c r="I2380" s="4">
        <v>343513</v>
      </c>
      <c r="J2380" s="4">
        <v>25959</v>
      </c>
      <c r="K2380" s="4">
        <v>2088</v>
      </c>
      <c r="L2380" s="4">
        <v>1201</v>
      </c>
      <c r="M2380" s="4">
        <v>50</v>
      </c>
      <c r="N2380" s="4">
        <v>4278</v>
      </c>
      <c r="O2380" s="5">
        <f t="shared" si="37"/>
        <v>8.5289348583605276E-2</v>
      </c>
      <c r="P2380" s="2" t="s">
        <v>29</v>
      </c>
    </row>
    <row r="2381" spans="1:16" x14ac:dyDescent="0.25">
      <c r="A2381" s="6" t="s">
        <v>4831</v>
      </c>
      <c r="B2381" s="6" t="s">
        <v>4832</v>
      </c>
      <c r="C2381" s="6" t="s">
        <v>43</v>
      </c>
      <c r="D2381" s="7" t="s">
        <v>172</v>
      </c>
      <c r="E2381" s="7" t="s">
        <v>34</v>
      </c>
      <c r="F2381" s="6" t="s">
        <v>107</v>
      </c>
      <c r="G2381" s="8">
        <v>417685</v>
      </c>
      <c r="H2381" s="8">
        <v>70657</v>
      </c>
      <c r="I2381" s="8">
        <v>60811</v>
      </c>
      <c r="J2381" s="8">
        <v>1922</v>
      </c>
      <c r="K2381" s="8">
        <v>173</v>
      </c>
      <c r="L2381" s="8">
        <v>38</v>
      </c>
      <c r="M2381" s="8">
        <v>31</v>
      </c>
      <c r="N2381" s="8">
        <v>1540</v>
      </c>
      <c r="O2381" s="9">
        <f t="shared" si="37"/>
        <v>3.558566706681357E-2</v>
      </c>
      <c r="P2381" s="6" t="s">
        <v>29</v>
      </c>
    </row>
    <row r="2382" spans="1:16" x14ac:dyDescent="0.25">
      <c r="A2382" s="2" t="s">
        <v>4833</v>
      </c>
      <c r="B2382" s="2" t="s">
        <v>4834</v>
      </c>
      <c r="C2382" s="2" t="s">
        <v>43</v>
      </c>
      <c r="D2382" s="3" t="s">
        <v>44</v>
      </c>
      <c r="E2382" s="3" t="s">
        <v>45</v>
      </c>
      <c r="F2382" s="2" t="s">
        <v>46</v>
      </c>
      <c r="G2382" s="4">
        <v>202091</v>
      </c>
      <c r="H2382" s="4">
        <v>124384</v>
      </c>
      <c r="I2382" s="4">
        <v>88365</v>
      </c>
      <c r="J2382" s="4">
        <v>9442</v>
      </c>
      <c r="K2382" s="4">
        <v>928</v>
      </c>
      <c r="L2382" s="4">
        <v>902</v>
      </c>
      <c r="M2382" s="4">
        <v>32</v>
      </c>
      <c r="N2382" s="4">
        <v>3326</v>
      </c>
      <c r="O2382" s="5">
        <f t="shared" si="37"/>
        <v>0.12792395179086744</v>
      </c>
      <c r="P2382" s="2" t="s">
        <v>29</v>
      </c>
    </row>
    <row r="2383" spans="1:16" x14ac:dyDescent="0.25">
      <c r="A2383" s="6" t="s">
        <v>4835</v>
      </c>
      <c r="B2383" s="6" t="s">
        <v>4836</v>
      </c>
      <c r="C2383" s="6" t="s">
        <v>43</v>
      </c>
      <c r="D2383" s="7" t="s">
        <v>69</v>
      </c>
      <c r="E2383" s="7" t="s">
        <v>45</v>
      </c>
      <c r="F2383" s="6" t="s">
        <v>107</v>
      </c>
      <c r="G2383" s="8">
        <v>525309</v>
      </c>
      <c r="H2383" s="8">
        <v>139608</v>
      </c>
      <c r="I2383" s="8">
        <v>127704</v>
      </c>
      <c r="J2383" s="8">
        <v>9417</v>
      </c>
      <c r="K2383" s="8">
        <v>1347</v>
      </c>
      <c r="L2383" s="8">
        <v>1028</v>
      </c>
      <c r="M2383" s="8">
        <v>18</v>
      </c>
      <c r="N2383" s="8">
        <v>1860</v>
      </c>
      <c r="O2383" s="9">
        <f t="shared" si="37"/>
        <v>9.2479483806302068E-2</v>
      </c>
      <c r="P2383" s="6" t="s">
        <v>22</v>
      </c>
    </row>
    <row r="2384" spans="1:16" x14ac:dyDescent="0.25">
      <c r="A2384" s="2" t="s">
        <v>4837</v>
      </c>
      <c r="B2384" s="2" t="s">
        <v>4838</v>
      </c>
      <c r="C2384" s="2" t="s">
        <v>43</v>
      </c>
      <c r="D2384" s="3" t="s">
        <v>69</v>
      </c>
      <c r="E2384" s="3" t="s">
        <v>20</v>
      </c>
      <c r="F2384" s="2" t="s">
        <v>107</v>
      </c>
      <c r="G2384" s="4">
        <v>767261</v>
      </c>
      <c r="H2384" s="4">
        <v>399615</v>
      </c>
      <c r="I2384" s="4">
        <v>340064</v>
      </c>
      <c r="J2384" s="4">
        <v>8405</v>
      </c>
      <c r="K2384" s="4">
        <v>808</v>
      </c>
      <c r="L2384" s="4">
        <v>420</v>
      </c>
      <c r="M2384" s="4">
        <v>11</v>
      </c>
      <c r="N2384" s="4">
        <v>10266</v>
      </c>
      <c r="O2384" s="5">
        <f t="shared" si="37"/>
        <v>2.8359367648442647E-2</v>
      </c>
      <c r="P2384" s="2" t="s">
        <v>22</v>
      </c>
    </row>
    <row r="2385" spans="1:16" x14ac:dyDescent="0.25">
      <c r="A2385" s="6" t="s">
        <v>4839</v>
      </c>
      <c r="B2385" s="6" t="s">
        <v>4840</v>
      </c>
      <c r="C2385" s="6" t="s">
        <v>25</v>
      </c>
      <c r="D2385" s="7" t="s">
        <v>244</v>
      </c>
      <c r="E2385" s="7" t="s">
        <v>50</v>
      </c>
      <c r="F2385" s="6" t="s">
        <v>65</v>
      </c>
      <c r="G2385" s="8">
        <v>251643</v>
      </c>
      <c r="H2385" s="8">
        <v>1080853</v>
      </c>
      <c r="I2385" s="8">
        <v>775241</v>
      </c>
      <c r="J2385" s="8">
        <v>44394</v>
      </c>
      <c r="K2385" s="8">
        <v>4660</v>
      </c>
      <c r="L2385" s="8">
        <v>1278</v>
      </c>
      <c r="M2385" s="8">
        <v>6144</v>
      </c>
      <c r="N2385" s="8">
        <v>11996</v>
      </c>
      <c r="O2385" s="9">
        <f t="shared" si="37"/>
        <v>7.2849604187601016E-2</v>
      </c>
      <c r="P2385" s="6" t="s">
        <v>22</v>
      </c>
    </row>
    <row r="2386" spans="1:16" x14ac:dyDescent="0.25">
      <c r="A2386" s="2" t="s">
        <v>4841</v>
      </c>
      <c r="B2386" s="2" t="s">
        <v>4842</v>
      </c>
      <c r="C2386" s="2" t="s">
        <v>25</v>
      </c>
      <c r="D2386" s="3" t="s">
        <v>244</v>
      </c>
      <c r="E2386" s="3" t="s">
        <v>45</v>
      </c>
      <c r="F2386" s="2" t="s">
        <v>28</v>
      </c>
      <c r="G2386" s="4">
        <v>583008</v>
      </c>
      <c r="H2386" s="4">
        <v>338835</v>
      </c>
      <c r="I2386" s="4">
        <v>300272</v>
      </c>
      <c r="J2386" s="4">
        <v>18020</v>
      </c>
      <c r="K2386" s="4">
        <v>2353</v>
      </c>
      <c r="L2386" s="4">
        <v>2661</v>
      </c>
      <c r="M2386" s="4">
        <v>3320</v>
      </c>
      <c r="N2386" s="4">
        <v>4785</v>
      </c>
      <c r="O2386" s="5">
        <f t="shared" si="37"/>
        <v>8.7767091170671926E-2</v>
      </c>
      <c r="P2386" s="2" t="s">
        <v>22</v>
      </c>
    </row>
    <row r="2387" spans="1:16" x14ac:dyDescent="0.25">
      <c r="A2387" s="6" t="s">
        <v>4843</v>
      </c>
      <c r="B2387" s="6" t="s">
        <v>4844</v>
      </c>
      <c r="C2387" s="6" t="s">
        <v>43</v>
      </c>
      <c r="D2387" s="7" t="s">
        <v>81</v>
      </c>
      <c r="E2387" s="7" t="s">
        <v>50</v>
      </c>
      <c r="F2387" s="6" t="s">
        <v>70</v>
      </c>
      <c r="G2387" s="8">
        <v>780180</v>
      </c>
      <c r="H2387" s="8">
        <v>337501</v>
      </c>
      <c r="I2387" s="8">
        <v>246789</v>
      </c>
      <c r="J2387" s="8">
        <v>17311</v>
      </c>
      <c r="K2387" s="8">
        <v>2779</v>
      </c>
      <c r="L2387" s="8">
        <v>2474</v>
      </c>
      <c r="M2387" s="8">
        <v>2</v>
      </c>
      <c r="N2387" s="8">
        <v>9477</v>
      </c>
      <c r="O2387" s="9">
        <f t="shared" si="37"/>
        <v>9.1438435262511705E-2</v>
      </c>
      <c r="P2387" s="6" t="s">
        <v>29</v>
      </c>
    </row>
    <row r="2388" spans="1:16" x14ac:dyDescent="0.25">
      <c r="A2388" s="2" t="s">
        <v>4845</v>
      </c>
      <c r="B2388" s="2" t="s">
        <v>4846</v>
      </c>
      <c r="C2388" s="2" t="s">
        <v>25</v>
      </c>
      <c r="D2388" s="3" t="s">
        <v>145</v>
      </c>
      <c r="E2388" s="3" t="s">
        <v>39</v>
      </c>
      <c r="F2388" s="2" t="s">
        <v>65</v>
      </c>
      <c r="G2388" s="4">
        <v>472717</v>
      </c>
      <c r="H2388" s="4">
        <v>247847</v>
      </c>
      <c r="I2388" s="4">
        <v>179313</v>
      </c>
      <c r="J2388" s="4">
        <v>10728</v>
      </c>
      <c r="K2388" s="4">
        <v>711</v>
      </c>
      <c r="L2388" s="4">
        <v>842</v>
      </c>
      <c r="M2388" s="4">
        <v>596</v>
      </c>
      <c r="N2388" s="4">
        <v>8163</v>
      </c>
      <c r="O2388" s="5">
        <f t="shared" si="37"/>
        <v>7.1812975077099814E-2</v>
      </c>
      <c r="P2388" s="2" t="s">
        <v>22</v>
      </c>
    </row>
    <row r="2389" spans="1:16" x14ac:dyDescent="0.25">
      <c r="A2389" s="6" t="s">
        <v>4847</v>
      </c>
      <c r="B2389" s="6" t="s">
        <v>4848</v>
      </c>
      <c r="C2389" s="6" t="s">
        <v>43</v>
      </c>
      <c r="D2389" s="7" t="s">
        <v>172</v>
      </c>
      <c r="E2389" s="7" t="s">
        <v>20</v>
      </c>
      <c r="F2389" s="6" t="s">
        <v>70</v>
      </c>
      <c r="G2389" s="8">
        <v>305313</v>
      </c>
      <c r="H2389" s="8">
        <v>150603</v>
      </c>
      <c r="I2389" s="8">
        <v>115699</v>
      </c>
      <c r="J2389" s="8">
        <v>5024</v>
      </c>
      <c r="K2389" s="8">
        <v>228</v>
      </c>
      <c r="L2389" s="8">
        <v>258</v>
      </c>
      <c r="M2389" s="8">
        <v>27</v>
      </c>
      <c r="N2389" s="8">
        <v>3863</v>
      </c>
      <c r="O2389" s="9">
        <f t="shared" si="37"/>
        <v>4.7856939126526589E-2</v>
      </c>
      <c r="P2389" s="6" t="s">
        <v>22</v>
      </c>
    </row>
    <row r="2390" spans="1:16" x14ac:dyDescent="0.25">
      <c r="A2390" s="2" t="s">
        <v>4849</v>
      </c>
      <c r="B2390" s="2" t="s">
        <v>4850</v>
      </c>
      <c r="C2390" s="2" t="s">
        <v>25</v>
      </c>
      <c r="D2390" s="3" t="s">
        <v>145</v>
      </c>
      <c r="E2390" s="3" t="s">
        <v>39</v>
      </c>
      <c r="F2390" s="2" t="s">
        <v>28</v>
      </c>
      <c r="G2390" s="4">
        <v>719168</v>
      </c>
      <c r="H2390" s="4">
        <v>141235</v>
      </c>
      <c r="I2390" s="4">
        <v>123049</v>
      </c>
      <c r="J2390" s="4">
        <v>9290</v>
      </c>
      <c r="K2390" s="4">
        <v>1573</v>
      </c>
      <c r="L2390" s="4">
        <v>697</v>
      </c>
      <c r="M2390" s="4">
        <v>765</v>
      </c>
      <c r="N2390" s="4">
        <v>2976</v>
      </c>
      <c r="O2390" s="5">
        <f t="shared" si="37"/>
        <v>0.10016334955993141</v>
      </c>
      <c r="P2390" s="2" t="s">
        <v>22</v>
      </c>
    </row>
    <row r="2391" spans="1:16" x14ac:dyDescent="0.25">
      <c r="A2391" s="6" t="s">
        <v>4851</v>
      </c>
      <c r="B2391" s="6" t="s">
        <v>4852</v>
      </c>
      <c r="C2391" s="6" t="s">
        <v>32</v>
      </c>
      <c r="D2391" s="7" t="s">
        <v>121</v>
      </c>
      <c r="E2391" s="7" t="s">
        <v>39</v>
      </c>
      <c r="F2391" s="6" t="s">
        <v>40</v>
      </c>
      <c r="G2391" s="8">
        <v>369392</v>
      </c>
      <c r="H2391" s="8">
        <v>124069</v>
      </c>
      <c r="I2391" s="8">
        <v>106910</v>
      </c>
      <c r="J2391" s="8">
        <v>8089</v>
      </c>
      <c r="K2391" s="8">
        <v>639</v>
      </c>
      <c r="L2391" s="8">
        <v>267</v>
      </c>
      <c r="M2391" s="8">
        <v>0</v>
      </c>
      <c r="N2391" s="8">
        <v>1805</v>
      </c>
      <c r="O2391" s="9">
        <f t="shared" si="37"/>
        <v>8.4136189318118046E-2</v>
      </c>
      <c r="P2391" s="6" t="s">
        <v>29</v>
      </c>
    </row>
    <row r="2392" spans="1:16" x14ac:dyDescent="0.25">
      <c r="A2392" s="2" t="s">
        <v>4853</v>
      </c>
      <c r="B2392" s="2" t="s">
        <v>4854</v>
      </c>
      <c r="C2392" s="2" t="s">
        <v>32</v>
      </c>
      <c r="D2392" s="3" t="s">
        <v>49</v>
      </c>
      <c r="E2392" s="3" t="s">
        <v>50</v>
      </c>
      <c r="F2392" s="2" t="s">
        <v>128</v>
      </c>
      <c r="G2392" s="4">
        <v>310429</v>
      </c>
      <c r="H2392" s="4">
        <v>924129</v>
      </c>
      <c r="I2392" s="4">
        <v>810161</v>
      </c>
      <c r="J2392" s="4">
        <v>48046</v>
      </c>
      <c r="K2392" s="4">
        <v>5872</v>
      </c>
      <c r="L2392" s="4">
        <v>4097</v>
      </c>
      <c r="M2392" s="4">
        <v>4</v>
      </c>
      <c r="N2392" s="4">
        <v>5335</v>
      </c>
      <c r="O2392" s="5">
        <f t="shared" si="37"/>
        <v>7.1614160642143973E-2</v>
      </c>
      <c r="P2392" s="2" t="s">
        <v>22</v>
      </c>
    </row>
    <row r="2393" spans="1:16" x14ac:dyDescent="0.25">
      <c r="A2393" s="6" t="s">
        <v>4855</v>
      </c>
      <c r="B2393" s="6" t="s">
        <v>4856</v>
      </c>
      <c r="C2393" s="6" t="s">
        <v>25</v>
      </c>
      <c r="D2393" s="7" t="s">
        <v>64</v>
      </c>
      <c r="E2393" s="7" t="s">
        <v>50</v>
      </c>
      <c r="F2393" s="6" t="s">
        <v>65</v>
      </c>
      <c r="G2393" s="8">
        <v>530825</v>
      </c>
      <c r="H2393" s="8">
        <v>151327</v>
      </c>
      <c r="I2393" s="8">
        <v>126878</v>
      </c>
      <c r="J2393" s="8">
        <v>3448</v>
      </c>
      <c r="K2393" s="8">
        <v>114</v>
      </c>
      <c r="L2393" s="8">
        <v>198</v>
      </c>
      <c r="M2393" s="8">
        <v>251</v>
      </c>
      <c r="N2393" s="8">
        <v>4356</v>
      </c>
      <c r="O2393" s="9">
        <f t="shared" si="37"/>
        <v>3.1613045602862593E-2</v>
      </c>
      <c r="P2393" s="6" t="s">
        <v>22</v>
      </c>
    </row>
    <row r="2394" spans="1:16" x14ac:dyDescent="0.25">
      <c r="A2394" s="2" t="s">
        <v>4857</v>
      </c>
      <c r="B2394" s="2" t="s">
        <v>4858</v>
      </c>
      <c r="C2394" s="2" t="s">
        <v>18</v>
      </c>
      <c r="D2394" s="3" t="s">
        <v>92</v>
      </c>
      <c r="E2394" s="3" t="s">
        <v>20</v>
      </c>
      <c r="F2394" s="2" t="s">
        <v>21</v>
      </c>
      <c r="G2394" s="4">
        <v>428292</v>
      </c>
      <c r="H2394" s="4">
        <v>161940</v>
      </c>
      <c r="I2394" s="4">
        <v>128610</v>
      </c>
      <c r="J2394" s="4">
        <v>9851</v>
      </c>
      <c r="K2394" s="4">
        <v>464</v>
      </c>
      <c r="L2394" s="4">
        <v>636</v>
      </c>
      <c r="M2394" s="4">
        <v>1215</v>
      </c>
      <c r="N2394" s="4">
        <v>2667</v>
      </c>
      <c r="O2394" s="5">
        <f t="shared" si="37"/>
        <v>9.4596065624757017E-2</v>
      </c>
      <c r="P2394" s="2" t="s">
        <v>22</v>
      </c>
    </row>
    <row r="2395" spans="1:16" x14ac:dyDescent="0.25">
      <c r="A2395" s="6" t="s">
        <v>4859</v>
      </c>
      <c r="B2395" s="6" t="s">
        <v>4860</v>
      </c>
      <c r="C2395" s="6" t="s">
        <v>18</v>
      </c>
      <c r="D2395" s="7" t="s">
        <v>57</v>
      </c>
      <c r="E2395" s="7" t="s">
        <v>45</v>
      </c>
      <c r="F2395" s="6" t="s">
        <v>73</v>
      </c>
      <c r="G2395" s="8">
        <v>376101</v>
      </c>
      <c r="H2395" s="8">
        <v>38970</v>
      </c>
      <c r="I2395" s="8">
        <v>29952</v>
      </c>
      <c r="J2395" s="8">
        <v>2070</v>
      </c>
      <c r="K2395" s="8">
        <v>72</v>
      </c>
      <c r="L2395" s="8">
        <v>213</v>
      </c>
      <c r="M2395" s="8">
        <v>346</v>
      </c>
      <c r="N2395" s="8">
        <v>346</v>
      </c>
      <c r="O2395" s="9">
        <f t="shared" si="37"/>
        <v>9.017761752136752E-2</v>
      </c>
      <c r="P2395" s="6" t="s">
        <v>22</v>
      </c>
    </row>
    <row r="2396" spans="1:16" x14ac:dyDescent="0.25">
      <c r="A2396" s="2" t="s">
        <v>4861</v>
      </c>
      <c r="B2396" s="2" t="s">
        <v>4862</v>
      </c>
      <c r="C2396" s="2" t="s">
        <v>76</v>
      </c>
      <c r="D2396" s="3" t="s">
        <v>182</v>
      </c>
      <c r="E2396" s="3" t="s">
        <v>50</v>
      </c>
      <c r="F2396" s="2" t="s">
        <v>78</v>
      </c>
      <c r="G2396" s="4">
        <v>656617</v>
      </c>
      <c r="H2396" s="4">
        <v>216121</v>
      </c>
      <c r="I2396" s="4">
        <v>186426</v>
      </c>
      <c r="J2396" s="4">
        <v>15374</v>
      </c>
      <c r="K2396" s="4">
        <v>1958</v>
      </c>
      <c r="L2396" s="4">
        <v>1319</v>
      </c>
      <c r="M2396" s="4">
        <v>893</v>
      </c>
      <c r="N2396" s="4">
        <v>5474</v>
      </c>
      <c r="O2396" s="5">
        <f t="shared" si="37"/>
        <v>0.10483516247733685</v>
      </c>
      <c r="P2396" s="2" t="s">
        <v>29</v>
      </c>
    </row>
    <row r="2397" spans="1:16" x14ac:dyDescent="0.25">
      <c r="A2397" s="6" t="s">
        <v>4863</v>
      </c>
      <c r="B2397" s="6" t="s">
        <v>4864</v>
      </c>
      <c r="C2397" s="6" t="s">
        <v>32</v>
      </c>
      <c r="D2397" s="7" t="s">
        <v>38</v>
      </c>
      <c r="E2397" s="7" t="s">
        <v>39</v>
      </c>
      <c r="F2397" s="6" t="s">
        <v>51</v>
      </c>
      <c r="G2397" s="8">
        <v>175245</v>
      </c>
      <c r="H2397" s="8">
        <v>46504</v>
      </c>
      <c r="I2397" s="8">
        <v>41927</v>
      </c>
      <c r="J2397" s="8">
        <v>1201</v>
      </c>
      <c r="K2397" s="8">
        <v>42</v>
      </c>
      <c r="L2397" s="8">
        <v>137</v>
      </c>
      <c r="M2397" s="8">
        <v>15</v>
      </c>
      <c r="N2397" s="8">
        <v>720</v>
      </c>
      <c r="O2397" s="9">
        <f t="shared" si="37"/>
        <v>3.3272115820354428E-2</v>
      </c>
      <c r="P2397" s="6" t="s">
        <v>29</v>
      </c>
    </row>
    <row r="2398" spans="1:16" x14ac:dyDescent="0.25">
      <c r="A2398" s="2" t="s">
        <v>4865</v>
      </c>
      <c r="B2398" s="2" t="s">
        <v>4866</v>
      </c>
      <c r="C2398" s="2" t="s">
        <v>25</v>
      </c>
      <c r="D2398" s="3" t="s">
        <v>244</v>
      </c>
      <c r="E2398" s="3" t="s">
        <v>50</v>
      </c>
      <c r="F2398" s="2" t="s">
        <v>65</v>
      </c>
      <c r="G2398" s="4">
        <v>423374</v>
      </c>
      <c r="H2398" s="4">
        <v>195844</v>
      </c>
      <c r="I2398" s="4">
        <v>170284</v>
      </c>
      <c r="J2398" s="4">
        <v>12490</v>
      </c>
      <c r="K2398" s="4">
        <v>861</v>
      </c>
      <c r="L2398" s="4">
        <v>593</v>
      </c>
      <c r="M2398" s="4">
        <v>2890</v>
      </c>
      <c r="N2398" s="4">
        <v>5151</v>
      </c>
      <c r="O2398" s="5">
        <f t="shared" si="37"/>
        <v>9.8858377768903716E-2</v>
      </c>
      <c r="P2398" s="2" t="s">
        <v>22</v>
      </c>
    </row>
    <row r="2399" spans="1:16" x14ac:dyDescent="0.25">
      <c r="A2399" s="6" t="s">
        <v>4867</v>
      </c>
      <c r="B2399" s="6" t="s">
        <v>4868</v>
      </c>
      <c r="C2399" s="6" t="s">
        <v>43</v>
      </c>
      <c r="D2399" s="7" t="s">
        <v>69</v>
      </c>
      <c r="E2399" s="7" t="s">
        <v>39</v>
      </c>
      <c r="F2399" s="6" t="s">
        <v>107</v>
      </c>
      <c r="G2399" s="8">
        <v>176266</v>
      </c>
      <c r="H2399" s="8">
        <v>24599</v>
      </c>
      <c r="I2399" s="8">
        <v>20939</v>
      </c>
      <c r="J2399" s="8">
        <v>1047</v>
      </c>
      <c r="K2399" s="8">
        <v>147</v>
      </c>
      <c r="L2399" s="8">
        <v>27</v>
      </c>
      <c r="M2399" s="8">
        <v>37</v>
      </c>
      <c r="N2399" s="8">
        <v>493</v>
      </c>
      <c r="O2399" s="9">
        <f t="shared" si="37"/>
        <v>6.0079277902478627E-2</v>
      </c>
      <c r="P2399" s="6" t="s">
        <v>22</v>
      </c>
    </row>
    <row r="2400" spans="1:16" x14ac:dyDescent="0.25">
      <c r="A2400" s="2" t="s">
        <v>4869</v>
      </c>
      <c r="B2400" s="2" t="s">
        <v>4870</v>
      </c>
      <c r="C2400" s="2" t="s">
        <v>43</v>
      </c>
      <c r="D2400" s="3" t="s">
        <v>172</v>
      </c>
      <c r="E2400" s="3" t="s">
        <v>34</v>
      </c>
      <c r="F2400" s="2" t="s">
        <v>46</v>
      </c>
      <c r="G2400" s="4">
        <v>428521</v>
      </c>
      <c r="H2400" s="4">
        <v>256807</v>
      </c>
      <c r="I2400" s="4">
        <v>192356</v>
      </c>
      <c r="J2400" s="4">
        <v>5410</v>
      </c>
      <c r="K2400" s="4">
        <v>858</v>
      </c>
      <c r="L2400" s="4">
        <v>491</v>
      </c>
      <c r="M2400" s="4">
        <v>24</v>
      </c>
      <c r="N2400" s="4">
        <v>5927</v>
      </c>
      <c r="O2400" s="5">
        <f t="shared" si="37"/>
        <v>3.5262741999209798E-2</v>
      </c>
      <c r="P2400" s="2" t="s">
        <v>29</v>
      </c>
    </row>
    <row r="2401" spans="1:16" x14ac:dyDescent="0.25">
      <c r="A2401" s="6" t="s">
        <v>4871</v>
      </c>
      <c r="B2401" s="6" t="s">
        <v>4872</v>
      </c>
      <c r="C2401" s="6" t="s">
        <v>76</v>
      </c>
      <c r="D2401" s="7" t="s">
        <v>182</v>
      </c>
      <c r="E2401" s="7" t="s">
        <v>50</v>
      </c>
      <c r="F2401" s="6" t="s">
        <v>78</v>
      </c>
      <c r="G2401" s="8">
        <v>276292</v>
      </c>
      <c r="H2401" s="8">
        <v>82744</v>
      </c>
      <c r="I2401" s="8">
        <v>64650</v>
      </c>
      <c r="J2401" s="8">
        <v>2804</v>
      </c>
      <c r="K2401" s="8">
        <v>149</v>
      </c>
      <c r="L2401" s="8">
        <v>183</v>
      </c>
      <c r="M2401" s="8">
        <v>376</v>
      </c>
      <c r="N2401" s="8">
        <v>729</v>
      </c>
      <c r="O2401" s="9">
        <f t="shared" si="37"/>
        <v>5.432327919566899E-2</v>
      </c>
      <c r="P2401" s="6" t="s">
        <v>22</v>
      </c>
    </row>
    <row r="2402" spans="1:16" x14ac:dyDescent="0.25">
      <c r="A2402" s="2" t="s">
        <v>4873</v>
      </c>
      <c r="B2402" s="2" t="s">
        <v>4874</v>
      </c>
      <c r="C2402" s="2" t="s">
        <v>25</v>
      </c>
      <c r="D2402" s="3" t="s">
        <v>61</v>
      </c>
      <c r="E2402" s="3" t="s">
        <v>50</v>
      </c>
      <c r="F2402" s="2" t="s">
        <v>65</v>
      </c>
      <c r="G2402" s="4">
        <v>832741</v>
      </c>
      <c r="H2402" s="4">
        <v>343993</v>
      </c>
      <c r="I2402" s="4">
        <v>277747</v>
      </c>
      <c r="J2402" s="4">
        <v>14389</v>
      </c>
      <c r="K2402" s="4">
        <v>1630</v>
      </c>
      <c r="L2402" s="4">
        <v>1467</v>
      </c>
      <c r="M2402" s="4">
        <v>2583</v>
      </c>
      <c r="N2402" s="4">
        <v>8086</v>
      </c>
      <c r="O2402" s="5">
        <f t="shared" si="37"/>
        <v>7.225640600978589E-2</v>
      </c>
      <c r="P2402" s="2" t="s">
        <v>22</v>
      </c>
    </row>
    <row r="2403" spans="1:16" x14ac:dyDescent="0.25">
      <c r="A2403" s="6" t="s">
        <v>4875</v>
      </c>
      <c r="B2403" s="6" t="s">
        <v>4876</v>
      </c>
      <c r="C2403" s="6" t="s">
        <v>76</v>
      </c>
      <c r="D2403" s="7" t="s">
        <v>103</v>
      </c>
      <c r="E2403" s="7" t="s">
        <v>39</v>
      </c>
      <c r="F2403" s="6" t="s">
        <v>87</v>
      </c>
      <c r="G2403" s="8">
        <v>447412</v>
      </c>
      <c r="H2403" s="8">
        <v>1230317</v>
      </c>
      <c r="I2403" s="8">
        <v>1115062</v>
      </c>
      <c r="J2403" s="8">
        <v>85653</v>
      </c>
      <c r="K2403" s="8">
        <v>5975</v>
      </c>
      <c r="L2403" s="8">
        <v>11826</v>
      </c>
      <c r="M2403" s="8">
        <v>8607</v>
      </c>
      <c r="N2403" s="8">
        <v>9383</v>
      </c>
      <c r="O2403" s="9">
        <f t="shared" si="37"/>
        <v>0.10049755080883395</v>
      </c>
      <c r="P2403" s="6" t="s">
        <v>22</v>
      </c>
    </row>
    <row r="2404" spans="1:16" x14ac:dyDescent="0.25">
      <c r="A2404" s="2" t="s">
        <v>4877</v>
      </c>
      <c r="B2404" s="2" t="s">
        <v>4878</v>
      </c>
      <c r="C2404" s="2" t="s">
        <v>76</v>
      </c>
      <c r="D2404" s="3" t="s">
        <v>103</v>
      </c>
      <c r="E2404" s="3" t="s">
        <v>20</v>
      </c>
      <c r="F2404" s="2" t="s">
        <v>104</v>
      </c>
      <c r="G2404" s="4">
        <v>276425</v>
      </c>
      <c r="H2404" s="4">
        <v>76473</v>
      </c>
      <c r="I2404" s="4">
        <v>61946</v>
      </c>
      <c r="J2404" s="4">
        <v>4433</v>
      </c>
      <c r="K2404" s="4">
        <v>531</v>
      </c>
      <c r="L2404" s="4">
        <v>544</v>
      </c>
      <c r="M2404" s="4">
        <v>876</v>
      </c>
      <c r="N2404" s="4">
        <v>1038</v>
      </c>
      <c r="O2404" s="5">
        <f t="shared" si="37"/>
        <v>0.1030575016950247</v>
      </c>
      <c r="P2404" s="2" t="s">
        <v>66</v>
      </c>
    </row>
    <row r="2405" spans="1:16" x14ac:dyDescent="0.25">
      <c r="A2405" s="6" t="s">
        <v>4879</v>
      </c>
      <c r="B2405" s="6" t="s">
        <v>4880</v>
      </c>
      <c r="C2405" s="6" t="s">
        <v>43</v>
      </c>
      <c r="D2405" s="7" t="s">
        <v>81</v>
      </c>
      <c r="E2405" s="7" t="s">
        <v>20</v>
      </c>
      <c r="F2405" s="6" t="s">
        <v>107</v>
      </c>
      <c r="G2405" s="8">
        <v>487893</v>
      </c>
      <c r="H2405" s="8">
        <v>109749</v>
      </c>
      <c r="I2405" s="8">
        <v>88537</v>
      </c>
      <c r="J2405" s="8">
        <v>5017</v>
      </c>
      <c r="K2405" s="8">
        <v>166</v>
      </c>
      <c r="L2405" s="8">
        <v>223</v>
      </c>
      <c r="M2405" s="8">
        <v>35</v>
      </c>
      <c r="N2405" s="8">
        <v>3208</v>
      </c>
      <c r="O2405" s="9">
        <f t="shared" si="37"/>
        <v>6.1454533133040425E-2</v>
      </c>
      <c r="P2405" s="6" t="s">
        <v>22</v>
      </c>
    </row>
    <row r="2406" spans="1:16" x14ac:dyDescent="0.25">
      <c r="A2406" s="2" t="s">
        <v>4881</v>
      </c>
      <c r="B2406" s="2" t="s">
        <v>4882</v>
      </c>
      <c r="C2406" s="2" t="s">
        <v>25</v>
      </c>
      <c r="D2406" s="3" t="s">
        <v>244</v>
      </c>
      <c r="E2406" s="3" t="s">
        <v>20</v>
      </c>
      <c r="F2406" s="2" t="s">
        <v>65</v>
      </c>
      <c r="G2406" s="4">
        <v>705169</v>
      </c>
      <c r="H2406" s="4">
        <v>339799</v>
      </c>
      <c r="I2406" s="4">
        <v>258889</v>
      </c>
      <c r="J2406" s="4">
        <v>20575</v>
      </c>
      <c r="K2406" s="4">
        <v>1577</v>
      </c>
      <c r="L2406" s="4">
        <v>1111</v>
      </c>
      <c r="M2406" s="4">
        <v>4168</v>
      </c>
      <c r="N2406" s="4">
        <v>4454</v>
      </c>
      <c r="O2406" s="5">
        <f t="shared" si="37"/>
        <v>0.10595660688557644</v>
      </c>
      <c r="P2406" s="2" t="s">
        <v>29</v>
      </c>
    </row>
    <row r="2407" spans="1:16" x14ac:dyDescent="0.25">
      <c r="A2407" s="6" t="s">
        <v>4883</v>
      </c>
      <c r="B2407" s="6" t="s">
        <v>4884</v>
      </c>
      <c r="C2407" s="6" t="s">
        <v>18</v>
      </c>
      <c r="D2407" s="7" t="s">
        <v>19</v>
      </c>
      <c r="E2407" s="7" t="s">
        <v>50</v>
      </c>
      <c r="F2407" s="6" t="s">
        <v>21</v>
      </c>
      <c r="G2407" s="8">
        <v>343863</v>
      </c>
      <c r="H2407" s="8">
        <v>103045</v>
      </c>
      <c r="I2407" s="8">
        <v>76607</v>
      </c>
      <c r="J2407" s="8">
        <v>7113</v>
      </c>
      <c r="K2407" s="8">
        <v>672</v>
      </c>
      <c r="L2407" s="8">
        <v>283</v>
      </c>
      <c r="M2407" s="8">
        <v>481</v>
      </c>
      <c r="N2407" s="8">
        <v>2164</v>
      </c>
      <c r="O2407" s="9">
        <f t="shared" si="37"/>
        <v>0.11159554609892046</v>
      </c>
      <c r="P2407" s="6" t="s">
        <v>66</v>
      </c>
    </row>
    <row r="2408" spans="1:16" x14ac:dyDescent="0.25">
      <c r="A2408" s="2" t="s">
        <v>4885</v>
      </c>
      <c r="B2408" s="2" t="s">
        <v>4886</v>
      </c>
      <c r="C2408" s="2" t="s">
        <v>76</v>
      </c>
      <c r="D2408" s="3" t="s">
        <v>77</v>
      </c>
      <c r="E2408" s="3" t="s">
        <v>27</v>
      </c>
      <c r="F2408" s="2" t="s">
        <v>78</v>
      </c>
      <c r="G2408" s="4">
        <v>288939</v>
      </c>
      <c r="H2408" s="4">
        <v>166520</v>
      </c>
      <c r="I2408" s="4">
        <v>129826</v>
      </c>
      <c r="J2408" s="4">
        <v>4742</v>
      </c>
      <c r="K2408" s="4">
        <v>484</v>
      </c>
      <c r="L2408" s="4">
        <v>98</v>
      </c>
      <c r="M2408" s="4">
        <v>618</v>
      </c>
      <c r="N2408" s="4">
        <v>3536</v>
      </c>
      <c r="O2408" s="5">
        <f t="shared" si="37"/>
        <v>4.5768952289988139E-2</v>
      </c>
      <c r="P2408" s="2" t="s">
        <v>29</v>
      </c>
    </row>
    <row r="2409" spans="1:16" x14ac:dyDescent="0.25">
      <c r="A2409" s="6" t="s">
        <v>4887</v>
      </c>
      <c r="B2409" s="6" t="s">
        <v>4888</v>
      </c>
      <c r="C2409" s="6" t="s">
        <v>43</v>
      </c>
      <c r="D2409" s="7" t="s">
        <v>44</v>
      </c>
      <c r="E2409" s="7" t="s">
        <v>45</v>
      </c>
      <c r="F2409" s="6" t="s">
        <v>70</v>
      </c>
      <c r="G2409" s="8">
        <v>462407</v>
      </c>
      <c r="H2409" s="8">
        <v>55922</v>
      </c>
      <c r="I2409" s="8">
        <v>41460</v>
      </c>
      <c r="J2409" s="8">
        <v>2148</v>
      </c>
      <c r="K2409" s="8">
        <v>287</v>
      </c>
      <c r="L2409" s="8">
        <v>94</v>
      </c>
      <c r="M2409" s="8">
        <v>39</v>
      </c>
      <c r="N2409" s="8">
        <v>635</v>
      </c>
      <c r="O2409" s="9">
        <f t="shared" si="37"/>
        <v>6.1939218523878438E-2</v>
      </c>
      <c r="P2409" s="6" t="s">
        <v>22</v>
      </c>
    </row>
    <row r="2410" spans="1:16" x14ac:dyDescent="0.25">
      <c r="A2410" s="2" t="s">
        <v>4889</v>
      </c>
      <c r="B2410" s="2" t="s">
        <v>4890</v>
      </c>
      <c r="C2410" s="2" t="s">
        <v>25</v>
      </c>
      <c r="D2410" s="3" t="s">
        <v>26</v>
      </c>
      <c r="E2410" s="3" t="s">
        <v>39</v>
      </c>
      <c r="F2410" s="2" t="s">
        <v>146</v>
      </c>
      <c r="G2410" s="4">
        <v>475724</v>
      </c>
      <c r="H2410" s="4">
        <v>79993</v>
      </c>
      <c r="I2410" s="4">
        <v>58201</v>
      </c>
      <c r="J2410" s="4">
        <v>3746</v>
      </c>
      <c r="K2410" s="4">
        <v>517</v>
      </c>
      <c r="L2410" s="4">
        <v>288</v>
      </c>
      <c r="M2410" s="4">
        <v>512</v>
      </c>
      <c r="N2410" s="4">
        <v>1874</v>
      </c>
      <c r="O2410" s="5">
        <f t="shared" si="37"/>
        <v>8.6991632446177899E-2</v>
      </c>
      <c r="P2410" s="2" t="s">
        <v>66</v>
      </c>
    </row>
    <row r="2411" spans="1:16" x14ac:dyDescent="0.25">
      <c r="A2411" s="6" t="s">
        <v>4891</v>
      </c>
      <c r="B2411" s="6" t="s">
        <v>4892</v>
      </c>
      <c r="C2411" s="6" t="s">
        <v>43</v>
      </c>
      <c r="D2411" s="7" t="s">
        <v>110</v>
      </c>
      <c r="E2411" s="7" t="s">
        <v>39</v>
      </c>
      <c r="F2411" s="6" t="s">
        <v>107</v>
      </c>
      <c r="G2411" s="8">
        <v>470530</v>
      </c>
      <c r="H2411" s="8">
        <v>160426</v>
      </c>
      <c r="I2411" s="8">
        <v>132894</v>
      </c>
      <c r="J2411" s="8">
        <v>4662</v>
      </c>
      <c r="K2411" s="8">
        <v>542</v>
      </c>
      <c r="L2411" s="8">
        <v>255</v>
      </c>
      <c r="M2411" s="8">
        <v>39</v>
      </c>
      <c r="N2411" s="8">
        <v>1735</v>
      </c>
      <c r="O2411" s="9">
        <f t="shared" si="37"/>
        <v>4.1371318494439174E-2</v>
      </c>
      <c r="P2411" s="6" t="s">
        <v>22</v>
      </c>
    </row>
    <row r="2412" spans="1:16" x14ac:dyDescent="0.25">
      <c r="A2412" s="2" t="s">
        <v>4893</v>
      </c>
      <c r="B2412" s="2" t="s">
        <v>4894</v>
      </c>
      <c r="C2412" s="2" t="s">
        <v>32</v>
      </c>
      <c r="D2412" s="3" t="s">
        <v>49</v>
      </c>
      <c r="E2412" s="3" t="s">
        <v>45</v>
      </c>
      <c r="F2412" s="2" t="s">
        <v>35</v>
      </c>
      <c r="G2412" s="4">
        <v>431230</v>
      </c>
      <c r="H2412" s="4">
        <v>208849</v>
      </c>
      <c r="I2412" s="4">
        <v>190484</v>
      </c>
      <c r="J2412" s="4">
        <v>4234</v>
      </c>
      <c r="K2412" s="4">
        <v>563</v>
      </c>
      <c r="L2412" s="4">
        <v>211</v>
      </c>
      <c r="M2412" s="4">
        <v>41</v>
      </c>
      <c r="N2412" s="4">
        <v>3692</v>
      </c>
      <c r="O2412" s="5">
        <f t="shared" si="37"/>
        <v>2.6506163247306862E-2</v>
      </c>
      <c r="P2412" s="2" t="s">
        <v>22</v>
      </c>
    </row>
    <row r="2413" spans="1:16" x14ac:dyDescent="0.25">
      <c r="A2413" s="6" t="s">
        <v>4895</v>
      </c>
      <c r="B2413" s="6" t="s">
        <v>4896</v>
      </c>
      <c r="C2413" s="6" t="s">
        <v>76</v>
      </c>
      <c r="D2413" s="7" t="s">
        <v>86</v>
      </c>
      <c r="E2413" s="7" t="s">
        <v>34</v>
      </c>
      <c r="F2413" s="6" t="s">
        <v>104</v>
      </c>
      <c r="G2413" s="8">
        <v>131938</v>
      </c>
      <c r="H2413" s="8">
        <v>64043</v>
      </c>
      <c r="I2413" s="8">
        <v>57148</v>
      </c>
      <c r="J2413" s="8">
        <v>3139</v>
      </c>
      <c r="K2413" s="8">
        <v>375</v>
      </c>
      <c r="L2413" s="8">
        <v>202</v>
      </c>
      <c r="M2413" s="8">
        <v>346</v>
      </c>
      <c r="N2413" s="8">
        <v>2078</v>
      </c>
      <c r="O2413" s="9">
        <f t="shared" si="37"/>
        <v>7.1078602925736686E-2</v>
      </c>
      <c r="P2413" s="6" t="s">
        <v>22</v>
      </c>
    </row>
    <row r="2414" spans="1:16" x14ac:dyDescent="0.25">
      <c r="A2414" s="2" t="s">
        <v>4897</v>
      </c>
      <c r="B2414" s="2" t="s">
        <v>4898</v>
      </c>
      <c r="C2414" s="2" t="s">
        <v>76</v>
      </c>
      <c r="D2414" s="3" t="s">
        <v>103</v>
      </c>
      <c r="E2414" s="3" t="s">
        <v>45</v>
      </c>
      <c r="F2414" s="2" t="s">
        <v>87</v>
      </c>
      <c r="G2414" s="4">
        <v>539466</v>
      </c>
      <c r="H2414" s="4">
        <v>1775414</v>
      </c>
      <c r="I2414" s="4">
        <v>1453924</v>
      </c>
      <c r="J2414" s="4">
        <v>36715</v>
      </c>
      <c r="K2414" s="4">
        <v>2475</v>
      </c>
      <c r="L2414" s="4">
        <v>1379</v>
      </c>
      <c r="M2414" s="4">
        <v>2264</v>
      </c>
      <c r="N2414" s="4">
        <v>15227</v>
      </c>
      <c r="O2414" s="5">
        <f t="shared" si="37"/>
        <v>2.9460274402238355E-2</v>
      </c>
      <c r="P2414" s="2" t="s">
        <v>22</v>
      </c>
    </row>
    <row r="2415" spans="1:16" x14ac:dyDescent="0.25">
      <c r="A2415" s="6" t="s">
        <v>4899</v>
      </c>
      <c r="B2415" s="6" t="s">
        <v>4900</v>
      </c>
      <c r="C2415" s="6" t="s">
        <v>43</v>
      </c>
      <c r="D2415" s="7" t="s">
        <v>110</v>
      </c>
      <c r="E2415" s="7" t="s">
        <v>20</v>
      </c>
      <c r="F2415" s="6" t="s">
        <v>70</v>
      </c>
      <c r="G2415" s="8">
        <v>118208</v>
      </c>
      <c r="H2415" s="8">
        <v>61667</v>
      </c>
      <c r="I2415" s="8">
        <v>55296</v>
      </c>
      <c r="J2415" s="8">
        <v>3317</v>
      </c>
      <c r="K2415" s="8">
        <v>370</v>
      </c>
      <c r="L2415" s="8">
        <v>106</v>
      </c>
      <c r="M2415" s="8">
        <v>31</v>
      </c>
      <c r="N2415" s="8">
        <v>763</v>
      </c>
      <c r="O2415" s="9">
        <f t="shared" si="37"/>
        <v>6.9155092592592587E-2</v>
      </c>
      <c r="P2415" s="6" t="s">
        <v>29</v>
      </c>
    </row>
    <row r="2416" spans="1:16" x14ac:dyDescent="0.25">
      <c r="A2416" s="2" t="s">
        <v>4901</v>
      </c>
      <c r="B2416" s="2" t="s">
        <v>4902</v>
      </c>
      <c r="C2416" s="2" t="s">
        <v>76</v>
      </c>
      <c r="D2416" s="3" t="s">
        <v>77</v>
      </c>
      <c r="E2416" s="3" t="s">
        <v>45</v>
      </c>
      <c r="F2416" s="2" t="s">
        <v>104</v>
      </c>
      <c r="G2416" s="4">
        <v>815041</v>
      </c>
      <c r="H2416" s="4">
        <v>297540</v>
      </c>
      <c r="I2416" s="4">
        <v>223705</v>
      </c>
      <c r="J2416" s="4">
        <v>12735</v>
      </c>
      <c r="K2416" s="4">
        <v>495</v>
      </c>
      <c r="L2416" s="4">
        <v>912</v>
      </c>
      <c r="M2416" s="4">
        <v>3057</v>
      </c>
      <c r="N2416" s="4">
        <v>5150</v>
      </c>
      <c r="O2416" s="5">
        <f t="shared" si="37"/>
        <v>7.688250150868331E-2</v>
      </c>
      <c r="P2416" s="2" t="s">
        <v>66</v>
      </c>
    </row>
    <row r="2417" spans="1:16" x14ac:dyDescent="0.25">
      <c r="A2417" s="6" t="s">
        <v>4903</v>
      </c>
      <c r="B2417" s="6" t="s">
        <v>4904</v>
      </c>
      <c r="C2417" s="6" t="s">
        <v>32</v>
      </c>
      <c r="D2417" s="7" t="s">
        <v>33</v>
      </c>
      <c r="E2417" s="7" t="s">
        <v>45</v>
      </c>
      <c r="F2417" s="6" t="s">
        <v>51</v>
      </c>
      <c r="G2417" s="8">
        <v>154131</v>
      </c>
      <c r="H2417" s="8">
        <v>96600</v>
      </c>
      <c r="I2417" s="8">
        <v>81185</v>
      </c>
      <c r="J2417" s="8">
        <v>5121</v>
      </c>
      <c r="K2417" s="8">
        <v>688</v>
      </c>
      <c r="L2417" s="8">
        <v>680</v>
      </c>
      <c r="M2417" s="8">
        <v>27</v>
      </c>
      <c r="N2417" s="8">
        <v>3269</v>
      </c>
      <c r="O2417" s="9">
        <f t="shared" si="37"/>
        <v>8.0261131982509087E-2</v>
      </c>
      <c r="P2417" s="6" t="s">
        <v>22</v>
      </c>
    </row>
    <row r="2418" spans="1:16" x14ac:dyDescent="0.25">
      <c r="A2418" s="2" t="s">
        <v>4905</v>
      </c>
      <c r="B2418" s="2" t="s">
        <v>4906</v>
      </c>
      <c r="C2418" s="2" t="s">
        <v>32</v>
      </c>
      <c r="D2418" s="3" t="s">
        <v>49</v>
      </c>
      <c r="E2418" s="3" t="s">
        <v>34</v>
      </c>
      <c r="F2418" s="2" t="s">
        <v>128</v>
      </c>
      <c r="G2418" s="4">
        <v>557580</v>
      </c>
      <c r="H2418" s="4">
        <v>69201</v>
      </c>
      <c r="I2418" s="4">
        <v>61295</v>
      </c>
      <c r="J2418" s="4">
        <v>5079</v>
      </c>
      <c r="K2418" s="4">
        <v>530</v>
      </c>
      <c r="L2418" s="4">
        <v>531</v>
      </c>
      <c r="M2418" s="4">
        <v>25</v>
      </c>
      <c r="N2418" s="4">
        <v>628</v>
      </c>
      <c r="O2418" s="5">
        <f t="shared" si="37"/>
        <v>0.10057916632678032</v>
      </c>
      <c r="P2418" s="2" t="s">
        <v>29</v>
      </c>
    </row>
    <row r="2419" spans="1:16" x14ac:dyDescent="0.25">
      <c r="A2419" s="6" t="s">
        <v>4907</v>
      </c>
      <c r="B2419" s="6" t="s">
        <v>4908</v>
      </c>
      <c r="C2419" s="6" t="s">
        <v>43</v>
      </c>
      <c r="D2419" s="7" t="s">
        <v>69</v>
      </c>
      <c r="E2419" s="7" t="s">
        <v>45</v>
      </c>
      <c r="F2419" s="6" t="s">
        <v>46</v>
      </c>
      <c r="G2419" s="8">
        <v>195370</v>
      </c>
      <c r="H2419" s="8">
        <v>62696</v>
      </c>
      <c r="I2419" s="8">
        <v>49658</v>
      </c>
      <c r="J2419" s="8">
        <v>2661</v>
      </c>
      <c r="K2419" s="8">
        <v>471</v>
      </c>
      <c r="L2419" s="8">
        <v>127</v>
      </c>
      <c r="M2419" s="8">
        <v>35</v>
      </c>
      <c r="N2419" s="8">
        <v>488</v>
      </c>
      <c r="O2419" s="9">
        <f t="shared" si="37"/>
        <v>6.633372266301503E-2</v>
      </c>
      <c r="P2419" s="6" t="s">
        <v>22</v>
      </c>
    </row>
    <row r="2420" spans="1:16" x14ac:dyDescent="0.25">
      <c r="A2420" s="2" t="s">
        <v>4909</v>
      </c>
      <c r="B2420" s="2" t="s">
        <v>4910</v>
      </c>
      <c r="C2420" s="2" t="s">
        <v>76</v>
      </c>
      <c r="D2420" s="3" t="s">
        <v>103</v>
      </c>
      <c r="E2420" s="3" t="s">
        <v>34</v>
      </c>
      <c r="F2420" s="2" t="s">
        <v>104</v>
      </c>
      <c r="G2420" s="4">
        <v>239515</v>
      </c>
      <c r="H2420" s="4">
        <v>45915</v>
      </c>
      <c r="I2420" s="4">
        <v>39069</v>
      </c>
      <c r="J2420" s="4">
        <v>2167</v>
      </c>
      <c r="K2420" s="4">
        <v>365</v>
      </c>
      <c r="L2420" s="4">
        <v>255</v>
      </c>
      <c r="M2420" s="4">
        <v>359</v>
      </c>
      <c r="N2420" s="4">
        <v>498</v>
      </c>
      <c r="O2420" s="5">
        <f t="shared" si="37"/>
        <v>8.0524200772991369E-2</v>
      </c>
      <c r="P2420" s="2" t="s">
        <v>22</v>
      </c>
    </row>
    <row r="2421" spans="1:16" x14ac:dyDescent="0.25">
      <c r="A2421" s="6" t="s">
        <v>4911</v>
      </c>
      <c r="B2421" s="6" t="s">
        <v>4912</v>
      </c>
      <c r="C2421" s="6" t="s">
        <v>76</v>
      </c>
      <c r="D2421" s="7" t="s">
        <v>103</v>
      </c>
      <c r="E2421" s="7" t="s">
        <v>45</v>
      </c>
      <c r="F2421" s="6" t="s">
        <v>104</v>
      </c>
      <c r="G2421" s="8">
        <v>188184</v>
      </c>
      <c r="H2421" s="8">
        <v>19298</v>
      </c>
      <c r="I2421" s="8">
        <v>16193</v>
      </c>
      <c r="J2421" s="8">
        <v>1526</v>
      </c>
      <c r="K2421" s="8">
        <v>259</v>
      </c>
      <c r="L2421" s="8">
        <v>128</v>
      </c>
      <c r="M2421" s="8">
        <v>233</v>
      </c>
      <c r="N2421" s="8">
        <v>285</v>
      </c>
      <c r="O2421" s="9">
        <f t="shared" si="37"/>
        <v>0.13252640029642437</v>
      </c>
      <c r="P2421" s="6" t="s">
        <v>29</v>
      </c>
    </row>
    <row r="2422" spans="1:16" x14ac:dyDescent="0.25">
      <c r="A2422" s="2" t="s">
        <v>4913</v>
      </c>
      <c r="B2422" s="2" t="s">
        <v>4914</v>
      </c>
      <c r="C2422" s="2" t="s">
        <v>43</v>
      </c>
      <c r="D2422" s="3" t="s">
        <v>172</v>
      </c>
      <c r="E2422" s="3" t="s">
        <v>20</v>
      </c>
      <c r="F2422" s="2" t="s">
        <v>70</v>
      </c>
      <c r="G2422" s="4">
        <v>244759</v>
      </c>
      <c r="H2422" s="4">
        <v>51447</v>
      </c>
      <c r="I2422" s="4">
        <v>46083</v>
      </c>
      <c r="J2422" s="4">
        <v>3928</v>
      </c>
      <c r="K2422" s="4">
        <v>207</v>
      </c>
      <c r="L2422" s="4">
        <v>479</v>
      </c>
      <c r="M2422" s="4">
        <v>13</v>
      </c>
      <c r="N2422" s="4">
        <v>524</v>
      </c>
      <c r="O2422" s="5">
        <f t="shared" si="37"/>
        <v>0.1004057895536315</v>
      </c>
      <c r="P2422" s="2" t="s">
        <v>22</v>
      </c>
    </row>
    <row r="2423" spans="1:16" x14ac:dyDescent="0.25">
      <c r="A2423" s="6" t="s">
        <v>4915</v>
      </c>
      <c r="B2423" s="6" t="s">
        <v>4916</v>
      </c>
      <c r="C2423" s="6" t="s">
        <v>18</v>
      </c>
      <c r="D2423" s="7" t="s">
        <v>231</v>
      </c>
      <c r="E2423" s="7" t="s">
        <v>34</v>
      </c>
      <c r="F2423" s="6" t="s">
        <v>21</v>
      </c>
      <c r="G2423" s="8">
        <v>313628</v>
      </c>
      <c r="H2423" s="8">
        <v>177667</v>
      </c>
      <c r="I2423" s="8">
        <v>145890</v>
      </c>
      <c r="J2423" s="8">
        <v>13688</v>
      </c>
      <c r="K2423" s="8">
        <v>2243</v>
      </c>
      <c r="L2423" s="8">
        <v>1144</v>
      </c>
      <c r="M2423" s="8">
        <v>3102</v>
      </c>
      <c r="N2423" s="8">
        <v>2442</v>
      </c>
      <c r="O2423" s="9">
        <f t="shared" si="37"/>
        <v>0.13830283089999315</v>
      </c>
      <c r="P2423" s="6" t="s">
        <v>29</v>
      </c>
    </row>
    <row r="2424" spans="1:16" x14ac:dyDescent="0.25">
      <c r="A2424" s="2" t="s">
        <v>4917</v>
      </c>
      <c r="B2424" s="2" t="s">
        <v>4918</v>
      </c>
      <c r="C2424" s="2" t="s">
        <v>18</v>
      </c>
      <c r="D2424" s="3" t="s">
        <v>231</v>
      </c>
      <c r="E2424" s="3" t="s">
        <v>27</v>
      </c>
      <c r="F2424" s="2" t="s">
        <v>58</v>
      </c>
      <c r="G2424" s="4">
        <v>479100</v>
      </c>
      <c r="H2424" s="4">
        <v>54011</v>
      </c>
      <c r="I2424" s="4">
        <v>45283</v>
      </c>
      <c r="J2424" s="4">
        <v>3770</v>
      </c>
      <c r="K2424" s="4">
        <v>211</v>
      </c>
      <c r="L2424" s="4">
        <v>556</v>
      </c>
      <c r="M2424" s="4">
        <v>756</v>
      </c>
      <c r="N2424" s="4">
        <v>621</v>
      </c>
      <c r="O2424" s="5">
        <f t="shared" si="37"/>
        <v>0.11688713203630502</v>
      </c>
      <c r="P2424" s="2" t="s">
        <v>22</v>
      </c>
    </row>
    <row r="2425" spans="1:16" x14ac:dyDescent="0.25">
      <c r="A2425" s="6" t="s">
        <v>4919</v>
      </c>
      <c r="B2425" s="6" t="s">
        <v>4920</v>
      </c>
      <c r="C2425" s="6" t="s">
        <v>18</v>
      </c>
      <c r="D2425" s="7" t="s">
        <v>231</v>
      </c>
      <c r="E2425" s="7" t="s">
        <v>45</v>
      </c>
      <c r="F2425" s="6" t="s">
        <v>73</v>
      </c>
      <c r="G2425" s="8">
        <v>385759</v>
      </c>
      <c r="H2425" s="8">
        <v>92459</v>
      </c>
      <c r="I2425" s="8">
        <v>75789</v>
      </c>
      <c r="J2425" s="8">
        <v>4842</v>
      </c>
      <c r="K2425" s="8">
        <v>407</v>
      </c>
      <c r="L2425" s="8">
        <v>105</v>
      </c>
      <c r="M2425" s="8">
        <v>960</v>
      </c>
      <c r="N2425" s="8">
        <v>2536</v>
      </c>
      <c r="O2425" s="9">
        <f t="shared" si="37"/>
        <v>8.3310242911240423E-2</v>
      </c>
      <c r="P2425" s="6" t="s">
        <v>66</v>
      </c>
    </row>
    <row r="2426" spans="1:16" x14ac:dyDescent="0.25">
      <c r="A2426" s="2" t="s">
        <v>4921</v>
      </c>
      <c r="B2426" s="2" t="s">
        <v>4922</v>
      </c>
      <c r="C2426" s="2" t="s">
        <v>25</v>
      </c>
      <c r="D2426" s="3" t="s">
        <v>145</v>
      </c>
      <c r="E2426" s="3" t="s">
        <v>39</v>
      </c>
      <c r="F2426" s="2" t="s">
        <v>146</v>
      </c>
      <c r="G2426" s="4">
        <v>102104</v>
      </c>
      <c r="H2426" s="4">
        <v>12696</v>
      </c>
      <c r="I2426" s="4">
        <v>11026</v>
      </c>
      <c r="J2426" s="4">
        <v>1009</v>
      </c>
      <c r="K2426" s="4">
        <v>137</v>
      </c>
      <c r="L2426" s="4">
        <v>20</v>
      </c>
      <c r="M2426" s="4">
        <v>89</v>
      </c>
      <c r="N2426" s="4">
        <v>153</v>
      </c>
      <c r="O2426" s="5">
        <f t="shared" si="37"/>
        <v>0.11382187556684201</v>
      </c>
      <c r="P2426" s="2" t="s">
        <v>29</v>
      </c>
    </row>
    <row r="2427" spans="1:16" x14ac:dyDescent="0.25">
      <c r="A2427" s="6" t="s">
        <v>4923</v>
      </c>
      <c r="B2427" s="6" t="s">
        <v>4924</v>
      </c>
      <c r="C2427" s="6" t="s">
        <v>32</v>
      </c>
      <c r="D2427" s="7" t="s">
        <v>38</v>
      </c>
      <c r="E2427" s="7" t="s">
        <v>34</v>
      </c>
      <c r="F2427" s="6" t="s">
        <v>128</v>
      </c>
      <c r="G2427" s="8">
        <v>53629</v>
      </c>
      <c r="H2427" s="8">
        <v>16692</v>
      </c>
      <c r="I2427" s="8">
        <v>14940</v>
      </c>
      <c r="J2427" s="8">
        <v>1012</v>
      </c>
      <c r="K2427" s="8">
        <v>180</v>
      </c>
      <c r="L2427" s="8">
        <v>141</v>
      </c>
      <c r="M2427" s="8">
        <v>20</v>
      </c>
      <c r="N2427" s="8">
        <v>176</v>
      </c>
      <c r="O2427" s="9">
        <f t="shared" si="37"/>
        <v>9.0562248995983932E-2</v>
      </c>
      <c r="P2427" s="6" t="s">
        <v>29</v>
      </c>
    </row>
    <row r="2428" spans="1:16" x14ac:dyDescent="0.25">
      <c r="A2428" s="2" t="s">
        <v>4925</v>
      </c>
      <c r="B2428" s="2" t="s">
        <v>4926</v>
      </c>
      <c r="C2428" s="2" t="s">
        <v>32</v>
      </c>
      <c r="D2428" s="3" t="s">
        <v>175</v>
      </c>
      <c r="E2428" s="3" t="s">
        <v>45</v>
      </c>
      <c r="F2428" s="2" t="s">
        <v>51</v>
      </c>
      <c r="G2428" s="4">
        <v>83514</v>
      </c>
      <c r="H2428" s="4">
        <v>42061</v>
      </c>
      <c r="I2428" s="4">
        <v>36480</v>
      </c>
      <c r="J2428" s="4">
        <v>1847</v>
      </c>
      <c r="K2428" s="4">
        <v>314</v>
      </c>
      <c r="L2428" s="4">
        <v>92</v>
      </c>
      <c r="M2428" s="4">
        <v>24</v>
      </c>
      <c r="N2428" s="4">
        <v>329</v>
      </c>
      <c r="O2428" s="5">
        <f t="shared" si="37"/>
        <v>6.241776315789474E-2</v>
      </c>
      <c r="P2428" s="2" t="s">
        <v>22</v>
      </c>
    </row>
    <row r="2429" spans="1:16" x14ac:dyDescent="0.25">
      <c r="A2429" s="6" t="s">
        <v>4927</v>
      </c>
      <c r="B2429" s="6" t="s">
        <v>4928</v>
      </c>
      <c r="C2429" s="6" t="s">
        <v>76</v>
      </c>
      <c r="D2429" s="7" t="s">
        <v>77</v>
      </c>
      <c r="E2429" s="7" t="s">
        <v>39</v>
      </c>
      <c r="F2429" s="6" t="s">
        <v>87</v>
      </c>
      <c r="G2429" s="8">
        <v>727168</v>
      </c>
      <c r="H2429" s="8">
        <v>307720</v>
      </c>
      <c r="I2429" s="8">
        <v>235382</v>
      </c>
      <c r="J2429" s="8">
        <v>14741</v>
      </c>
      <c r="K2429" s="8">
        <v>2075</v>
      </c>
      <c r="L2429" s="8">
        <v>383</v>
      </c>
      <c r="M2429" s="8">
        <v>2984</v>
      </c>
      <c r="N2429" s="8">
        <v>7111</v>
      </c>
      <c r="O2429" s="9">
        <f t="shared" si="37"/>
        <v>8.5745723972096427E-2</v>
      </c>
      <c r="P2429" s="6" t="s">
        <v>29</v>
      </c>
    </row>
    <row r="2430" spans="1:16" x14ac:dyDescent="0.25">
      <c r="A2430" s="2" t="s">
        <v>4929</v>
      </c>
      <c r="B2430" s="2" t="s">
        <v>4930</v>
      </c>
      <c r="C2430" s="2" t="s">
        <v>43</v>
      </c>
      <c r="D2430" s="3" t="s">
        <v>81</v>
      </c>
      <c r="E2430" s="3" t="s">
        <v>34</v>
      </c>
      <c r="F2430" s="2" t="s">
        <v>46</v>
      </c>
      <c r="G2430" s="4">
        <v>435634</v>
      </c>
      <c r="H2430" s="4">
        <v>232984</v>
      </c>
      <c r="I2430" s="4">
        <v>195774</v>
      </c>
      <c r="J2430" s="4">
        <v>6858</v>
      </c>
      <c r="K2430" s="4">
        <v>634</v>
      </c>
      <c r="L2430" s="4">
        <v>338</v>
      </c>
      <c r="M2430" s="4">
        <v>38</v>
      </c>
      <c r="N2430" s="4">
        <v>3744</v>
      </c>
      <c r="O2430" s="5">
        <f t="shared" si="37"/>
        <v>4.0189197748424201E-2</v>
      </c>
      <c r="P2430" s="2" t="s">
        <v>22</v>
      </c>
    </row>
    <row r="2431" spans="1:16" x14ac:dyDescent="0.25">
      <c r="A2431" s="6" t="s">
        <v>4931</v>
      </c>
      <c r="B2431" s="6" t="s">
        <v>4932</v>
      </c>
      <c r="C2431" s="6" t="s">
        <v>18</v>
      </c>
      <c r="D2431" s="7" t="s">
        <v>226</v>
      </c>
      <c r="E2431" s="7" t="s">
        <v>20</v>
      </c>
      <c r="F2431" s="6" t="s">
        <v>73</v>
      </c>
      <c r="G2431" s="8">
        <v>31997</v>
      </c>
      <c r="H2431" s="8">
        <v>5946</v>
      </c>
      <c r="I2431" s="8">
        <v>5186</v>
      </c>
      <c r="J2431" s="8">
        <v>253</v>
      </c>
      <c r="K2431" s="8">
        <v>45</v>
      </c>
      <c r="L2431" s="8">
        <v>6</v>
      </c>
      <c r="M2431" s="8">
        <v>33</v>
      </c>
      <c r="N2431" s="8">
        <v>162</v>
      </c>
      <c r="O2431" s="9">
        <f t="shared" si="37"/>
        <v>6.4982645584265336E-2</v>
      </c>
      <c r="P2431" s="6" t="s">
        <v>22</v>
      </c>
    </row>
    <row r="2432" spans="1:16" x14ac:dyDescent="0.25">
      <c r="A2432" s="2" t="s">
        <v>4933</v>
      </c>
      <c r="B2432" s="2" t="s">
        <v>4934</v>
      </c>
      <c r="C2432" s="2" t="s">
        <v>18</v>
      </c>
      <c r="D2432" s="3" t="s">
        <v>57</v>
      </c>
      <c r="E2432" s="3" t="s">
        <v>39</v>
      </c>
      <c r="F2432" s="2" t="s">
        <v>58</v>
      </c>
      <c r="G2432" s="4">
        <v>304016</v>
      </c>
      <c r="H2432" s="4">
        <v>76483</v>
      </c>
      <c r="I2432" s="4">
        <v>59716</v>
      </c>
      <c r="J2432" s="4">
        <v>1921</v>
      </c>
      <c r="K2432" s="4">
        <v>154</v>
      </c>
      <c r="L2432" s="4">
        <v>76</v>
      </c>
      <c r="M2432" s="4">
        <v>370</v>
      </c>
      <c r="N2432" s="4">
        <v>2364</v>
      </c>
      <c r="O2432" s="5">
        <f t="shared" si="37"/>
        <v>4.22164913925916E-2</v>
      </c>
      <c r="P2432" s="2" t="s">
        <v>29</v>
      </c>
    </row>
    <row r="2433" spans="1:16" x14ac:dyDescent="0.25">
      <c r="A2433" s="6" t="s">
        <v>4935</v>
      </c>
      <c r="B2433" s="6" t="s">
        <v>4936</v>
      </c>
      <c r="C2433" s="6" t="s">
        <v>18</v>
      </c>
      <c r="D2433" s="7" t="s">
        <v>19</v>
      </c>
      <c r="E2433" s="7" t="s">
        <v>39</v>
      </c>
      <c r="F2433" s="6" t="s">
        <v>21</v>
      </c>
      <c r="G2433" s="8">
        <v>333754</v>
      </c>
      <c r="H2433" s="8">
        <v>206263</v>
      </c>
      <c r="I2433" s="8">
        <v>172720</v>
      </c>
      <c r="J2433" s="8">
        <v>15388</v>
      </c>
      <c r="K2433" s="8">
        <v>2595</v>
      </c>
      <c r="L2433" s="8">
        <v>1497</v>
      </c>
      <c r="M2433" s="8">
        <v>2967</v>
      </c>
      <c r="N2433" s="8">
        <v>3512</v>
      </c>
      <c r="O2433" s="9">
        <f t="shared" si="37"/>
        <v>0.12996178786475221</v>
      </c>
      <c r="P2433" s="6" t="s">
        <v>29</v>
      </c>
    </row>
    <row r="2434" spans="1:16" x14ac:dyDescent="0.25">
      <c r="A2434" s="2" t="s">
        <v>4937</v>
      </c>
      <c r="B2434" s="2" t="s">
        <v>4938</v>
      </c>
      <c r="C2434" s="2" t="s">
        <v>76</v>
      </c>
      <c r="D2434" s="3" t="s">
        <v>103</v>
      </c>
      <c r="E2434" s="3" t="s">
        <v>34</v>
      </c>
      <c r="F2434" s="2" t="s">
        <v>87</v>
      </c>
      <c r="G2434" s="4">
        <v>72430</v>
      </c>
      <c r="H2434" s="4">
        <v>35656</v>
      </c>
      <c r="I2434" s="4">
        <v>26192</v>
      </c>
      <c r="J2434" s="4">
        <v>2214</v>
      </c>
      <c r="K2434" s="4">
        <v>232</v>
      </c>
      <c r="L2434" s="4">
        <v>330</v>
      </c>
      <c r="M2434" s="4">
        <v>503</v>
      </c>
      <c r="N2434" s="4">
        <v>1211</v>
      </c>
      <c r="O2434" s="5">
        <f t="shared" ref="O2434:O2497" si="38">IF(I2434&gt;0, (J2434+K2434+L2434+M2434)/I2434, 0)</f>
        <v>0.12519089798411728</v>
      </c>
      <c r="P2434" s="2" t="s">
        <v>22</v>
      </c>
    </row>
    <row r="2435" spans="1:16" x14ac:dyDescent="0.25">
      <c r="A2435" s="6" t="s">
        <v>4939</v>
      </c>
      <c r="B2435" s="6" t="s">
        <v>4940</v>
      </c>
      <c r="C2435" s="6" t="s">
        <v>32</v>
      </c>
      <c r="D2435" s="7" t="s">
        <v>175</v>
      </c>
      <c r="E2435" s="7" t="s">
        <v>45</v>
      </c>
      <c r="F2435" s="6" t="s">
        <v>35</v>
      </c>
      <c r="G2435" s="8">
        <v>751139</v>
      </c>
      <c r="H2435" s="8">
        <v>305576</v>
      </c>
      <c r="I2435" s="8">
        <v>259778</v>
      </c>
      <c r="J2435" s="8">
        <v>13487</v>
      </c>
      <c r="K2435" s="8">
        <v>1054</v>
      </c>
      <c r="L2435" s="8">
        <v>1855</v>
      </c>
      <c r="M2435" s="8">
        <v>20</v>
      </c>
      <c r="N2435" s="8">
        <v>7529</v>
      </c>
      <c r="O2435" s="9">
        <f t="shared" si="38"/>
        <v>6.3192418141644016E-2</v>
      </c>
      <c r="P2435" s="6" t="s">
        <v>22</v>
      </c>
    </row>
    <row r="2436" spans="1:16" x14ac:dyDescent="0.25">
      <c r="A2436" s="2" t="s">
        <v>4941</v>
      </c>
      <c r="B2436" s="2" t="s">
        <v>4942</v>
      </c>
      <c r="C2436" s="2" t="s">
        <v>25</v>
      </c>
      <c r="D2436" s="3" t="s">
        <v>244</v>
      </c>
      <c r="E2436" s="3" t="s">
        <v>34</v>
      </c>
      <c r="F2436" s="2" t="s">
        <v>54</v>
      </c>
      <c r="G2436" s="4">
        <v>683580</v>
      </c>
      <c r="H2436" s="4">
        <v>90050</v>
      </c>
      <c r="I2436" s="4">
        <v>71025</v>
      </c>
      <c r="J2436" s="4">
        <v>6698</v>
      </c>
      <c r="K2436" s="4">
        <v>664</v>
      </c>
      <c r="L2436" s="4">
        <v>470</v>
      </c>
      <c r="M2436" s="4">
        <v>611</v>
      </c>
      <c r="N2436" s="4">
        <v>2819</v>
      </c>
      <c r="O2436" s="5">
        <f t="shared" si="38"/>
        <v>0.1188736360436466</v>
      </c>
      <c r="P2436" s="2" t="s">
        <v>22</v>
      </c>
    </row>
    <row r="2437" spans="1:16" x14ac:dyDescent="0.25">
      <c r="A2437" s="6" t="s">
        <v>4943</v>
      </c>
      <c r="B2437" s="6" t="s">
        <v>4944</v>
      </c>
      <c r="C2437" s="6" t="s">
        <v>43</v>
      </c>
      <c r="D2437" s="7" t="s">
        <v>44</v>
      </c>
      <c r="E2437" s="7" t="s">
        <v>34</v>
      </c>
      <c r="F2437" s="6" t="s">
        <v>107</v>
      </c>
      <c r="G2437" s="8">
        <v>550220</v>
      </c>
      <c r="H2437" s="8">
        <v>247866</v>
      </c>
      <c r="I2437" s="8">
        <v>182358</v>
      </c>
      <c r="J2437" s="8">
        <v>18900</v>
      </c>
      <c r="K2437" s="8">
        <v>3302</v>
      </c>
      <c r="L2437" s="8">
        <v>1533</v>
      </c>
      <c r="M2437" s="8">
        <v>24</v>
      </c>
      <c r="N2437" s="8">
        <v>3898</v>
      </c>
      <c r="O2437" s="9">
        <f t="shared" si="38"/>
        <v>0.13028767589028176</v>
      </c>
      <c r="P2437" s="6" t="s">
        <v>29</v>
      </c>
    </row>
    <row r="2438" spans="1:16" x14ac:dyDescent="0.25">
      <c r="A2438" s="2" t="s">
        <v>4945</v>
      </c>
      <c r="B2438" s="2" t="s">
        <v>4946</v>
      </c>
      <c r="C2438" s="2" t="s">
        <v>43</v>
      </c>
      <c r="D2438" s="3" t="s">
        <v>81</v>
      </c>
      <c r="E2438" s="3" t="s">
        <v>45</v>
      </c>
      <c r="F2438" s="2" t="s">
        <v>107</v>
      </c>
      <c r="G2438" s="4">
        <v>774076</v>
      </c>
      <c r="H2438" s="4">
        <v>190220</v>
      </c>
      <c r="I2438" s="4">
        <v>165843</v>
      </c>
      <c r="J2438" s="4">
        <v>12053</v>
      </c>
      <c r="K2438" s="4">
        <v>1644</v>
      </c>
      <c r="L2438" s="4">
        <v>1609</v>
      </c>
      <c r="M2438" s="4">
        <v>35</v>
      </c>
      <c r="N2438" s="4">
        <v>5629</v>
      </c>
      <c r="O2438" s="5">
        <f t="shared" si="38"/>
        <v>9.2503150570117515E-2</v>
      </c>
      <c r="P2438" s="2" t="s">
        <v>22</v>
      </c>
    </row>
    <row r="2439" spans="1:16" x14ac:dyDescent="0.25">
      <c r="A2439" s="6" t="s">
        <v>4947</v>
      </c>
      <c r="B2439" s="6" t="s">
        <v>4948</v>
      </c>
      <c r="C2439" s="6" t="s">
        <v>18</v>
      </c>
      <c r="D2439" s="7" t="s">
        <v>19</v>
      </c>
      <c r="E2439" s="7" t="s">
        <v>50</v>
      </c>
      <c r="F2439" s="6" t="s">
        <v>73</v>
      </c>
      <c r="G2439" s="8">
        <v>183408</v>
      </c>
      <c r="H2439" s="8">
        <v>83753</v>
      </c>
      <c r="I2439" s="8">
        <v>74034</v>
      </c>
      <c r="J2439" s="8">
        <v>2948</v>
      </c>
      <c r="K2439" s="8">
        <v>530</v>
      </c>
      <c r="L2439" s="8">
        <v>180</v>
      </c>
      <c r="M2439" s="8">
        <v>319</v>
      </c>
      <c r="N2439" s="8">
        <v>1413</v>
      </c>
      <c r="O2439" s="9">
        <f t="shared" si="38"/>
        <v>5.3718561741902371E-2</v>
      </c>
      <c r="P2439" s="6" t="s">
        <v>22</v>
      </c>
    </row>
    <row r="2440" spans="1:16" x14ac:dyDescent="0.25">
      <c r="A2440" s="2" t="s">
        <v>4949</v>
      </c>
      <c r="B2440" s="2" t="s">
        <v>4950</v>
      </c>
      <c r="C2440" s="2" t="s">
        <v>25</v>
      </c>
      <c r="D2440" s="3" t="s">
        <v>145</v>
      </c>
      <c r="E2440" s="3" t="s">
        <v>45</v>
      </c>
      <c r="F2440" s="2" t="s">
        <v>65</v>
      </c>
      <c r="G2440" s="4">
        <v>310626</v>
      </c>
      <c r="H2440" s="4">
        <v>37826</v>
      </c>
      <c r="I2440" s="4">
        <v>29996</v>
      </c>
      <c r="J2440" s="4">
        <v>1916</v>
      </c>
      <c r="K2440" s="4">
        <v>172</v>
      </c>
      <c r="L2440" s="4">
        <v>94</v>
      </c>
      <c r="M2440" s="4">
        <v>404</v>
      </c>
      <c r="N2440" s="4">
        <v>1257</v>
      </c>
      <c r="O2440" s="5">
        <f t="shared" si="38"/>
        <v>8.6211494865982133E-2</v>
      </c>
      <c r="P2440" s="2" t="s">
        <v>29</v>
      </c>
    </row>
    <row r="2441" spans="1:16" x14ac:dyDescent="0.25">
      <c r="A2441" s="6" t="s">
        <v>4951</v>
      </c>
      <c r="B2441" s="6" t="s">
        <v>4952</v>
      </c>
      <c r="C2441" s="6" t="s">
        <v>43</v>
      </c>
      <c r="D2441" s="7" t="s">
        <v>44</v>
      </c>
      <c r="E2441" s="7" t="s">
        <v>20</v>
      </c>
      <c r="F2441" s="6" t="s">
        <v>46</v>
      </c>
      <c r="G2441" s="8">
        <v>725435</v>
      </c>
      <c r="H2441" s="8">
        <v>189776</v>
      </c>
      <c r="I2441" s="8">
        <v>168143</v>
      </c>
      <c r="J2441" s="8">
        <v>9434</v>
      </c>
      <c r="K2441" s="8">
        <v>883</v>
      </c>
      <c r="L2441" s="8">
        <v>586</v>
      </c>
      <c r="M2441" s="8">
        <v>48</v>
      </c>
      <c r="N2441" s="8">
        <v>6217</v>
      </c>
      <c r="O2441" s="9">
        <f t="shared" si="38"/>
        <v>6.5129086551328333E-2</v>
      </c>
      <c r="P2441" s="6" t="s">
        <v>22</v>
      </c>
    </row>
    <row r="2442" spans="1:16" x14ac:dyDescent="0.25">
      <c r="A2442" s="2" t="s">
        <v>4953</v>
      </c>
      <c r="B2442" s="2" t="s">
        <v>4954</v>
      </c>
      <c r="C2442" s="2" t="s">
        <v>18</v>
      </c>
      <c r="D2442" s="3" t="s">
        <v>226</v>
      </c>
      <c r="E2442" s="3" t="s">
        <v>39</v>
      </c>
      <c r="F2442" s="2" t="s">
        <v>21</v>
      </c>
      <c r="G2442" s="4">
        <v>819475</v>
      </c>
      <c r="H2442" s="4">
        <v>449294</v>
      </c>
      <c r="I2442" s="4">
        <v>324007</v>
      </c>
      <c r="J2442" s="4">
        <v>32753</v>
      </c>
      <c r="K2442" s="4">
        <v>3320</v>
      </c>
      <c r="L2442" s="4">
        <v>4910</v>
      </c>
      <c r="M2442" s="4">
        <v>5916</v>
      </c>
      <c r="N2442" s="4">
        <v>14799</v>
      </c>
      <c r="O2442" s="5">
        <f t="shared" si="38"/>
        <v>0.14474687275274917</v>
      </c>
      <c r="P2442" s="2" t="s">
        <v>29</v>
      </c>
    </row>
    <row r="2443" spans="1:16" x14ac:dyDescent="0.25">
      <c r="A2443" s="6" t="s">
        <v>4955</v>
      </c>
      <c r="B2443" s="6" t="s">
        <v>4956</v>
      </c>
      <c r="C2443" s="6" t="s">
        <v>25</v>
      </c>
      <c r="D2443" s="7" t="s">
        <v>145</v>
      </c>
      <c r="E2443" s="7" t="s">
        <v>45</v>
      </c>
      <c r="F2443" s="6" t="s">
        <v>54</v>
      </c>
      <c r="G2443" s="8">
        <v>522977</v>
      </c>
      <c r="H2443" s="8">
        <v>294573</v>
      </c>
      <c r="I2443" s="8">
        <v>247610</v>
      </c>
      <c r="J2443" s="8">
        <v>15356</v>
      </c>
      <c r="K2443" s="8">
        <v>1788</v>
      </c>
      <c r="L2443" s="8">
        <v>1673</v>
      </c>
      <c r="M2443" s="8">
        <v>1754</v>
      </c>
      <c r="N2443" s="8">
        <v>8080</v>
      </c>
      <c r="O2443" s="9">
        <f t="shared" si="38"/>
        <v>8.3078227858325596E-2</v>
      </c>
      <c r="P2443" s="6" t="s">
        <v>22</v>
      </c>
    </row>
    <row r="2444" spans="1:16" x14ac:dyDescent="0.25">
      <c r="A2444" s="2" t="s">
        <v>4957</v>
      </c>
      <c r="B2444" s="2" t="s">
        <v>4958</v>
      </c>
      <c r="C2444" s="2" t="s">
        <v>18</v>
      </c>
      <c r="D2444" s="3" t="s">
        <v>226</v>
      </c>
      <c r="E2444" s="3" t="s">
        <v>45</v>
      </c>
      <c r="F2444" s="2" t="s">
        <v>73</v>
      </c>
      <c r="G2444" s="4">
        <v>340886</v>
      </c>
      <c r="H2444" s="4">
        <v>215146</v>
      </c>
      <c r="I2444" s="4">
        <v>164019</v>
      </c>
      <c r="J2444" s="4">
        <v>8258</v>
      </c>
      <c r="K2444" s="4">
        <v>864</v>
      </c>
      <c r="L2444" s="4">
        <v>420</v>
      </c>
      <c r="M2444" s="4">
        <v>1572</v>
      </c>
      <c r="N2444" s="4">
        <v>3471</v>
      </c>
      <c r="O2444" s="5">
        <f t="shared" si="38"/>
        <v>6.7760442387772152E-2</v>
      </c>
      <c r="P2444" s="2" t="s">
        <v>29</v>
      </c>
    </row>
    <row r="2445" spans="1:16" x14ac:dyDescent="0.25">
      <c r="A2445" s="6" t="s">
        <v>4959</v>
      </c>
      <c r="B2445" s="6" t="s">
        <v>4960</v>
      </c>
      <c r="C2445" s="6" t="s">
        <v>32</v>
      </c>
      <c r="D2445" s="7" t="s">
        <v>33</v>
      </c>
      <c r="E2445" s="7" t="s">
        <v>39</v>
      </c>
      <c r="F2445" s="6" t="s">
        <v>128</v>
      </c>
      <c r="G2445" s="8">
        <v>100834</v>
      </c>
      <c r="H2445" s="8">
        <v>36917</v>
      </c>
      <c r="I2445" s="8">
        <v>27110</v>
      </c>
      <c r="J2445" s="8">
        <v>2845</v>
      </c>
      <c r="K2445" s="8">
        <v>442</v>
      </c>
      <c r="L2445" s="8">
        <v>85</v>
      </c>
      <c r="M2445" s="8">
        <v>44</v>
      </c>
      <c r="N2445" s="8">
        <v>720</v>
      </c>
      <c r="O2445" s="9">
        <f t="shared" si="38"/>
        <v>0.12600516414607155</v>
      </c>
      <c r="P2445" s="6" t="s">
        <v>29</v>
      </c>
    </row>
    <row r="2446" spans="1:16" x14ac:dyDescent="0.25">
      <c r="A2446" s="2" t="s">
        <v>4961</v>
      </c>
      <c r="B2446" s="2" t="s">
        <v>4962</v>
      </c>
      <c r="C2446" s="2" t="s">
        <v>43</v>
      </c>
      <c r="D2446" s="3" t="s">
        <v>44</v>
      </c>
      <c r="E2446" s="3" t="s">
        <v>39</v>
      </c>
      <c r="F2446" s="2" t="s">
        <v>70</v>
      </c>
      <c r="G2446" s="4">
        <v>89119</v>
      </c>
      <c r="H2446" s="4">
        <v>13000</v>
      </c>
      <c r="I2446" s="4">
        <v>10877</v>
      </c>
      <c r="J2446" s="4">
        <v>694</v>
      </c>
      <c r="K2446" s="4">
        <v>93</v>
      </c>
      <c r="L2446" s="4">
        <v>38</v>
      </c>
      <c r="M2446" s="4">
        <v>1</v>
      </c>
      <c r="N2446" s="4">
        <v>352</v>
      </c>
      <c r="O2446" s="5">
        <f t="shared" si="38"/>
        <v>7.5940057001011307E-2</v>
      </c>
      <c r="P2446" s="2" t="s">
        <v>22</v>
      </c>
    </row>
    <row r="2447" spans="1:16" x14ac:dyDescent="0.25">
      <c r="A2447" s="6" t="s">
        <v>4963</v>
      </c>
      <c r="B2447" s="6" t="s">
        <v>4964</v>
      </c>
      <c r="C2447" s="6" t="s">
        <v>18</v>
      </c>
      <c r="D2447" s="7" t="s">
        <v>226</v>
      </c>
      <c r="E2447" s="7" t="s">
        <v>27</v>
      </c>
      <c r="F2447" s="6" t="s">
        <v>58</v>
      </c>
      <c r="G2447" s="8">
        <v>509059</v>
      </c>
      <c r="H2447" s="8">
        <v>85166</v>
      </c>
      <c r="I2447" s="8">
        <v>69558</v>
      </c>
      <c r="J2447" s="8">
        <v>3987</v>
      </c>
      <c r="K2447" s="8">
        <v>211</v>
      </c>
      <c r="L2447" s="8">
        <v>286</v>
      </c>
      <c r="M2447" s="8">
        <v>238</v>
      </c>
      <c r="N2447" s="8">
        <v>2843</v>
      </c>
      <c r="O2447" s="9">
        <f t="shared" si="38"/>
        <v>6.7885793151039417E-2</v>
      </c>
      <c r="P2447" s="6" t="s">
        <v>29</v>
      </c>
    </row>
    <row r="2448" spans="1:16" x14ac:dyDescent="0.25">
      <c r="A2448" s="2" t="s">
        <v>4965</v>
      </c>
      <c r="B2448" s="2" t="s">
        <v>4966</v>
      </c>
      <c r="C2448" s="2" t="s">
        <v>25</v>
      </c>
      <c r="D2448" s="3" t="s">
        <v>244</v>
      </c>
      <c r="E2448" s="3" t="s">
        <v>34</v>
      </c>
      <c r="F2448" s="2" t="s">
        <v>65</v>
      </c>
      <c r="G2448" s="4">
        <v>668815</v>
      </c>
      <c r="H2448" s="4">
        <v>281030</v>
      </c>
      <c r="I2448" s="4">
        <v>198899</v>
      </c>
      <c r="J2448" s="4">
        <v>17255</v>
      </c>
      <c r="K2448" s="4">
        <v>2390</v>
      </c>
      <c r="L2448" s="4">
        <v>2360</v>
      </c>
      <c r="M2448" s="4">
        <v>3724</v>
      </c>
      <c r="N2448" s="4">
        <v>8059</v>
      </c>
      <c r="O2448" s="5">
        <f t="shared" si="38"/>
        <v>0.1293571108954796</v>
      </c>
      <c r="P2448" s="2" t="s">
        <v>22</v>
      </c>
    </row>
    <row r="2449" spans="1:16" x14ac:dyDescent="0.25">
      <c r="A2449" s="6" t="s">
        <v>4967</v>
      </c>
      <c r="B2449" s="6" t="s">
        <v>4968</v>
      </c>
      <c r="C2449" s="6" t="s">
        <v>43</v>
      </c>
      <c r="D2449" s="7" t="s">
        <v>81</v>
      </c>
      <c r="E2449" s="7" t="s">
        <v>27</v>
      </c>
      <c r="F2449" s="6" t="s">
        <v>107</v>
      </c>
      <c r="G2449" s="8">
        <v>773944</v>
      </c>
      <c r="H2449" s="8">
        <v>85704</v>
      </c>
      <c r="I2449" s="8">
        <v>75058</v>
      </c>
      <c r="J2449" s="8">
        <v>2171</v>
      </c>
      <c r="K2449" s="8">
        <v>105</v>
      </c>
      <c r="L2449" s="8">
        <v>314</v>
      </c>
      <c r="M2449" s="8">
        <v>7</v>
      </c>
      <c r="N2449" s="8">
        <v>1612</v>
      </c>
      <c r="O2449" s="9">
        <f t="shared" si="38"/>
        <v>3.4599909403394705E-2</v>
      </c>
      <c r="P2449" s="6" t="s">
        <v>22</v>
      </c>
    </row>
    <row r="2450" spans="1:16" x14ac:dyDescent="0.25">
      <c r="A2450" s="2" t="s">
        <v>4969</v>
      </c>
      <c r="B2450" s="2" t="s">
        <v>4970</v>
      </c>
      <c r="C2450" s="2" t="s">
        <v>25</v>
      </c>
      <c r="D2450" s="3" t="s">
        <v>64</v>
      </c>
      <c r="E2450" s="3" t="s">
        <v>20</v>
      </c>
      <c r="F2450" s="2" t="s">
        <v>146</v>
      </c>
      <c r="G2450" s="4">
        <v>87760</v>
      </c>
      <c r="H2450" s="4">
        <v>26538</v>
      </c>
      <c r="I2450" s="4">
        <v>19376</v>
      </c>
      <c r="J2450" s="4">
        <v>534</v>
      </c>
      <c r="K2450" s="4">
        <v>71</v>
      </c>
      <c r="L2450" s="4">
        <v>68</v>
      </c>
      <c r="M2450" s="4">
        <v>82</v>
      </c>
      <c r="N2450" s="4">
        <v>406</v>
      </c>
      <c r="O2450" s="5">
        <f t="shared" si="38"/>
        <v>3.8965730800990916E-2</v>
      </c>
      <c r="P2450" s="2" t="s">
        <v>29</v>
      </c>
    </row>
    <row r="2451" spans="1:16" x14ac:dyDescent="0.25">
      <c r="A2451" s="6" t="s">
        <v>4971</v>
      </c>
      <c r="B2451" s="6" t="s">
        <v>4972</v>
      </c>
      <c r="C2451" s="6" t="s">
        <v>32</v>
      </c>
      <c r="D2451" s="7" t="s">
        <v>175</v>
      </c>
      <c r="E2451" s="7" t="s">
        <v>50</v>
      </c>
      <c r="F2451" s="6" t="s">
        <v>128</v>
      </c>
      <c r="G2451" s="8">
        <v>201183</v>
      </c>
      <c r="H2451" s="8">
        <v>36101</v>
      </c>
      <c r="I2451" s="8">
        <v>30896</v>
      </c>
      <c r="J2451" s="8">
        <v>1130</v>
      </c>
      <c r="K2451" s="8">
        <v>68</v>
      </c>
      <c r="L2451" s="8">
        <v>118</v>
      </c>
      <c r="M2451" s="8">
        <v>14</v>
      </c>
      <c r="N2451" s="8">
        <v>938</v>
      </c>
      <c r="O2451" s="9">
        <f t="shared" si="38"/>
        <v>4.3047643707923355E-2</v>
      </c>
      <c r="P2451" s="6" t="s">
        <v>29</v>
      </c>
    </row>
    <row r="2452" spans="1:16" x14ac:dyDescent="0.25">
      <c r="A2452" s="2" t="s">
        <v>4973</v>
      </c>
      <c r="B2452" s="2" t="s">
        <v>4974</v>
      </c>
      <c r="C2452" s="2" t="s">
        <v>18</v>
      </c>
      <c r="D2452" s="3" t="s">
        <v>19</v>
      </c>
      <c r="E2452" s="3" t="s">
        <v>34</v>
      </c>
      <c r="F2452" s="2" t="s">
        <v>73</v>
      </c>
      <c r="G2452" s="4">
        <v>267402</v>
      </c>
      <c r="H2452" s="4">
        <v>88347</v>
      </c>
      <c r="I2452" s="4">
        <v>79265</v>
      </c>
      <c r="J2452" s="4">
        <v>3149</v>
      </c>
      <c r="K2452" s="4">
        <v>269</v>
      </c>
      <c r="L2452" s="4">
        <v>271</v>
      </c>
      <c r="M2452" s="4">
        <v>198</v>
      </c>
      <c r="N2452" s="4">
        <v>2320</v>
      </c>
      <c r="O2452" s="5">
        <f t="shared" si="38"/>
        <v>4.9038036964612376E-2</v>
      </c>
      <c r="P2452" s="2" t="s">
        <v>22</v>
      </c>
    </row>
    <row r="2453" spans="1:16" x14ac:dyDescent="0.25">
      <c r="A2453" s="6" t="s">
        <v>4975</v>
      </c>
      <c r="B2453" s="6" t="s">
        <v>4976</v>
      </c>
      <c r="C2453" s="6" t="s">
        <v>18</v>
      </c>
      <c r="D2453" s="7" t="s">
        <v>92</v>
      </c>
      <c r="E2453" s="7" t="s">
        <v>20</v>
      </c>
      <c r="F2453" s="6" t="s">
        <v>73</v>
      </c>
      <c r="G2453" s="8">
        <v>834637</v>
      </c>
      <c r="H2453" s="8">
        <v>519832</v>
      </c>
      <c r="I2453" s="8">
        <v>456143</v>
      </c>
      <c r="J2453" s="8">
        <v>10464</v>
      </c>
      <c r="K2453" s="8">
        <v>1516</v>
      </c>
      <c r="L2453" s="8">
        <v>704</v>
      </c>
      <c r="M2453" s="8">
        <v>1965</v>
      </c>
      <c r="N2453" s="8">
        <v>14126</v>
      </c>
      <c r="O2453" s="9">
        <f t="shared" si="38"/>
        <v>3.2114928870990017E-2</v>
      </c>
      <c r="P2453" s="6" t="s">
        <v>22</v>
      </c>
    </row>
    <row r="2454" spans="1:16" x14ac:dyDescent="0.25">
      <c r="A2454" s="2" t="s">
        <v>4977</v>
      </c>
      <c r="B2454" s="2" t="s">
        <v>4978</v>
      </c>
      <c r="C2454" s="2" t="s">
        <v>43</v>
      </c>
      <c r="D2454" s="3" t="s">
        <v>44</v>
      </c>
      <c r="E2454" s="3" t="s">
        <v>39</v>
      </c>
      <c r="F2454" s="2" t="s">
        <v>46</v>
      </c>
      <c r="G2454" s="4">
        <v>706520</v>
      </c>
      <c r="H2454" s="4">
        <v>253274</v>
      </c>
      <c r="I2454" s="4">
        <v>209886</v>
      </c>
      <c r="J2454" s="4">
        <v>11962</v>
      </c>
      <c r="K2454" s="4">
        <v>758</v>
      </c>
      <c r="L2454" s="4">
        <v>1361</v>
      </c>
      <c r="M2454" s="4">
        <v>6</v>
      </c>
      <c r="N2454" s="4">
        <v>4474</v>
      </c>
      <c r="O2454" s="5">
        <f t="shared" si="38"/>
        <v>6.7117387534185224E-2</v>
      </c>
      <c r="P2454" s="2" t="s">
        <v>29</v>
      </c>
    </row>
    <row r="2455" spans="1:16" x14ac:dyDescent="0.25">
      <c r="A2455" s="6" t="s">
        <v>4979</v>
      </c>
      <c r="B2455" s="6" t="s">
        <v>4980</v>
      </c>
      <c r="C2455" s="6" t="s">
        <v>76</v>
      </c>
      <c r="D2455" s="7" t="s">
        <v>86</v>
      </c>
      <c r="E2455" s="7" t="s">
        <v>50</v>
      </c>
      <c r="F2455" s="6" t="s">
        <v>87</v>
      </c>
      <c r="G2455" s="8">
        <v>109431</v>
      </c>
      <c r="H2455" s="8">
        <v>48465</v>
      </c>
      <c r="I2455" s="8">
        <v>40915</v>
      </c>
      <c r="J2455" s="8">
        <v>1116</v>
      </c>
      <c r="K2455" s="8">
        <v>38</v>
      </c>
      <c r="L2455" s="8">
        <v>69</v>
      </c>
      <c r="M2455" s="8">
        <v>139</v>
      </c>
      <c r="N2455" s="8">
        <v>1354</v>
      </c>
      <c r="O2455" s="9">
        <f t="shared" si="38"/>
        <v>3.3288524990834657E-2</v>
      </c>
      <c r="P2455" s="6" t="s">
        <v>22</v>
      </c>
    </row>
    <row r="2456" spans="1:16" x14ac:dyDescent="0.25">
      <c r="A2456" s="2" t="s">
        <v>4981</v>
      </c>
      <c r="B2456" s="2" t="s">
        <v>4982</v>
      </c>
      <c r="C2456" s="2" t="s">
        <v>18</v>
      </c>
      <c r="D2456" s="3" t="s">
        <v>92</v>
      </c>
      <c r="E2456" s="3" t="s">
        <v>50</v>
      </c>
      <c r="F2456" s="2" t="s">
        <v>73</v>
      </c>
      <c r="G2456" s="4">
        <v>769743</v>
      </c>
      <c r="H2456" s="4">
        <v>136400</v>
      </c>
      <c r="I2456" s="4">
        <v>120169</v>
      </c>
      <c r="J2456" s="4">
        <v>3760</v>
      </c>
      <c r="K2456" s="4">
        <v>241</v>
      </c>
      <c r="L2456" s="4">
        <v>158</v>
      </c>
      <c r="M2456" s="4">
        <v>213</v>
      </c>
      <c r="N2456" s="4">
        <v>2662</v>
      </c>
      <c r="O2456" s="5">
        <f t="shared" si="38"/>
        <v>3.638209521590427E-2</v>
      </c>
      <c r="P2456" s="2" t="s">
        <v>22</v>
      </c>
    </row>
    <row r="2457" spans="1:16" x14ac:dyDescent="0.25">
      <c r="A2457" s="6" t="s">
        <v>4983</v>
      </c>
      <c r="B2457" s="6" t="s">
        <v>4984</v>
      </c>
      <c r="C2457" s="6" t="s">
        <v>32</v>
      </c>
      <c r="D2457" s="7" t="s">
        <v>175</v>
      </c>
      <c r="E2457" s="7" t="s">
        <v>45</v>
      </c>
      <c r="F2457" s="6" t="s">
        <v>40</v>
      </c>
      <c r="G2457" s="8">
        <v>219764</v>
      </c>
      <c r="H2457" s="8">
        <v>122022</v>
      </c>
      <c r="I2457" s="8">
        <v>98301</v>
      </c>
      <c r="J2457" s="8">
        <v>9644</v>
      </c>
      <c r="K2457" s="8">
        <v>1699</v>
      </c>
      <c r="L2457" s="8">
        <v>897</v>
      </c>
      <c r="M2457" s="8">
        <v>28</v>
      </c>
      <c r="N2457" s="8">
        <v>4119</v>
      </c>
      <c r="O2457" s="9">
        <f t="shared" si="38"/>
        <v>0.12480035808384451</v>
      </c>
      <c r="P2457" s="6" t="s">
        <v>22</v>
      </c>
    </row>
    <row r="2458" spans="1:16" x14ac:dyDescent="0.25">
      <c r="A2458" s="2" t="s">
        <v>4985</v>
      </c>
      <c r="B2458" s="2" t="s">
        <v>4986</v>
      </c>
      <c r="C2458" s="2" t="s">
        <v>76</v>
      </c>
      <c r="D2458" s="3" t="s">
        <v>182</v>
      </c>
      <c r="E2458" s="3" t="s">
        <v>45</v>
      </c>
      <c r="F2458" s="2" t="s">
        <v>155</v>
      </c>
      <c r="G2458" s="4">
        <v>149886</v>
      </c>
      <c r="H2458" s="4">
        <v>16611</v>
      </c>
      <c r="I2458" s="4">
        <v>13883</v>
      </c>
      <c r="J2458" s="4">
        <v>1139</v>
      </c>
      <c r="K2458" s="4">
        <v>69</v>
      </c>
      <c r="L2458" s="4">
        <v>32</v>
      </c>
      <c r="M2458" s="4">
        <v>81</v>
      </c>
      <c r="N2458" s="4">
        <v>198</v>
      </c>
      <c r="O2458" s="5">
        <f t="shared" si="38"/>
        <v>9.5152344594107902E-2</v>
      </c>
      <c r="P2458" s="2" t="s">
        <v>66</v>
      </c>
    </row>
    <row r="2459" spans="1:16" x14ac:dyDescent="0.25">
      <c r="A2459" s="6" t="s">
        <v>4987</v>
      </c>
      <c r="B2459" s="6" t="s">
        <v>4988</v>
      </c>
      <c r="C2459" s="6" t="s">
        <v>43</v>
      </c>
      <c r="D2459" s="7" t="s">
        <v>172</v>
      </c>
      <c r="E2459" s="7" t="s">
        <v>27</v>
      </c>
      <c r="F2459" s="6" t="s">
        <v>70</v>
      </c>
      <c r="G2459" s="8">
        <v>569058</v>
      </c>
      <c r="H2459" s="8">
        <v>1991238</v>
      </c>
      <c r="I2459" s="8">
        <v>1825195</v>
      </c>
      <c r="J2459" s="8">
        <v>92115</v>
      </c>
      <c r="K2459" s="8">
        <v>12994</v>
      </c>
      <c r="L2459" s="8">
        <v>4612</v>
      </c>
      <c r="M2459" s="8">
        <v>7</v>
      </c>
      <c r="N2459" s="8">
        <v>15674</v>
      </c>
      <c r="O2459" s="9">
        <f t="shared" si="38"/>
        <v>6.0118507885458812E-2</v>
      </c>
      <c r="P2459" s="6" t="s">
        <v>29</v>
      </c>
    </row>
    <row r="2460" spans="1:16" x14ac:dyDescent="0.25">
      <c r="A2460" s="2" t="s">
        <v>4989</v>
      </c>
      <c r="B2460" s="2" t="s">
        <v>4990</v>
      </c>
      <c r="C2460" s="2" t="s">
        <v>43</v>
      </c>
      <c r="D2460" s="3" t="s">
        <v>110</v>
      </c>
      <c r="E2460" s="3" t="s">
        <v>39</v>
      </c>
      <c r="F2460" s="2" t="s">
        <v>70</v>
      </c>
      <c r="G2460" s="4">
        <v>323572</v>
      </c>
      <c r="H2460" s="4">
        <v>83643</v>
      </c>
      <c r="I2460" s="4">
        <v>66639</v>
      </c>
      <c r="J2460" s="4">
        <v>4123</v>
      </c>
      <c r="K2460" s="4">
        <v>732</v>
      </c>
      <c r="L2460" s="4">
        <v>90</v>
      </c>
      <c r="M2460" s="4">
        <v>14</v>
      </c>
      <c r="N2460" s="4">
        <v>2722</v>
      </c>
      <c r="O2460" s="5">
        <f t="shared" si="38"/>
        <v>7.4415882591275379E-2</v>
      </c>
      <c r="P2460" s="2" t="s">
        <v>22</v>
      </c>
    </row>
    <row r="2461" spans="1:16" x14ac:dyDescent="0.25">
      <c r="A2461" s="6" t="s">
        <v>4991</v>
      </c>
      <c r="B2461" s="6" t="s">
        <v>4992</v>
      </c>
      <c r="C2461" s="6" t="s">
        <v>25</v>
      </c>
      <c r="D2461" s="7" t="s">
        <v>244</v>
      </c>
      <c r="E2461" s="7" t="s">
        <v>27</v>
      </c>
      <c r="F2461" s="6" t="s">
        <v>54</v>
      </c>
      <c r="G2461" s="8">
        <v>702042</v>
      </c>
      <c r="H2461" s="8">
        <v>260716</v>
      </c>
      <c r="I2461" s="8">
        <v>214357</v>
      </c>
      <c r="J2461" s="8">
        <v>8017</v>
      </c>
      <c r="K2461" s="8">
        <v>1024</v>
      </c>
      <c r="L2461" s="8">
        <v>402</v>
      </c>
      <c r="M2461" s="8">
        <v>1992</v>
      </c>
      <c r="N2461" s="8">
        <v>1756</v>
      </c>
      <c r="O2461" s="9">
        <f t="shared" si="38"/>
        <v>5.3345587034713121E-2</v>
      </c>
      <c r="P2461" s="6" t="s">
        <v>66</v>
      </c>
    </row>
    <row r="2462" spans="1:16" x14ac:dyDescent="0.25">
      <c r="A2462" s="2" t="s">
        <v>4993</v>
      </c>
      <c r="B2462" s="2" t="s">
        <v>4994</v>
      </c>
      <c r="C2462" s="2" t="s">
        <v>32</v>
      </c>
      <c r="D2462" s="3" t="s">
        <v>33</v>
      </c>
      <c r="E2462" s="3" t="s">
        <v>27</v>
      </c>
      <c r="F2462" s="2" t="s">
        <v>51</v>
      </c>
      <c r="G2462" s="4">
        <v>359656</v>
      </c>
      <c r="H2462" s="4">
        <v>179721</v>
      </c>
      <c r="I2462" s="4">
        <v>144170</v>
      </c>
      <c r="J2462" s="4">
        <v>14292</v>
      </c>
      <c r="K2462" s="4">
        <v>1342</v>
      </c>
      <c r="L2462" s="4">
        <v>833</v>
      </c>
      <c r="M2462" s="4">
        <v>20</v>
      </c>
      <c r="N2462" s="4">
        <v>5666</v>
      </c>
      <c r="O2462" s="5">
        <f t="shared" si="38"/>
        <v>0.11435804952486647</v>
      </c>
      <c r="P2462" s="2" t="s">
        <v>29</v>
      </c>
    </row>
    <row r="2463" spans="1:16" x14ac:dyDescent="0.25">
      <c r="A2463" s="6" t="s">
        <v>4995</v>
      </c>
      <c r="B2463" s="6" t="s">
        <v>4996</v>
      </c>
      <c r="C2463" s="6" t="s">
        <v>32</v>
      </c>
      <c r="D2463" s="7" t="s">
        <v>175</v>
      </c>
      <c r="E2463" s="7" t="s">
        <v>39</v>
      </c>
      <c r="F2463" s="6" t="s">
        <v>35</v>
      </c>
      <c r="G2463" s="8">
        <v>438804</v>
      </c>
      <c r="H2463" s="8">
        <v>158517</v>
      </c>
      <c r="I2463" s="8">
        <v>142005</v>
      </c>
      <c r="J2463" s="8">
        <v>9810</v>
      </c>
      <c r="K2463" s="8">
        <v>607</v>
      </c>
      <c r="L2463" s="8">
        <v>1350</v>
      </c>
      <c r="M2463" s="8">
        <v>5</v>
      </c>
      <c r="N2463" s="8">
        <v>1267</v>
      </c>
      <c r="O2463" s="9">
        <f t="shared" si="38"/>
        <v>8.2898489489806701E-2</v>
      </c>
      <c r="P2463" s="6" t="s">
        <v>29</v>
      </c>
    </row>
    <row r="2464" spans="1:16" x14ac:dyDescent="0.25">
      <c r="A2464" s="2" t="s">
        <v>4997</v>
      </c>
      <c r="B2464" s="2" t="s">
        <v>4998</v>
      </c>
      <c r="C2464" s="2" t="s">
        <v>76</v>
      </c>
      <c r="D2464" s="3" t="s">
        <v>77</v>
      </c>
      <c r="E2464" s="3" t="s">
        <v>27</v>
      </c>
      <c r="F2464" s="2" t="s">
        <v>78</v>
      </c>
      <c r="G2464" s="4">
        <v>355827</v>
      </c>
      <c r="H2464" s="4">
        <v>33650</v>
      </c>
      <c r="I2464" s="4">
        <v>27183</v>
      </c>
      <c r="J2464" s="4">
        <v>2139</v>
      </c>
      <c r="K2464" s="4">
        <v>334</v>
      </c>
      <c r="L2464" s="4">
        <v>113</v>
      </c>
      <c r="M2464" s="4">
        <v>131</v>
      </c>
      <c r="N2464" s="4">
        <v>660</v>
      </c>
      <c r="O2464" s="5">
        <f t="shared" si="38"/>
        <v>9.9952175992348152E-2</v>
      </c>
      <c r="P2464" s="2" t="s">
        <v>29</v>
      </c>
    </row>
    <row r="2465" spans="1:16" x14ac:dyDescent="0.25">
      <c r="A2465" s="6" t="s">
        <v>4999</v>
      </c>
      <c r="B2465" s="6" t="s">
        <v>5000</v>
      </c>
      <c r="C2465" s="6" t="s">
        <v>32</v>
      </c>
      <c r="D2465" s="7" t="s">
        <v>33</v>
      </c>
      <c r="E2465" s="7" t="s">
        <v>45</v>
      </c>
      <c r="F2465" s="6" t="s">
        <v>51</v>
      </c>
      <c r="G2465" s="8">
        <v>31316</v>
      </c>
      <c r="H2465" s="8">
        <v>16977</v>
      </c>
      <c r="I2465" s="8">
        <v>12396</v>
      </c>
      <c r="J2465" s="8">
        <v>391</v>
      </c>
      <c r="K2465" s="8">
        <v>12</v>
      </c>
      <c r="L2465" s="8">
        <v>57</v>
      </c>
      <c r="M2465" s="8">
        <v>23</v>
      </c>
      <c r="N2465" s="8">
        <v>348</v>
      </c>
      <c r="O2465" s="9">
        <f t="shared" si="38"/>
        <v>3.8964181994191674E-2</v>
      </c>
      <c r="P2465" s="6" t="s">
        <v>22</v>
      </c>
    </row>
    <row r="2466" spans="1:16" x14ac:dyDescent="0.25">
      <c r="A2466" s="2" t="s">
        <v>5001</v>
      </c>
      <c r="B2466" s="2" t="s">
        <v>5002</v>
      </c>
      <c r="C2466" s="2" t="s">
        <v>18</v>
      </c>
      <c r="D2466" s="3" t="s">
        <v>57</v>
      </c>
      <c r="E2466" s="3" t="s">
        <v>45</v>
      </c>
      <c r="F2466" s="2" t="s">
        <v>58</v>
      </c>
      <c r="G2466" s="4">
        <v>135646</v>
      </c>
      <c r="H2466" s="4">
        <v>54063</v>
      </c>
      <c r="I2466" s="4">
        <v>40744</v>
      </c>
      <c r="J2466" s="4">
        <v>2249</v>
      </c>
      <c r="K2466" s="4">
        <v>333</v>
      </c>
      <c r="L2466" s="4">
        <v>138</v>
      </c>
      <c r="M2466" s="4">
        <v>457</v>
      </c>
      <c r="N2466" s="4">
        <v>1803</v>
      </c>
      <c r="O2466" s="5">
        <f t="shared" si="38"/>
        <v>7.7974671117219715E-2</v>
      </c>
      <c r="P2466" s="2" t="s">
        <v>29</v>
      </c>
    </row>
    <row r="2467" spans="1:16" x14ac:dyDescent="0.25">
      <c r="A2467" s="6" t="s">
        <v>5003</v>
      </c>
      <c r="B2467" s="6" t="s">
        <v>5004</v>
      </c>
      <c r="C2467" s="6" t="s">
        <v>18</v>
      </c>
      <c r="D2467" s="7" t="s">
        <v>19</v>
      </c>
      <c r="E2467" s="7" t="s">
        <v>39</v>
      </c>
      <c r="F2467" s="6" t="s">
        <v>58</v>
      </c>
      <c r="G2467" s="8">
        <v>657096</v>
      </c>
      <c r="H2467" s="8">
        <v>101028</v>
      </c>
      <c r="I2467" s="8">
        <v>80727</v>
      </c>
      <c r="J2467" s="8">
        <v>2983</v>
      </c>
      <c r="K2467" s="8">
        <v>491</v>
      </c>
      <c r="L2467" s="8">
        <v>342</v>
      </c>
      <c r="M2467" s="8">
        <v>519</v>
      </c>
      <c r="N2467" s="8">
        <v>1949</v>
      </c>
      <c r="O2467" s="9">
        <f t="shared" si="38"/>
        <v>5.369950574157345E-2</v>
      </c>
      <c r="P2467" s="6" t="s">
        <v>29</v>
      </c>
    </row>
    <row r="2468" spans="1:16" x14ac:dyDescent="0.25">
      <c r="A2468" s="2" t="s">
        <v>5005</v>
      </c>
      <c r="B2468" s="2" t="s">
        <v>5006</v>
      </c>
      <c r="C2468" s="2" t="s">
        <v>18</v>
      </c>
      <c r="D2468" s="3" t="s">
        <v>231</v>
      </c>
      <c r="E2468" s="3" t="s">
        <v>34</v>
      </c>
      <c r="F2468" s="2" t="s">
        <v>73</v>
      </c>
      <c r="G2468" s="4">
        <v>106011</v>
      </c>
      <c r="H2468" s="4">
        <v>54013</v>
      </c>
      <c r="I2468" s="4">
        <v>49302</v>
      </c>
      <c r="J2468" s="4">
        <v>2423</v>
      </c>
      <c r="K2468" s="4">
        <v>385</v>
      </c>
      <c r="L2468" s="4">
        <v>343</v>
      </c>
      <c r="M2468" s="4">
        <v>483</v>
      </c>
      <c r="N2468" s="4">
        <v>720</v>
      </c>
      <c r="O2468" s="5">
        <f t="shared" si="38"/>
        <v>7.3708977323435149E-2</v>
      </c>
      <c r="P2468" s="2" t="s">
        <v>22</v>
      </c>
    </row>
    <row r="2469" spans="1:16" x14ac:dyDescent="0.25">
      <c r="A2469" s="6" t="s">
        <v>5007</v>
      </c>
      <c r="B2469" s="6" t="s">
        <v>5008</v>
      </c>
      <c r="C2469" s="6" t="s">
        <v>43</v>
      </c>
      <c r="D2469" s="7" t="s">
        <v>81</v>
      </c>
      <c r="E2469" s="7" t="s">
        <v>45</v>
      </c>
      <c r="F2469" s="6" t="s">
        <v>46</v>
      </c>
      <c r="G2469" s="8">
        <v>278841</v>
      </c>
      <c r="H2469" s="8">
        <v>51782</v>
      </c>
      <c r="I2469" s="8">
        <v>39212</v>
      </c>
      <c r="J2469" s="8">
        <v>3914</v>
      </c>
      <c r="K2469" s="8">
        <v>490</v>
      </c>
      <c r="L2469" s="8">
        <v>538</v>
      </c>
      <c r="M2469" s="8">
        <v>23</v>
      </c>
      <c r="N2469" s="8">
        <v>1693</v>
      </c>
      <c r="O2469" s="9">
        <f t="shared" si="38"/>
        <v>0.12661940222380905</v>
      </c>
      <c r="P2469" s="6" t="s">
        <v>29</v>
      </c>
    </row>
    <row r="2470" spans="1:16" x14ac:dyDescent="0.25">
      <c r="A2470" s="2" t="s">
        <v>5009</v>
      </c>
      <c r="B2470" s="2" t="s">
        <v>5010</v>
      </c>
      <c r="C2470" s="2" t="s">
        <v>76</v>
      </c>
      <c r="D2470" s="3" t="s">
        <v>189</v>
      </c>
      <c r="E2470" s="3" t="s">
        <v>20</v>
      </c>
      <c r="F2470" s="2" t="s">
        <v>87</v>
      </c>
      <c r="G2470" s="4">
        <v>125228</v>
      </c>
      <c r="H2470" s="4">
        <v>56128</v>
      </c>
      <c r="I2470" s="4">
        <v>43191</v>
      </c>
      <c r="J2470" s="4">
        <v>3602</v>
      </c>
      <c r="K2470" s="4">
        <v>475</v>
      </c>
      <c r="L2470" s="4">
        <v>88</v>
      </c>
      <c r="M2470" s="4">
        <v>886</v>
      </c>
      <c r="N2470" s="4">
        <v>401</v>
      </c>
      <c r="O2470" s="5">
        <f t="shared" si="38"/>
        <v>0.11694565997545785</v>
      </c>
      <c r="P2470" s="2" t="s">
        <v>66</v>
      </c>
    </row>
    <row r="2471" spans="1:16" x14ac:dyDescent="0.25">
      <c r="A2471" s="6" t="s">
        <v>5011</v>
      </c>
      <c r="B2471" s="6" t="s">
        <v>5012</v>
      </c>
      <c r="C2471" s="6" t="s">
        <v>76</v>
      </c>
      <c r="D2471" s="7" t="s">
        <v>103</v>
      </c>
      <c r="E2471" s="7" t="s">
        <v>45</v>
      </c>
      <c r="F2471" s="6" t="s">
        <v>87</v>
      </c>
      <c r="G2471" s="8">
        <v>408926</v>
      </c>
      <c r="H2471" s="8">
        <v>37167</v>
      </c>
      <c r="I2471" s="8">
        <v>32909</v>
      </c>
      <c r="J2471" s="8">
        <v>2490</v>
      </c>
      <c r="K2471" s="8">
        <v>176</v>
      </c>
      <c r="L2471" s="8">
        <v>190</v>
      </c>
      <c r="M2471" s="8">
        <v>278</v>
      </c>
      <c r="N2471" s="8">
        <v>472</v>
      </c>
      <c r="O2471" s="9">
        <f t="shared" si="38"/>
        <v>9.5232307271567049E-2</v>
      </c>
      <c r="P2471" s="6" t="s">
        <v>66</v>
      </c>
    </row>
    <row r="2472" spans="1:16" x14ac:dyDescent="0.25">
      <c r="A2472" s="2" t="s">
        <v>5013</v>
      </c>
      <c r="B2472" s="2" t="s">
        <v>5014</v>
      </c>
      <c r="C2472" s="2" t="s">
        <v>76</v>
      </c>
      <c r="D2472" s="3" t="s">
        <v>77</v>
      </c>
      <c r="E2472" s="3" t="s">
        <v>50</v>
      </c>
      <c r="F2472" s="2" t="s">
        <v>104</v>
      </c>
      <c r="G2472" s="4">
        <v>269750</v>
      </c>
      <c r="H2472" s="4">
        <v>60314</v>
      </c>
      <c r="I2472" s="4">
        <v>47328</v>
      </c>
      <c r="J2472" s="4">
        <v>4072</v>
      </c>
      <c r="K2472" s="4">
        <v>302</v>
      </c>
      <c r="L2472" s="4">
        <v>593</v>
      </c>
      <c r="M2472" s="4">
        <v>863</v>
      </c>
      <c r="N2472" s="4">
        <v>936</v>
      </c>
      <c r="O2472" s="5">
        <f t="shared" si="38"/>
        <v>0.12318289384719405</v>
      </c>
      <c r="P2472" s="2" t="s">
        <v>22</v>
      </c>
    </row>
    <row r="2473" spans="1:16" x14ac:dyDescent="0.25">
      <c r="A2473" s="6" t="s">
        <v>5015</v>
      </c>
      <c r="B2473" s="6" t="s">
        <v>5016</v>
      </c>
      <c r="C2473" s="6" t="s">
        <v>43</v>
      </c>
      <c r="D2473" s="7" t="s">
        <v>172</v>
      </c>
      <c r="E2473" s="7" t="s">
        <v>20</v>
      </c>
      <c r="F2473" s="6" t="s">
        <v>46</v>
      </c>
      <c r="G2473" s="8">
        <v>418066</v>
      </c>
      <c r="H2473" s="8">
        <v>108808</v>
      </c>
      <c r="I2473" s="8">
        <v>77614</v>
      </c>
      <c r="J2473" s="8">
        <v>8483</v>
      </c>
      <c r="K2473" s="8">
        <v>929</v>
      </c>
      <c r="L2473" s="8">
        <v>937</v>
      </c>
      <c r="M2473" s="8">
        <v>38</v>
      </c>
      <c r="N2473" s="8">
        <v>1625</v>
      </c>
      <c r="O2473" s="9">
        <f t="shared" si="38"/>
        <v>0.13382894838560053</v>
      </c>
      <c r="P2473" s="6" t="s">
        <v>22</v>
      </c>
    </row>
    <row r="2474" spans="1:16" x14ac:dyDescent="0.25">
      <c r="A2474" s="2" t="s">
        <v>5017</v>
      </c>
      <c r="B2474" s="2" t="s">
        <v>5018</v>
      </c>
      <c r="C2474" s="2" t="s">
        <v>76</v>
      </c>
      <c r="D2474" s="3" t="s">
        <v>182</v>
      </c>
      <c r="E2474" s="3" t="s">
        <v>50</v>
      </c>
      <c r="F2474" s="2" t="s">
        <v>155</v>
      </c>
      <c r="G2474" s="4">
        <v>716857</v>
      </c>
      <c r="H2474" s="4">
        <v>81815</v>
      </c>
      <c r="I2474" s="4">
        <v>59385</v>
      </c>
      <c r="J2474" s="4">
        <v>4415</v>
      </c>
      <c r="K2474" s="4">
        <v>530</v>
      </c>
      <c r="L2474" s="4">
        <v>265</v>
      </c>
      <c r="M2474" s="4">
        <v>316</v>
      </c>
      <c r="N2474" s="4">
        <v>2716</v>
      </c>
      <c r="O2474" s="5">
        <f t="shared" si="38"/>
        <v>9.305380146501642E-2</v>
      </c>
      <c r="P2474" s="2" t="s">
        <v>22</v>
      </c>
    </row>
    <row r="2475" spans="1:16" x14ac:dyDescent="0.25">
      <c r="A2475" s="6" t="s">
        <v>5019</v>
      </c>
      <c r="B2475" s="6" t="s">
        <v>5020</v>
      </c>
      <c r="C2475" s="6" t="s">
        <v>18</v>
      </c>
      <c r="D2475" s="7" t="s">
        <v>226</v>
      </c>
      <c r="E2475" s="7" t="s">
        <v>45</v>
      </c>
      <c r="F2475" s="6" t="s">
        <v>58</v>
      </c>
      <c r="G2475" s="8">
        <v>719477</v>
      </c>
      <c r="H2475" s="8">
        <v>446911</v>
      </c>
      <c r="I2475" s="8">
        <v>397074</v>
      </c>
      <c r="J2475" s="8">
        <v>34965</v>
      </c>
      <c r="K2475" s="8">
        <v>4517</v>
      </c>
      <c r="L2475" s="8">
        <v>4690</v>
      </c>
      <c r="M2475" s="8">
        <v>7472</v>
      </c>
      <c r="N2475" s="8">
        <v>13404</v>
      </c>
      <c r="O2475" s="9">
        <f t="shared" si="38"/>
        <v>0.1300613991346701</v>
      </c>
      <c r="P2475" s="6" t="s">
        <v>22</v>
      </c>
    </row>
    <row r="2476" spans="1:16" x14ac:dyDescent="0.25">
      <c r="A2476" s="2" t="s">
        <v>5021</v>
      </c>
      <c r="B2476" s="2" t="s">
        <v>5022</v>
      </c>
      <c r="C2476" s="2" t="s">
        <v>25</v>
      </c>
      <c r="D2476" s="3" t="s">
        <v>64</v>
      </c>
      <c r="E2476" s="3" t="s">
        <v>34</v>
      </c>
      <c r="F2476" s="2" t="s">
        <v>65</v>
      </c>
      <c r="G2476" s="4">
        <v>424028</v>
      </c>
      <c r="H2476" s="4">
        <v>73115</v>
      </c>
      <c r="I2476" s="4">
        <v>66677</v>
      </c>
      <c r="J2476" s="4">
        <v>1899</v>
      </c>
      <c r="K2476" s="4">
        <v>202</v>
      </c>
      <c r="L2476" s="4">
        <v>265</v>
      </c>
      <c r="M2476" s="4">
        <v>200</v>
      </c>
      <c r="N2476" s="4">
        <v>1667</v>
      </c>
      <c r="O2476" s="5">
        <f t="shared" si="38"/>
        <v>3.8484034974578939E-2</v>
      </c>
      <c r="P2476" s="2" t="s">
        <v>22</v>
      </c>
    </row>
    <row r="2477" spans="1:16" x14ac:dyDescent="0.25">
      <c r="A2477" s="6" t="s">
        <v>5023</v>
      </c>
      <c r="B2477" s="6" t="s">
        <v>5024</v>
      </c>
      <c r="C2477" s="6" t="s">
        <v>25</v>
      </c>
      <c r="D2477" s="7" t="s">
        <v>244</v>
      </c>
      <c r="E2477" s="7" t="s">
        <v>45</v>
      </c>
      <c r="F2477" s="6" t="s">
        <v>28</v>
      </c>
      <c r="G2477" s="8">
        <v>90577</v>
      </c>
      <c r="H2477" s="8">
        <v>35241</v>
      </c>
      <c r="I2477" s="8">
        <v>28611</v>
      </c>
      <c r="J2477" s="8">
        <v>2338</v>
      </c>
      <c r="K2477" s="8">
        <v>374</v>
      </c>
      <c r="L2477" s="8">
        <v>306</v>
      </c>
      <c r="M2477" s="8">
        <v>488</v>
      </c>
      <c r="N2477" s="8">
        <v>1089</v>
      </c>
      <c r="O2477" s="9">
        <f t="shared" si="38"/>
        <v>0.12254028170983189</v>
      </c>
      <c r="P2477" s="6" t="s">
        <v>29</v>
      </c>
    </row>
    <row r="2478" spans="1:16" x14ac:dyDescent="0.25">
      <c r="A2478" s="2" t="s">
        <v>5025</v>
      </c>
      <c r="B2478" s="2" t="s">
        <v>5026</v>
      </c>
      <c r="C2478" s="2" t="s">
        <v>18</v>
      </c>
      <c r="D2478" s="3" t="s">
        <v>57</v>
      </c>
      <c r="E2478" s="3" t="s">
        <v>45</v>
      </c>
      <c r="F2478" s="2" t="s">
        <v>73</v>
      </c>
      <c r="G2478" s="4">
        <v>747241</v>
      </c>
      <c r="H2478" s="4">
        <v>306083</v>
      </c>
      <c r="I2478" s="4">
        <v>262542</v>
      </c>
      <c r="J2478" s="4">
        <v>24103</v>
      </c>
      <c r="K2478" s="4">
        <v>1056</v>
      </c>
      <c r="L2478" s="4">
        <v>3174</v>
      </c>
      <c r="M2478" s="4">
        <v>5618</v>
      </c>
      <c r="N2478" s="4">
        <v>4279</v>
      </c>
      <c r="O2478" s="5">
        <f t="shared" si="38"/>
        <v>0.12931645222478688</v>
      </c>
      <c r="P2478" s="2" t="s">
        <v>22</v>
      </c>
    </row>
    <row r="2479" spans="1:16" x14ac:dyDescent="0.25">
      <c r="A2479" s="6" t="s">
        <v>5027</v>
      </c>
      <c r="B2479" s="6" t="s">
        <v>5028</v>
      </c>
      <c r="C2479" s="6" t="s">
        <v>76</v>
      </c>
      <c r="D2479" s="7" t="s">
        <v>189</v>
      </c>
      <c r="E2479" s="7" t="s">
        <v>45</v>
      </c>
      <c r="F2479" s="6" t="s">
        <v>78</v>
      </c>
      <c r="G2479" s="8">
        <v>405665</v>
      </c>
      <c r="H2479" s="8">
        <v>208358</v>
      </c>
      <c r="I2479" s="8">
        <v>157542</v>
      </c>
      <c r="J2479" s="8">
        <v>9232</v>
      </c>
      <c r="K2479" s="8">
        <v>1498</v>
      </c>
      <c r="L2479" s="8">
        <v>1139</v>
      </c>
      <c r="M2479" s="8">
        <v>747</v>
      </c>
      <c r="N2479" s="8">
        <v>5722</v>
      </c>
      <c r="O2479" s="9">
        <f t="shared" si="38"/>
        <v>8.00802325729012E-2</v>
      </c>
      <c r="P2479" s="6" t="s">
        <v>22</v>
      </c>
    </row>
    <row r="2480" spans="1:16" x14ac:dyDescent="0.25">
      <c r="A2480" s="2" t="s">
        <v>5029</v>
      </c>
      <c r="B2480" s="2" t="s">
        <v>5030</v>
      </c>
      <c r="C2480" s="2" t="s">
        <v>76</v>
      </c>
      <c r="D2480" s="3" t="s">
        <v>182</v>
      </c>
      <c r="E2480" s="3" t="s">
        <v>20</v>
      </c>
      <c r="F2480" s="2" t="s">
        <v>104</v>
      </c>
      <c r="G2480" s="4">
        <v>419096</v>
      </c>
      <c r="H2480" s="4">
        <v>194434</v>
      </c>
      <c r="I2480" s="4">
        <v>153986</v>
      </c>
      <c r="J2480" s="4">
        <v>6859</v>
      </c>
      <c r="K2480" s="4">
        <v>794</v>
      </c>
      <c r="L2480" s="4">
        <v>962</v>
      </c>
      <c r="M2480" s="4">
        <v>964</v>
      </c>
      <c r="N2480" s="4">
        <v>1236</v>
      </c>
      <c r="O2480" s="5">
        <f t="shared" si="38"/>
        <v>6.2206953878924061E-2</v>
      </c>
      <c r="P2480" s="2" t="s">
        <v>22</v>
      </c>
    </row>
    <row r="2481" spans="1:16" x14ac:dyDescent="0.25">
      <c r="A2481" s="6" t="s">
        <v>5031</v>
      </c>
      <c r="B2481" s="6" t="s">
        <v>5032</v>
      </c>
      <c r="C2481" s="6" t="s">
        <v>43</v>
      </c>
      <c r="D2481" s="7" t="s">
        <v>81</v>
      </c>
      <c r="E2481" s="7" t="s">
        <v>27</v>
      </c>
      <c r="F2481" s="6" t="s">
        <v>46</v>
      </c>
      <c r="G2481" s="8">
        <v>131075</v>
      </c>
      <c r="H2481" s="8">
        <v>73743</v>
      </c>
      <c r="I2481" s="8">
        <v>58861</v>
      </c>
      <c r="J2481" s="8">
        <v>3428</v>
      </c>
      <c r="K2481" s="8">
        <v>517</v>
      </c>
      <c r="L2481" s="8">
        <v>261</v>
      </c>
      <c r="M2481" s="8">
        <v>44</v>
      </c>
      <c r="N2481" s="8">
        <v>2471</v>
      </c>
      <c r="O2481" s="9">
        <f t="shared" si="38"/>
        <v>7.2204006048147334E-2</v>
      </c>
      <c r="P2481" s="6" t="s">
        <v>29</v>
      </c>
    </row>
    <row r="2482" spans="1:16" x14ac:dyDescent="0.25">
      <c r="A2482" s="2" t="s">
        <v>5033</v>
      </c>
      <c r="B2482" s="2" t="s">
        <v>5034</v>
      </c>
      <c r="C2482" s="2" t="s">
        <v>76</v>
      </c>
      <c r="D2482" s="3" t="s">
        <v>189</v>
      </c>
      <c r="E2482" s="3" t="s">
        <v>20</v>
      </c>
      <c r="F2482" s="2" t="s">
        <v>78</v>
      </c>
      <c r="G2482" s="4">
        <v>174132</v>
      </c>
      <c r="H2482" s="4">
        <v>39053</v>
      </c>
      <c r="I2482" s="4">
        <v>32293</v>
      </c>
      <c r="J2482" s="4">
        <v>2300</v>
      </c>
      <c r="K2482" s="4">
        <v>141</v>
      </c>
      <c r="L2482" s="4">
        <v>180</v>
      </c>
      <c r="M2482" s="4">
        <v>512</v>
      </c>
      <c r="N2482" s="4">
        <v>776</v>
      </c>
      <c r="O2482" s="5">
        <f t="shared" si="38"/>
        <v>9.7017929582262408E-2</v>
      </c>
      <c r="P2482" s="2" t="s">
        <v>66</v>
      </c>
    </row>
    <row r="2483" spans="1:16" x14ac:dyDescent="0.25">
      <c r="A2483" s="6" t="s">
        <v>5035</v>
      </c>
      <c r="B2483" s="6" t="s">
        <v>5036</v>
      </c>
      <c r="C2483" s="6" t="s">
        <v>32</v>
      </c>
      <c r="D2483" s="7" t="s">
        <v>121</v>
      </c>
      <c r="E2483" s="7" t="s">
        <v>50</v>
      </c>
      <c r="F2483" s="6" t="s">
        <v>128</v>
      </c>
      <c r="G2483" s="8">
        <v>29928</v>
      </c>
      <c r="H2483" s="8">
        <v>16821</v>
      </c>
      <c r="I2483" s="8">
        <v>14489</v>
      </c>
      <c r="J2483" s="8">
        <v>550</v>
      </c>
      <c r="K2483" s="8">
        <v>90</v>
      </c>
      <c r="L2483" s="8">
        <v>53</v>
      </c>
      <c r="M2483" s="8">
        <v>42</v>
      </c>
      <c r="N2483" s="8">
        <v>500</v>
      </c>
      <c r="O2483" s="9">
        <f t="shared" si="38"/>
        <v>5.0728138587894267E-2</v>
      </c>
      <c r="P2483" s="6" t="s">
        <v>22</v>
      </c>
    </row>
    <row r="2484" spans="1:16" x14ac:dyDescent="0.25">
      <c r="A2484" s="2" t="s">
        <v>5037</v>
      </c>
      <c r="B2484" s="2" t="s">
        <v>5038</v>
      </c>
      <c r="C2484" s="2" t="s">
        <v>18</v>
      </c>
      <c r="D2484" s="3" t="s">
        <v>57</v>
      </c>
      <c r="E2484" s="3" t="s">
        <v>39</v>
      </c>
      <c r="F2484" s="2" t="s">
        <v>58</v>
      </c>
      <c r="G2484" s="4">
        <v>118874</v>
      </c>
      <c r="H2484" s="4">
        <v>33593</v>
      </c>
      <c r="I2484" s="4">
        <v>29766</v>
      </c>
      <c r="J2484" s="4">
        <v>1615</v>
      </c>
      <c r="K2484" s="4">
        <v>272</v>
      </c>
      <c r="L2484" s="4">
        <v>60</v>
      </c>
      <c r="M2484" s="4">
        <v>198</v>
      </c>
      <c r="N2484" s="4">
        <v>1127</v>
      </c>
      <c r="O2484" s="5">
        <f t="shared" si="38"/>
        <v>7.2062084257206213E-2</v>
      </c>
      <c r="P2484" s="2" t="s">
        <v>22</v>
      </c>
    </row>
    <row r="2485" spans="1:16" x14ac:dyDescent="0.25">
      <c r="A2485" s="6" t="s">
        <v>5039</v>
      </c>
      <c r="B2485" s="6" t="s">
        <v>5040</v>
      </c>
      <c r="C2485" s="6" t="s">
        <v>18</v>
      </c>
      <c r="D2485" s="7" t="s">
        <v>92</v>
      </c>
      <c r="E2485" s="7" t="s">
        <v>50</v>
      </c>
      <c r="F2485" s="6" t="s">
        <v>21</v>
      </c>
      <c r="G2485" s="8">
        <v>673483</v>
      </c>
      <c r="H2485" s="8">
        <v>292236</v>
      </c>
      <c r="I2485" s="8">
        <v>261017</v>
      </c>
      <c r="J2485" s="8">
        <v>11468</v>
      </c>
      <c r="K2485" s="8">
        <v>1741</v>
      </c>
      <c r="L2485" s="8">
        <v>426</v>
      </c>
      <c r="M2485" s="8">
        <v>1466</v>
      </c>
      <c r="N2485" s="8">
        <v>6983</v>
      </c>
      <c r="O2485" s="9">
        <f t="shared" si="38"/>
        <v>5.7854469249129369E-2</v>
      </c>
      <c r="P2485" s="6" t="s">
        <v>22</v>
      </c>
    </row>
    <row r="2486" spans="1:16" x14ac:dyDescent="0.25">
      <c r="A2486" s="2" t="s">
        <v>5041</v>
      </c>
      <c r="B2486" s="2" t="s">
        <v>5042</v>
      </c>
      <c r="C2486" s="2" t="s">
        <v>18</v>
      </c>
      <c r="D2486" s="3" t="s">
        <v>231</v>
      </c>
      <c r="E2486" s="3" t="s">
        <v>45</v>
      </c>
      <c r="F2486" s="2" t="s">
        <v>58</v>
      </c>
      <c r="G2486" s="4">
        <v>746484</v>
      </c>
      <c r="H2486" s="4">
        <v>261148</v>
      </c>
      <c r="I2486" s="4">
        <v>221475</v>
      </c>
      <c r="J2486" s="4">
        <v>8521</v>
      </c>
      <c r="K2486" s="4">
        <v>1314</v>
      </c>
      <c r="L2486" s="4">
        <v>934</v>
      </c>
      <c r="M2486" s="4">
        <v>2081</v>
      </c>
      <c r="N2486" s="4">
        <v>1330</v>
      </c>
      <c r="O2486" s="5">
        <f t="shared" si="38"/>
        <v>5.8020092561237163E-2</v>
      </c>
      <c r="P2486" s="2" t="s">
        <v>66</v>
      </c>
    </row>
    <row r="2487" spans="1:16" x14ac:dyDescent="0.25">
      <c r="A2487" s="6" t="s">
        <v>5043</v>
      </c>
      <c r="B2487" s="6" t="s">
        <v>5044</v>
      </c>
      <c r="C2487" s="6" t="s">
        <v>18</v>
      </c>
      <c r="D2487" s="7" t="s">
        <v>19</v>
      </c>
      <c r="E2487" s="7" t="s">
        <v>34</v>
      </c>
      <c r="F2487" s="6" t="s">
        <v>73</v>
      </c>
      <c r="G2487" s="8">
        <v>473643</v>
      </c>
      <c r="H2487" s="8">
        <v>288574</v>
      </c>
      <c r="I2487" s="8">
        <v>210302</v>
      </c>
      <c r="J2487" s="8">
        <v>16593</v>
      </c>
      <c r="K2487" s="8">
        <v>2228</v>
      </c>
      <c r="L2487" s="8">
        <v>640</v>
      </c>
      <c r="M2487" s="8">
        <v>2120</v>
      </c>
      <c r="N2487" s="8">
        <v>4273</v>
      </c>
      <c r="O2487" s="9">
        <f t="shared" si="38"/>
        <v>0.10261909064107806</v>
      </c>
      <c r="P2487" s="6" t="s">
        <v>22</v>
      </c>
    </row>
    <row r="2488" spans="1:16" x14ac:dyDescent="0.25">
      <c r="A2488" s="2" t="s">
        <v>5045</v>
      </c>
      <c r="B2488" s="2" t="s">
        <v>5046</v>
      </c>
      <c r="C2488" s="2" t="s">
        <v>43</v>
      </c>
      <c r="D2488" s="3" t="s">
        <v>172</v>
      </c>
      <c r="E2488" s="3" t="s">
        <v>50</v>
      </c>
      <c r="F2488" s="2" t="s">
        <v>70</v>
      </c>
      <c r="G2488" s="4">
        <v>773602</v>
      </c>
      <c r="H2488" s="4">
        <v>495130</v>
      </c>
      <c r="I2488" s="4">
        <v>390498</v>
      </c>
      <c r="J2488" s="4">
        <v>16876</v>
      </c>
      <c r="K2488" s="4">
        <v>2848</v>
      </c>
      <c r="L2488" s="4">
        <v>2116</v>
      </c>
      <c r="M2488" s="4">
        <v>34</v>
      </c>
      <c r="N2488" s="4">
        <v>2937</v>
      </c>
      <c r="O2488" s="5">
        <f t="shared" si="38"/>
        <v>5.6015651808716052E-2</v>
      </c>
      <c r="P2488" s="2" t="s">
        <v>29</v>
      </c>
    </row>
    <row r="2489" spans="1:16" x14ac:dyDescent="0.25">
      <c r="A2489" s="6" t="s">
        <v>5047</v>
      </c>
      <c r="B2489" s="6" t="s">
        <v>5048</v>
      </c>
      <c r="C2489" s="6" t="s">
        <v>18</v>
      </c>
      <c r="D2489" s="7" t="s">
        <v>231</v>
      </c>
      <c r="E2489" s="7" t="s">
        <v>27</v>
      </c>
      <c r="F2489" s="6" t="s">
        <v>21</v>
      </c>
      <c r="G2489" s="8">
        <v>675082</v>
      </c>
      <c r="H2489" s="8">
        <v>284910</v>
      </c>
      <c r="I2489" s="8">
        <v>249830</v>
      </c>
      <c r="J2489" s="8">
        <v>10578</v>
      </c>
      <c r="K2489" s="8">
        <v>1415</v>
      </c>
      <c r="L2489" s="8">
        <v>275</v>
      </c>
      <c r="M2489" s="8">
        <v>2560</v>
      </c>
      <c r="N2489" s="8">
        <v>6579</v>
      </c>
      <c r="O2489" s="9">
        <f t="shared" si="38"/>
        <v>5.9352359604531078E-2</v>
      </c>
      <c r="P2489" s="6" t="s">
        <v>22</v>
      </c>
    </row>
    <row r="2490" spans="1:16" x14ac:dyDescent="0.25">
      <c r="A2490" s="2" t="s">
        <v>5049</v>
      </c>
      <c r="B2490" s="2" t="s">
        <v>5050</v>
      </c>
      <c r="C2490" s="2" t="s">
        <v>32</v>
      </c>
      <c r="D2490" s="3" t="s">
        <v>121</v>
      </c>
      <c r="E2490" s="3" t="s">
        <v>39</v>
      </c>
      <c r="F2490" s="2" t="s">
        <v>40</v>
      </c>
      <c r="G2490" s="4">
        <v>148846</v>
      </c>
      <c r="H2490" s="4">
        <v>20915</v>
      </c>
      <c r="I2490" s="4">
        <v>17236</v>
      </c>
      <c r="J2490" s="4">
        <v>499</v>
      </c>
      <c r="K2490" s="4">
        <v>23</v>
      </c>
      <c r="L2490" s="4">
        <v>22</v>
      </c>
      <c r="M2490" s="4">
        <v>43</v>
      </c>
      <c r="N2490" s="4">
        <v>373</v>
      </c>
      <c r="O2490" s="5">
        <f t="shared" si="38"/>
        <v>3.4056625667208171E-2</v>
      </c>
      <c r="P2490" s="2" t="s">
        <v>22</v>
      </c>
    </row>
    <row r="2491" spans="1:16" x14ac:dyDescent="0.25">
      <c r="A2491" s="6" t="s">
        <v>5051</v>
      </c>
      <c r="B2491" s="6" t="s">
        <v>5052</v>
      </c>
      <c r="C2491" s="6" t="s">
        <v>25</v>
      </c>
      <c r="D2491" s="7" t="s">
        <v>244</v>
      </c>
      <c r="E2491" s="7" t="s">
        <v>27</v>
      </c>
      <c r="F2491" s="6" t="s">
        <v>146</v>
      </c>
      <c r="G2491" s="8">
        <v>363491</v>
      </c>
      <c r="H2491" s="8">
        <v>1180214</v>
      </c>
      <c r="I2491" s="8">
        <v>916684</v>
      </c>
      <c r="J2491" s="8">
        <v>67016</v>
      </c>
      <c r="K2491" s="8">
        <v>7339</v>
      </c>
      <c r="L2491" s="8">
        <v>5525</v>
      </c>
      <c r="M2491" s="8">
        <v>10181</v>
      </c>
      <c r="N2491" s="8">
        <v>13271</v>
      </c>
      <c r="O2491" s="9">
        <f t="shared" si="38"/>
        <v>9.8246505884252364E-2</v>
      </c>
      <c r="P2491" s="6" t="s">
        <v>22</v>
      </c>
    </row>
    <row r="2492" spans="1:16" x14ac:dyDescent="0.25">
      <c r="A2492" s="2" t="s">
        <v>5053</v>
      </c>
      <c r="B2492" s="2" t="s">
        <v>5054</v>
      </c>
      <c r="C2492" s="2" t="s">
        <v>25</v>
      </c>
      <c r="D2492" s="3" t="s">
        <v>64</v>
      </c>
      <c r="E2492" s="3" t="s">
        <v>45</v>
      </c>
      <c r="F2492" s="2" t="s">
        <v>28</v>
      </c>
      <c r="G2492" s="4">
        <v>775258</v>
      </c>
      <c r="H2492" s="4">
        <v>124513</v>
      </c>
      <c r="I2492" s="4">
        <v>100316</v>
      </c>
      <c r="J2492" s="4">
        <v>4221</v>
      </c>
      <c r="K2492" s="4">
        <v>652</v>
      </c>
      <c r="L2492" s="4">
        <v>321</v>
      </c>
      <c r="M2492" s="4">
        <v>937</v>
      </c>
      <c r="N2492" s="4">
        <v>1278</v>
      </c>
      <c r="O2492" s="5">
        <f t="shared" si="38"/>
        <v>6.1116870688623946E-2</v>
      </c>
      <c r="P2492" s="2" t="s">
        <v>29</v>
      </c>
    </row>
    <row r="2493" spans="1:16" x14ac:dyDescent="0.25">
      <c r="A2493" s="6" t="s">
        <v>5055</v>
      </c>
      <c r="B2493" s="6" t="s">
        <v>5056</v>
      </c>
      <c r="C2493" s="6" t="s">
        <v>76</v>
      </c>
      <c r="D2493" s="7" t="s">
        <v>77</v>
      </c>
      <c r="E2493" s="7" t="s">
        <v>45</v>
      </c>
      <c r="F2493" s="6" t="s">
        <v>104</v>
      </c>
      <c r="G2493" s="8">
        <v>707919</v>
      </c>
      <c r="H2493" s="8">
        <v>198855</v>
      </c>
      <c r="I2493" s="8">
        <v>166023</v>
      </c>
      <c r="J2493" s="8">
        <v>5384</v>
      </c>
      <c r="K2493" s="8">
        <v>722</v>
      </c>
      <c r="L2493" s="8">
        <v>508</v>
      </c>
      <c r="M2493" s="8">
        <v>592</v>
      </c>
      <c r="N2493" s="8">
        <v>6369</v>
      </c>
      <c r="O2493" s="9">
        <f t="shared" si="38"/>
        <v>4.3403624798973639E-2</v>
      </c>
      <c r="P2493" s="6" t="s">
        <v>22</v>
      </c>
    </row>
    <row r="2494" spans="1:16" x14ac:dyDescent="0.25">
      <c r="A2494" s="2" t="s">
        <v>5057</v>
      </c>
      <c r="B2494" s="2" t="s">
        <v>5058</v>
      </c>
      <c r="C2494" s="2" t="s">
        <v>43</v>
      </c>
      <c r="D2494" s="3" t="s">
        <v>69</v>
      </c>
      <c r="E2494" s="3" t="s">
        <v>27</v>
      </c>
      <c r="F2494" s="2" t="s">
        <v>70</v>
      </c>
      <c r="G2494" s="4">
        <v>278451</v>
      </c>
      <c r="H2494" s="4">
        <v>78974</v>
      </c>
      <c r="I2494" s="4">
        <v>56947</v>
      </c>
      <c r="J2494" s="4">
        <v>1968</v>
      </c>
      <c r="K2494" s="4">
        <v>101</v>
      </c>
      <c r="L2494" s="4">
        <v>246</v>
      </c>
      <c r="M2494" s="4">
        <v>14</v>
      </c>
      <c r="N2494" s="4">
        <v>1728</v>
      </c>
      <c r="O2494" s="5">
        <f t="shared" si="38"/>
        <v>4.0897676787188086E-2</v>
      </c>
      <c r="P2494" s="2" t="s">
        <v>66</v>
      </c>
    </row>
    <row r="2495" spans="1:16" x14ac:dyDescent="0.25">
      <c r="A2495" s="6" t="s">
        <v>5059</v>
      </c>
      <c r="B2495" s="6" t="s">
        <v>5060</v>
      </c>
      <c r="C2495" s="6" t="s">
        <v>32</v>
      </c>
      <c r="D2495" s="7" t="s">
        <v>121</v>
      </c>
      <c r="E2495" s="7" t="s">
        <v>45</v>
      </c>
      <c r="F2495" s="6" t="s">
        <v>40</v>
      </c>
      <c r="G2495" s="8">
        <v>164172</v>
      </c>
      <c r="H2495" s="8">
        <v>101793</v>
      </c>
      <c r="I2495" s="8">
        <v>89777</v>
      </c>
      <c r="J2495" s="8">
        <v>5441</v>
      </c>
      <c r="K2495" s="8">
        <v>332</v>
      </c>
      <c r="L2495" s="8">
        <v>449</v>
      </c>
      <c r="M2495" s="8">
        <v>43</v>
      </c>
      <c r="N2495" s="8">
        <v>2786</v>
      </c>
      <c r="O2495" s="9">
        <f t="shared" si="38"/>
        <v>6.9784020406117378E-2</v>
      </c>
      <c r="P2495" s="6" t="s">
        <v>66</v>
      </c>
    </row>
    <row r="2496" spans="1:16" x14ac:dyDescent="0.25">
      <c r="A2496" s="2" t="s">
        <v>5061</v>
      </c>
      <c r="B2496" s="2" t="s">
        <v>5062</v>
      </c>
      <c r="C2496" s="2" t="s">
        <v>18</v>
      </c>
      <c r="D2496" s="3" t="s">
        <v>57</v>
      </c>
      <c r="E2496" s="3" t="s">
        <v>20</v>
      </c>
      <c r="F2496" s="2" t="s">
        <v>58</v>
      </c>
      <c r="G2496" s="4">
        <v>756956</v>
      </c>
      <c r="H2496" s="4">
        <v>192796</v>
      </c>
      <c r="I2496" s="4">
        <v>161675</v>
      </c>
      <c r="J2496" s="4">
        <v>7609</v>
      </c>
      <c r="K2496" s="4">
        <v>1067</v>
      </c>
      <c r="L2496" s="4">
        <v>161</v>
      </c>
      <c r="M2496" s="4">
        <v>1873</v>
      </c>
      <c r="N2496" s="4">
        <v>2001</v>
      </c>
      <c r="O2496" s="5">
        <f t="shared" si="38"/>
        <v>6.6244008040822644E-2</v>
      </c>
      <c r="P2496" s="2" t="s">
        <v>22</v>
      </c>
    </row>
    <row r="2497" spans="1:16" x14ac:dyDescent="0.25">
      <c r="A2497" s="6" t="s">
        <v>5063</v>
      </c>
      <c r="B2497" s="6" t="s">
        <v>5064</v>
      </c>
      <c r="C2497" s="6" t="s">
        <v>76</v>
      </c>
      <c r="D2497" s="7" t="s">
        <v>182</v>
      </c>
      <c r="E2497" s="7" t="s">
        <v>27</v>
      </c>
      <c r="F2497" s="6" t="s">
        <v>155</v>
      </c>
      <c r="G2497" s="8">
        <v>80744</v>
      </c>
      <c r="H2497" s="8">
        <v>22924</v>
      </c>
      <c r="I2497" s="8">
        <v>17824</v>
      </c>
      <c r="J2497" s="8">
        <v>675</v>
      </c>
      <c r="K2497" s="8">
        <v>65</v>
      </c>
      <c r="L2497" s="8">
        <v>66</v>
      </c>
      <c r="M2497" s="8">
        <v>71</v>
      </c>
      <c r="N2497" s="8">
        <v>693</v>
      </c>
      <c r="O2497" s="9">
        <f t="shared" si="38"/>
        <v>4.9203321364452421E-2</v>
      </c>
      <c r="P2497" s="6" t="s">
        <v>29</v>
      </c>
    </row>
    <row r="2498" spans="1:16" x14ac:dyDescent="0.25">
      <c r="A2498" s="2" t="s">
        <v>5065</v>
      </c>
      <c r="B2498" s="2" t="s">
        <v>5066</v>
      </c>
      <c r="C2498" s="2" t="s">
        <v>32</v>
      </c>
      <c r="D2498" s="3" t="s">
        <v>49</v>
      </c>
      <c r="E2498" s="3" t="s">
        <v>39</v>
      </c>
      <c r="F2498" s="2" t="s">
        <v>35</v>
      </c>
      <c r="G2498" s="4">
        <v>801825</v>
      </c>
      <c r="H2498" s="4">
        <v>333426</v>
      </c>
      <c r="I2498" s="4">
        <v>287225</v>
      </c>
      <c r="J2498" s="4">
        <v>24267</v>
      </c>
      <c r="K2498" s="4">
        <v>2644</v>
      </c>
      <c r="L2498" s="4">
        <v>3110</v>
      </c>
      <c r="M2498" s="4">
        <v>38</v>
      </c>
      <c r="N2498" s="4">
        <v>2459</v>
      </c>
      <c r="O2498" s="5">
        <f t="shared" ref="O2498:O2561" si="39">IF(I2498&gt;0, (J2498+K2498+L2498+M2498)/I2498, 0)</f>
        <v>0.10465314648794499</v>
      </c>
      <c r="P2498" s="2" t="s">
        <v>22</v>
      </c>
    </row>
    <row r="2499" spans="1:16" x14ac:dyDescent="0.25">
      <c r="A2499" s="6" t="s">
        <v>5067</v>
      </c>
      <c r="B2499" s="6" t="s">
        <v>5068</v>
      </c>
      <c r="C2499" s="6" t="s">
        <v>43</v>
      </c>
      <c r="D2499" s="7" t="s">
        <v>69</v>
      </c>
      <c r="E2499" s="7" t="s">
        <v>39</v>
      </c>
      <c r="F2499" s="6" t="s">
        <v>46</v>
      </c>
      <c r="G2499" s="8">
        <v>524547</v>
      </c>
      <c r="H2499" s="8">
        <v>156642</v>
      </c>
      <c r="I2499" s="8">
        <v>112525</v>
      </c>
      <c r="J2499" s="8">
        <v>5901</v>
      </c>
      <c r="K2499" s="8">
        <v>569</v>
      </c>
      <c r="L2499" s="8">
        <v>658</v>
      </c>
      <c r="M2499" s="8">
        <v>50</v>
      </c>
      <c r="N2499" s="8">
        <v>1560</v>
      </c>
      <c r="O2499" s="9">
        <f t="shared" si="39"/>
        <v>6.379026882914908E-2</v>
      </c>
      <c r="P2499" s="6" t="s">
        <v>22</v>
      </c>
    </row>
    <row r="2500" spans="1:16" x14ac:dyDescent="0.25">
      <c r="A2500" s="2" t="s">
        <v>5069</v>
      </c>
      <c r="B2500" s="2" t="s">
        <v>5070</v>
      </c>
      <c r="C2500" s="2" t="s">
        <v>18</v>
      </c>
      <c r="D2500" s="3" t="s">
        <v>226</v>
      </c>
      <c r="E2500" s="3" t="s">
        <v>45</v>
      </c>
      <c r="F2500" s="2" t="s">
        <v>58</v>
      </c>
      <c r="G2500" s="4">
        <v>512188</v>
      </c>
      <c r="H2500" s="4">
        <v>235330</v>
      </c>
      <c r="I2500" s="4">
        <v>172016</v>
      </c>
      <c r="J2500" s="4">
        <v>8740</v>
      </c>
      <c r="K2500" s="4">
        <v>608</v>
      </c>
      <c r="L2500" s="4">
        <v>975</v>
      </c>
      <c r="M2500" s="4">
        <v>450</v>
      </c>
      <c r="N2500" s="4">
        <v>6864</v>
      </c>
      <c r="O2500" s="5">
        <f t="shared" si="39"/>
        <v>6.2627895079527485E-2</v>
      </c>
      <c r="P2500" s="2" t="s">
        <v>22</v>
      </c>
    </row>
    <row r="2501" spans="1:16" x14ac:dyDescent="0.25">
      <c r="A2501" s="6" t="s">
        <v>5071</v>
      </c>
      <c r="B2501" s="6" t="s">
        <v>5072</v>
      </c>
      <c r="C2501" s="6" t="s">
        <v>18</v>
      </c>
      <c r="D2501" s="7" t="s">
        <v>19</v>
      </c>
      <c r="E2501" s="7" t="s">
        <v>45</v>
      </c>
      <c r="F2501" s="6" t="s">
        <v>21</v>
      </c>
      <c r="G2501" s="8">
        <v>481060</v>
      </c>
      <c r="H2501" s="8">
        <v>292369</v>
      </c>
      <c r="I2501" s="8">
        <v>228097</v>
      </c>
      <c r="J2501" s="8">
        <v>15129</v>
      </c>
      <c r="K2501" s="8">
        <v>680</v>
      </c>
      <c r="L2501" s="8">
        <v>1522</v>
      </c>
      <c r="M2501" s="8">
        <v>1428</v>
      </c>
      <c r="N2501" s="8">
        <v>4598</v>
      </c>
      <c r="O2501" s="9">
        <f t="shared" si="39"/>
        <v>8.2241327154675428E-2</v>
      </c>
      <c r="P2501" s="6" t="s">
        <v>22</v>
      </c>
    </row>
    <row r="2502" spans="1:16" x14ac:dyDescent="0.25">
      <c r="A2502" s="2" t="s">
        <v>5073</v>
      </c>
      <c r="B2502" s="2" t="s">
        <v>5074</v>
      </c>
      <c r="C2502" s="2" t="s">
        <v>76</v>
      </c>
      <c r="D2502" s="3" t="s">
        <v>77</v>
      </c>
      <c r="E2502" s="3" t="s">
        <v>34</v>
      </c>
      <c r="F2502" s="2" t="s">
        <v>87</v>
      </c>
      <c r="G2502" s="4">
        <v>756715</v>
      </c>
      <c r="H2502" s="4">
        <v>190859</v>
      </c>
      <c r="I2502" s="4">
        <v>152199</v>
      </c>
      <c r="J2502" s="4">
        <v>6396</v>
      </c>
      <c r="K2502" s="4">
        <v>1031</v>
      </c>
      <c r="L2502" s="4">
        <v>803</v>
      </c>
      <c r="M2502" s="4">
        <v>930</v>
      </c>
      <c r="N2502" s="4">
        <v>4930</v>
      </c>
      <c r="O2502" s="5">
        <f t="shared" si="39"/>
        <v>6.0184363892009804E-2</v>
      </c>
      <c r="P2502" s="2" t="s">
        <v>29</v>
      </c>
    </row>
    <row r="2503" spans="1:16" x14ac:dyDescent="0.25">
      <c r="A2503" s="6" t="s">
        <v>5075</v>
      </c>
      <c r="B2503" s="6" t="s">
        <v>5076</v>
      </c>
      <c r="C2503" s="6" t="s">
        <v>32</v>
      </c>
      <c r="D2503" s="7" t="s">
        <v>38</v>
      </c>
      <c r="E2503" s="7" t="s">
        <v>27</v>
      </c>
      <c r="F2503" s="6" t="s">
        <v>51</v>
      </c>
      <c r="G2503" s="8">
        <v>99257</v>
      </c>
      <c r="H2503" s="8">
        <v>33457</v>
      </c>
      <c r="I2503" s="8">
        <v>30424</v>
      </c>
      <c r="J2503" s="8">
        <v>2278</v>
      </c>
      <c r="K2503" s="8">
        <v>409</v>
      </c>
      <c r="L2503" s="8">
        <v>47</v>
      </c>
      <c r="M2503" s="8">
        <v>6</v>
      </c>
      <c r="N2503" s="8">
        <v>875</v>
      </c>
      <c r="O2503" s="9">
        <f t="shared" si="39"/>
        <v>9.0060478569550351E-2</v>
      </c>
      <c r="P2503" s="6" t="s">
        <v>29</v>
      </c>
    </row>
    <row r="2504" spans="1:16" x14ac:dyDescent="0.25">
      <c r="A2504" s="2" t="s">
        <v>5077</v>
      </c>
      <c r="B2504" s="2" t="s">
        <v>5078</v>
      </c>
      <c r="C2504" s="2" t="s">
        <v>25</v>
      </c>
      <c r="D2504" s="3" t="s">
        <v>64</v>
      </c>
      <c r="E2504" s="3" t="s">
        <v>27</v>
      </c>
      <c r="F2504" s="2" t="s">
        <v>65</v>
      </c>
      <c r="G2504" s="4">
        <v>666896</v>
      </c>
      <c r="H2504" s="4">
        <v>85064</v>
      </c>
      <c r="I2504" s="4">
        <v>61373</v>
      </c>
      <c r="J2504" s="4">
        <v>6198</v>
      </c>
      <c r="K2504" s="4">
        <v>455</v>
      </c>
      <c r="L2504" s="4">
        <v>262</v>
      </c>
      <c r="M2504" s="4">
        <v>503</v>
      </c>
      <c r="N2504" s="4">
        <v>2535</v>
      </c>
      <c r="O2504" s="5">
        <f t="shared" si="39"/>
        <v>0.12086748244341974</v>
      </c>
      <c r="P2504" s="2" t="s">
        <v>66</v>
      </c>
    </row>
    <row r="2505" spans="1:16" x14ac:dyDescent="0.25">
      <c r="A2505" s="6" t="s">
        <v>5079</v>
      </c>
      <c r="B2505" s="6" t="s">
        <v>5080</v>
      </c>
      <c r="C2505" s="6" t="s">
        <v>25</v>
      </c>
      <c r="D2505" s="7" t="s">
        <v>244</v>
      </c>
      <c r="E2505" s="7" t="s">
        <v>34</v>
      </c>
      <c r="F2505" s="6" t="s">
        <v>54</v>
      </c>
      <c r="G2505" s="8">
        <v>438632</v>
      </c>
      <c r="H2505" s="8">
        <v>166155</v>
      </c>
      <c r="I2505" s="8">
        <v>126175</v>
      </c>
      <c r="J2505" s="8">
        <v>10226</v>
      </c>
      <c r="K2505" s="8">
        <v>960</v>
      </c>
      <c r="L2505" s="8">
        <v>740</v>
      </c>
      <c r="M2505" s="8">
        <v>861</v>
      </c>
      <c r="N2505" s="8">
        <v>4072</v>
      </c>
      <c r="O2505" s="9">
        <f t="shared" si="39"/>
        <v>0.10134337230037646</v>
      </c>
      <c r="P2505" s="6" t="s">
        <v>29</v>
      </c>
    </row>
    <row r="2506" spans="1:16" x14ac:dyDescent="0.25">
      <c r="A2506" s="2" t="s">
        <v>5081</v>
      </c>
      <c r="B2506" s="2" t="s">
        <v>5082</v>
      </c>
      <c r="C2506" s="2" t="s">
        <v>76</v>
      </c>
      <c r="D2506" s="3" t="s">
        <v>103</v>
      </c>
      <c r="E2506" s="3" t="s">
        <v>39</v>
      </c>
      <c r="F2506" s="2" t="s">
        <v>87</v>
      </c>
      <c r="G2506" s="4">
        <v>69760</v>
      </c>
      <c r="H2506" s="4">
        <v>33861</v>
      </c>
      <c r="I2506" s="4">
        <v>31106</v>
      </c>
      <c r="J2506" s="4">
        <v>743</v>
      </c>
      <c r="K2506" s="4">
        <v>56</v>
      </c>
      <c r="L2506" s="4">
        <v>19</v>
      </c>
      <c r="M2506" s="4">
        <v>170</v>
      </c>
      <c r="N2506" s="4">
        <v>927</v>
      </c>
      <c r="O2506" s="5">
        <f t="shared" si="39"/>
        <v>3.1762360959300455E-2</v>
      </c>
      <c r="P2506" s="2" t="s">
        <v>66</v>
      </c>
    </row>
    <row r="2507" spans="1:16" x14ac:dyDescent="0.25">
      <c r="A2507" s="6" t="s">
        <v>5083</v>
      </c>
      <c r="B2507" s="6" t="s">
        <v>5084</v>
      </c>
      <c r="C2507" s="6" t="s">
        <v>43</v>
      </c>
      <c r="D2507" s="7" t="s">
        <v>69</v>
      </c>
      <c r="E2507" s="7" t="s">
        <v>34</v>
      </c>
      <c r="F2507" s="6" t="s">
        <v>70</v>
      </c>
      <c r="G2507" s="8">
        <v>507828</v>
      </c>
      <c r="H2507" s="8">
        <v>266539</v>
      </c>
      <c r="I2507" s="8">
        <v>238688</v>
      </c>
      <c r="J2507" s="8">
        <v>19122</v>
      </c>
      <c r="K2507" s="8">
        <v>2858</v>
      </c>
      <c r="L2507" s="8">
        <v>2821</v>
      </c>
      <c r="M2507" s="8">
        <v>31</v>
      </c>
      <c r="N2507" s="8">
        <v>9302</v>
      </c>
      <c r="O2507" s="9">
        <f t="shared" si="39"/>
        <v>0.10403539348438129</v>
      </c>
      <c r="P2507" s="6" t="s">
        <v>29</v>
      </c>
    </row>
    <row r="2508" spans="1:16" x14ac:dyDescent="0.25">
      <c r="A2508" s="2" t="s">
        <v>5085</v>
      </c>
      <c r="B2508" s="2" t="s">
        <v>5086</v>
      </c>
      <c r="C2508" s="2" t="s">
        <v>18</v>
      </c>
      <c r="D2508" s="3" t="s">
        <v>92</v>
      </c>
      <c r="E2508" s="3" t="s">
        <v>50</v>
      </c>
      <c r="F2508" s="2" t="s">
        <v>58</v>
      </c>
      <c r="G2508" s="4">
        <v>159439</v>
      </c>
      <c r="H2508" s="4">
        <v>44557</v>
      </c>
      <c r="I2508" s="4">
        <v>32847</v>
      </c>
      <c r="J2508" s="4">
        <v>1718</v>
      </c>
      <c r="K2508" s="4">
        <v>274</v>
      </c>
      <c r="L2508" s="4">
        <v>203</v>
      </c>
      <c r="M2508" s="4">
        <v>218</v>
      </c>
      <c r="N2508" s="4">
        <v>1394</v>
      </c>
      <c r="O2508" s="5">
        <f t="shared" si="39"/>
        <v>7.3461807775443727E-2</v>
      </c>
      <c r="P2508" s="2" t="s">
        <v>29</v>
      </c>
    </row>
    <row r="2509" spans="1:16" x14ac:dyDescent="0.25">
      <c r="A2509" s="6" t="s">
        <v>5087</v>
      </c>
      <c r="B2509" s="6" t="s">
        <v>5088</v>
      </c>
      <c r="C2509" s="6" t="s">
        <v>76</v>
      </c>
      <c r="D2509" s="7" t="s">
        <v>182</v>
      </c>
      <c r="E2509" s="7" t="s">
        <v>50</v>
      </c>
      <c r="F2509" s="6" t="s">
        <v>78</v>
      </c>
      <c r="G2509" s="8">
        <v>113537</v>
      </c>
      <c r="H2509" s="8">
        <v>19396</v>
      </c>
      <c r="I2509" s="8">
        <v>15706</v>
      </c>
      <c r="J2509" s="8">
        <v>1311</v>
      </c>
      <c r="K2509" s="8">
        <v>98</v>
      </c>
      <c r="L2509" s="8">
        <v>121</v>
      </c>
      <c r="M2509" s="8">
        <v>272</v>
      </c>
      <c r="N2509" s="8">
        <v>319</v>
      </c>
      <c r="O2509" s="9">
        <f t="shared" si="39"/>
        <v>0.11473322297211257</v>
      </c>
      <c r="P2509" s="6" t="s">
        <v>22</v>
      </c>
    </row>
    <row r="2510" spans="1:16" x14ac:dyDescent="0.25">
      <c r="A2510" s="2" t="s">
        <v>5089</v>
      </c>
      <c r="B2510" s="2" t="s">
        <v>5090</v>
      </c>
      <c r="C2510" s="2" t="s">
        <v>32</v>
      </c>
      <c r="D2510" s="3" t="s">
        <v>38</v>
      </c>
      <c r="E2510" s="3" t="s">
        <v>50</v>
      </c>
      <c r="F2510" s="2" t="s">
        <v>35</v>
      </c>
      <c r="G2510" s="4">
        <v>46580</v>
      </c>
      <c r="H2510" s="4">
        <v>14386</v>
      </c>
      <c r="I2510" s="4">
        <v>11805</v>
      </c>
      <c r="J2510" s="4">
        <v>1021</v>
      </c>
      <c r="K2510" s="4">
        <v>80</v>
      </c>
      <c r="L2510" s="4">
        <v>26</v>
      </c>
      <c r="M2510" s="4">
        <v>17</v>
      </c>
      <c r="N2510" s="4">
        <v>388</v>
      </c>
      <c r="O2510" s="5">
        <f t="shared" si="39"/>
        <v>9.6908089792460822E-2</v>
      </c>
      <c r="P2510" s="2" t="s">
        <v>22</v>
      </c>
    </row>
    <row r="2511" spans="1:16" x14ac:dyDescent="0.25">
      <c r="A2511" s="6" t="s">
        <v>5091</v>
      </c>
      <c r="B2511" s="6" t="s">
        <v>5092</v>
      </c>
      <c r="C2511" s="6" t="s">
        <v>43</v>
      </c>
      <c r="D2511" s="7" t="s">
        <v>110</v>
      </c>
      <c r="E2511" s="7" t="s">
        <v>20</v>
      </c>
      <c r="F2511" s="6" t="s">
        <v>107</v>
      </c>
      <c r="G2511" s="8">
        <v>426548</v>
      </c>
      <c r="H2511" s="8">
        <v>187092</v>
      </c>
      <c r="I2511" s="8">
        <v>153142</v>
      </c>
      <c r="J2511" s="8">
        <v>11599</v>
      </c>
      <c r="K2511" s="8">
        <v>1823</v>
      </c>
      <c r="L2511" s="8">
        <v>329</v>
      </c>
      <c r="M2511" s="8">
        <v>7</v>
      </c>
      <c r="N2511" s="8">
        <v>2211</v>
      </c>
      <c r="O2511" s="9">
        <f t="shared" si="39"/>
        <v>8.9838189392851084E-2</v>
      </c>
      <c r="P2511" s="6" t="s">
        <v>29</v>
      </c>
    </row>
    <row r="2512" spans="1:16" x14ac:dyDescent="0.25">
      <c r="A2512" s="2" t="s">
        <v>5093</v>
      </c>
      <c r="B2512" s="2" t="s">
        <v>5094</v>
      </c>
      <c r="C2512" s="2" t="s">
        <v>25</v>
      </c>
      <c r="D2512" s="3" t="s">
        <v>26</v>
      </c>
      <c r="E2512" s="3" t="s">
        <v>27</v>
      </c>
      <c r="F2512" s="2" t="s">
        <v>28</v>
      </c>
      <c r="G2512" s="4">
        <v>649915</v>
      </c>
      <c r="H2512" s="4">
        <v>216564</v>
      </c>
      <c r="I2512" s="4">
        <v>158406</v>
      </c>
      <c r="J2512" s="4">
        <v>5146</v>
      </c>
      <c r="K2512" s="4">
        <v>714</v>
      </c>
      <c r="L2512" s="4">
        <v>547</v>
      </c>
      <c r="M2512" s="4">
        <v>377</v>
      </c>
      <c r="N2512" s="4">
        <v>2056</v>
      </c>
      <c r="O2512" s="5">
        <f t="shared" si="39"/>
        <v>4.2826660606290166E-2</v>
      </c>
      <c r="P2512" s="2" t="s">
        <v>66</v>
      </c>
    </row>
    <row r="2513" spans="1:16" x14ac:dyDescent="0.25">
      <c r="A2513" s="6" t="s">
        <v>5095</v>
      </c>
      <c r="B2513" s="6" t="s">
        <v>5096</v>
      </c>
      <c r="C2513" s="6" t="s">
        <v>43</v>
      </c>
      <c r="D2513" s="7" t="s">
        <v>81</v>
      </c>
      <c r="E2513" s="7" t="s">
        <v>39</v>
      </c>
      <c r="F2513" s="6" t="s">
        <v>107</v>
      </c>
      <c r="G2513" s="8">
        <v>13625</v>
      </c>
      <c r="H2513" s="8">
        <v>5243</v>
      </c>
      <c r="I2513" s="8">
        <v>3923</v>
      </c>
      <c r="J2513" s="8">
        <v>218</v>
      </c>
      <c r="K2513" s="8">
        <v>21</v>
      </c>
      <c r="L2513" s="8">
        <v>23</v>
      </c>
      <c r="M2513" s="8">
        <v>14</v>
      </c>
      <c r="N2513" s="8">
        <v>119</v>
      </c>
      <c r="O2513" s="9">
        <f t="shared" si="39"/>
        <v>7.0354320672954371E-2</v>
      </c>
      <c r="P2513" s="6" t="s">
        <v>29</v>
      </c>
    </row>
    <row r="2514" spans="1:16" x14ac:dyDescent="0.25">
      <c r="A2514" s="2" t="s">
        <v>5097</v>
      </c>
      <c r="B2514" s="2" t="s">
        <v>5098</v>
      </c>
      <c r="C2514" s="2" t="s">
        <v>76</v>
      </c>
      <c r="D2514" s="3" t="s">
        <v>77</v>
      </c>
      <c r="E2514" s="3" t="s">
        <v>50</v>
      </c>
      <c r="F2514" s="2" t="s">
        <v>78</v>
      </c>
      <c r="G2514" s="4">
        <v>129900</v>
      </c>
      <c r="H2514" s="4">
        <v>68399</v>
      </c>
      <c r="I2514" s="4">
        <v>48447</v>
      </c>
      <c r="J2514" s="4">
        <v>4636</v>
      </c>
      <c r="K2514" s="4">
        <v>439</v>
      </c>
      <c r="L2514" s="4">
        <v>141</v>
      </c>
      <c r="M2514" s="4">
        <v>1002</v>
      </c>
      <c r="N2514" s="4">
        <v>1280</v>
      </c>
      <c r="O2514" s="5">
        <f t="shared" si="39"/>
        <v>0.12834644044006852</v>
      </c>
      <c r="P2514" s="2" t="s">
        <v>29</v>
      </c>
    </row>
    <row r="2515" spans="1:16" x14ac:dyDescent="0.25">
      <c r="A2515" s="6" t="s">
        <v>5099</v>
      </c>
      <c r="B2515" s="6" t="s">
        <v>5100</v>
      </c>
      <c r="C2515" s="6" t="s">
        <v>76</v>
      </c>
      <c r="D2515" s="7" t="s">
        <v>77</v>
      </c>
      <c r="E2515" s="7" t="s">
        <v>39</v>
      </c>
      <c r="F2515" s="6" t="s">
        <v>104</v>
      </c>
      <c r="G2515" s="8">
        <v>582988</v>
      </c>
      <c r="H2515" s="8">
        <v>215084</v>
      </c>
      <c r="I2515" s="8">
        <v>167715</v>
      </c>
      <c r="J2515" s="8">
        <v>9938</v>
      </c>
      <c r="K2515" s="8">
        <v>1087</v>
      </c>
      <c r="L2515" s="8">
        <v>751</v>
      </c>
      <c r="M2515" s="8">
        <v>1457</v>
      </c>
      <c r="N2515" s="8">
        <v>6231</v>
      </c>
      <c r="O2515" s="9">
        <f t="shared" si="39"/>
        <v>7.8901708255075573E-2</v>
      </c>
      <c r="P2515" s="6" t="s">
        <v>22</v>
      </c>
    </row>
    <row r="2516" spans="1:16" x14ac:dyDescent="0.25">
      <c r="A2516" s="2" t="s">
        <v>5101</v>
      </c>
      <c r="B2516" s="2" t="s">
        <v>5102</v>
      </c>
      <c r="C2516" s="2" t="s">
        <v>43</v>
      </c>
      <c r="D2516" s="3" t="s">
        <v>44</v>
      </c>
      <c r="E2516" s="3" t="s">
        <v>20</v>
      </c>
      <c r="F2516" s="2" t="s">
        <v>107</v>
      </c>
      <c r="G2516" s="4">
        <v>799127</v>
      </c>
      <c r="H2516" s="4">
        <v>330943</v>
      </c>
      <c r="I2516" s="4">
        <v>250513</v>
      </c>
      <c r="J2516" s="4">
        <v>6830</v>
      </c>
      <c r="K2516" s="4">
        <v>855</v>
      </c>
      <c r="L2516" s="4">
        <v>842</v>
      </c>
      <c r="M2516" s="4">
        <v>7</v>
      </c>
      <c r="N2516" s="4">
        <v>5252</v>
      </c>
      <c r="O2516" s="5">
        <f t="shared" si="39"/>
        <v>3.4066096370248253E-2</v>
      </c>
      <c r="P2516" s="2" t="s">
        <v>22</v>
      </c>
    </row>
    <row r="2517" spans="1:16" x14ac:dyDescent="0.25">
      <c r="A2517" s="6" t="s">
        <v>5103</v>
      </c>
      <c r="B2517" s="6" t="s">
        <v>5104</v>
      </c>
      <c r="C2517" s="6" t="s">
        <v>32</v>
      </c>
      <c r="D2517" s="7" t="s">
        <v>33</v>
      </c>
      <c r="E2517" s="7" t="s">
        <v>20</v>
      </c>
      <c r="F2517" s="6" t="s">
        <v>51</v>
      </c>
      <c r="G2517" s="8">
        <v>445863</v>
      </c>
      <c r="H2517" s="8">
        <v>153557</v>
      </c>
      <c r="I2517" s="8">
        <v>134014</v>
      </c>
      <c r="J2517" s="8">
        <v>3572</v>
      </c>
      <c r="K2517" s="8">
        <v>387</v>
      </c>
      <c r="L2517" s="8">
        <v>339</v>
      </c>
      <c r="M2517" s="8">
        <v>10</v>
      </c>
      <c r="N2517" s="8">
        <v>3932</v>
      </c>
      <c r="O2517" s="9">
        <f t="shared" si="39"/>
        <v>3.2145895204978583E-2</v>
      </c>
      <c r="P2517" s="6" t="s">
        <v>22</v>
      </c>
    </row>
    <row r="2518" spans="1:16" x14ac:dyDescent="0.25">
      <c r="A2518" s="2" t="s">
        <v>5105</v>
      </c>
      <c r="B2518" s="2" t="s">
        <v>5106</v>
      </c>
      <c r="C2518" s="2" t="s">
        <v>18</v>
      </c>
      <c r="D2518" s="3" t="s">
        <v>57</v>
      </c>
      <c r="E2518" s="3" t="s">
        <v>45</v>
      </c>
      <c r="F2518" s="2" t="s">
        <v>58</v>
      </c>
      <c r="G2518" s="4">
        <v>622100</v>
      </c>
      <c r="H2518" s="4">
        <v>238911</v>
      </c>
      <c r="I2518" s="4">
        <v>168775</v>
      </c>
      <c r="J2518" s="4">
        <v>7306</v>
      </c>
      <c r="K2518" s="4">
        <v>1067</v>
      </c>
      <c r="L2518" s="4">
        <v>471</v>
      </c>
      <c r="M2518" s="4">
        <v>957</v>
      </c>
      <c r="N2518" s="4">
        <v>2119</v>
      </c>
      <c r="O2518" s="5">
        <f t="shared" si="39"/>
        <v>5.8071396830099244E-2</v>
      </c>
      <c r="P2518" s="2" t="s">
        <v>22</v>
      </c>
    </row>
    <row r="2519" spans="1:16" x14ac:dyDescent="0.25">
      <c r="A2519" s="6" t="s">
        <v>5107</v>
      </c>
      <c r="B2519" s="6" t="s">
        <v>5108</v>
      </c>
      <c r="C2519" s="6" t="s">
        <v>43</v>
      </c>
      <c r="D2519" s="7" t="s">
        <v>172</v>
      </c>
      <c r="E2519" s="7" t="s">
        <v>34</v>
      </c>
      <c r="F2519" s="6" t="s">
        <v>70</v>
      </c>
      <c r="G2519" s="8">
        <v>377550</v>
      </c>
      <c r="H2519" s="8">
        <v>171846</v>
      </c>
      <c r="I2519" s="8">
        <v>122933</v>
      </c>
      <c r="J2519" s="8">
        <v>7596</v>
      </c>
      <c r="K2519" s="8">
        <v>967</v>
      </c>
      <c r="L2519" s="8">
        <v>860</v>
      </c>
      <c r="M2519" s="8">
        <v>47</v>
      </c>
      <c r="N2519" s="8">
        <v>4229</v>
      </c>
      <c r="O2519" s="9">
        <f t="shared" si="39"/>
        <v>7.703383143663621E-2</v>
      </c>
      <c r="P2519" s="6" t="s">
        <v>29</v>
      </c>
    </row>
    <row r="2520" spans="1:16" x14ac:dyDescent="0.25">
      <c r="A2520" s="2" t="s">
        <v>5109</v>
      </c>
      <c r="B2520" s="2" t="s">
        <v>5110</v>
      </c>
      <c r="C2520" s="2" t="s">
        <v>18</v>
      </c>
      <c r="D2520" s="3" t="s">
        <v>231</v>
      </c>
      <c r="E2520" s="3" t="s">
        <v>27</v>
      </c>
      <c r="F2520" s="2" t="s">
        <v>58</v>
      </c>
      <c r="G2520" s="4">
        <v>655498</v>
      </c>
      <c r="H2520" s="4">
        <v>98490</v>
      </c>
      <c r="I2520" s="4">
        <v>88422</v>
      </c>
      <c r="J2520" s="4">
        <v>6421</v>
      </c>
      <c r="K2520" s="4">
        <v>612</v>
      </c>
      <c r="L2520" s="4">
        <v>473</v>
      </c>
      <c r="M2520" s="4">
        <v>1582</v>
      </c>
      <c r="N2520" s="4">
        <v>1691</v>
      </c>
      <c r="O2520" s="5">
        <f t="shared" si="39"/>
        <v>0.1027798511682613</v>
      </c>
      <c r="P2520" s="2" t="s">
        <v>29</v>
      </c>
    </row>
    <row r="2521" spans="1:16" x14ac:dyDescent="0.25">
      <c r="A2521" s="6" t="s">
        <v>5111</v>
      </c>
      <c r="B2521" s="6" t="s">
        <v>5112</v>
      </c>
      <c r="C2521" s="6" t="s">
        <v>25</v>
      </c>
      <c r="D2521" s="7" t="s">
        <v>26</v>
      </c>
      <c r="E2521" s="7" t="s">
        <v>34</v>
      </c>
      <c r="F2521" s="6" t="s">
        <v>146</v>
      </c>
      <c r="G2521" s="8">
        <v>820964</v>
      </c>
      <c r="H2521" s="8">
        <v>524650</v>
      </c>
      <c r="I2521" s="8">
        <v>426516</v>
      </c>
      <c r="J2521" s="8">
        <v>16411</v>
      </c>
      <c r="K2521" s="8">
        <v>847</v>
      </c>
      <c r="L2521" s="8">
        <v>457</v>
      </c>
      <c r="M2521" s="8">
        <v>1306</v>
      </c>
      <c r="N2521" s="8">
        <v>7757</v>
      </c>
      <c r="O2521" s="9">
        <f t="shared" si="39"/>
        <v>4.4596216789053636E-2</v>
      </c>
      <c r="P2521" s="6" t="s">
        <v>22</v>
      </c>
    </row>
    <row r="2522" spans="1:16" x14ac:dyDescent="0.25">
      <c r="A2522" s="2" t="s">
        <v>5113</v>
      </c>
      <c r="B2522" s="2" t="s">
        <v>5114</v>
      </c>
      <c r="C2522" s="2" t="s">
        <v>32</v>
      </c>
      <c r="D2522" s="3" t="s">
        <v>33</v>
      </c>
      <c r="E2522" s="3" t="s">
        <v>50</v>
      </c>
      <c r="F2522" s="2" t="s">
        <v>128</v>
      </c>
      <c r="G2522" s="4">
        <v>644786</v>
      </c>
      <c r="H2522" s="4">
        <v>345883</v>
      </c>
      <c r="I2522" s="4">
        <v>304468</v>
      </c>
      <c r="J2522" s="4">
        <v>23984</v>
      </c>
      <c r="K2522" s="4">
        <v>3978</v>
      </c>
      <c r="L2522" s="4">
        <v>3167</v>
      </c>
      <c r="M2522" s="4">
        <v>31</v>
      </c>
      <c r="N2522" s="4">
        <v>11186</v>
      </c>
      <c r="O2522" s="5">
        <f t="shared" si="39"/>
        <v>0.10234244649684039</v>
      </c>
      <c r="P2522" s="2" t="s">
        <v>29</v>
      </c>
    </row>
    <row r="2523" spans="1:16" x14ac:dyDescent="0.25">
      <c r="A2523" s="6" t="s">
        <v>5115</v>
      </c>
      <c r="B2523" s="6" t="s">
        <v>5116</v>
      </c>
      <c r="C2523" s="6" t="s">
        <v>18</v>
      </c>
      <c r="D2523" s="7" t="s">
        <v>226</v>
      </c>
      <c r="E2523" s="7" t="s">
        <v>34</v>
      </c>
      <c r="F2523" s="6" t="s">
        <v>21</v>
      </c>
      <c r="G2523" s="8">
        <v>673297</v>
      </c>
      <c r="H2523" s="8">
        <v>2190096</v>
      </c>
      <c r="I2523" s="8">
        <v>1674179</v>
      </c>
      <c r="J2523" s="8">
        <v>81541</v>
      </c>
      <c r="K2523" s="8">
        <v>14189</v>
      </c>
      <c r="L2523" s="8">
        <v>11831</v>
      </c>
      <c r="M2523" s="8">
        <v>17965</v>
      </c>
      <c r="N2523" s="8">
        <v>60572</v>
      </c>
      <c r="O2523" s="9">
        <f t="shared" si="39"/>
        <v>7.4977645759503608E-2</v>
      </c>
      <c r="P2523" s="6" t="s">
        <v>29</v>
      </c>
    </row>
    <row r="2524" spans="1:16" x14ac:dyDescent="0.25">
      <c r="A2524" s="2" t="s">
        <v>5117</v>
      </c>
      <c r="B2524" s="2" t="s">
        <v>5118</v>
      </c>
      <c r="C2524" s="2" t="s">
        <v>18</v>
      </c>
      <c r="D2524" s="3" t="s">
        <v>57</v>
      </c>
      <c r="E2524" s="3" t="s">
        <v>34</v>
      </c>
      <c r="F2524" s="2" t="s">
        <v>21</v>
      </c>
      <c r="G2524" s="4">
        <v>738141</v>
      </c>
      <c r="H2524" s="4">
        <v>411018</v>
      </c>
      <c r="I2524" s="4">
        <v>325156</v>
      </c>
      <c r="J2524" s="4">
        <v>25703</v>
      </c>
      <c r="K2524" s="4">
        <v>3119</v>
      </c>
      <c r="L2524" s="4">
        <v>3362</v>
      </c>
      <c r="M2524" s="4">
        <v>4517</v>
      </c>
      <c r="N2524" s="4">
        <v>12999</v>
      </c>
      <c r="O2524" s="5">
        <f t="shared" si="39"/>
        <v>0.1128719752980108</v>
      </c>
      <c r="P2524" s="2" t="s">
        <v>22</v>
      </c>
    </row>
    <row r="2525" spans="1:16" x14ac:dyDescent="0.25">
      <c r="A2525" s="6" t="s">
        <v>5119</v>
      </c>
      <c r="B2525" s="6" t="s">
        <v>5120</v>
      </c>
      <c r="C2525" s="6" t="s">
        <v>18</v>
      </c>
      <c r="D2525" s="7" t="s">
        <v>92</v>
      </c>
      <c r="E2525" s="7" t="s">
        <v>34</v>
      </c>
      <c r="F2525" s="6" t="s">
        <v>58</v>
      </c>
      <c r="G2525" s="8">
        <v>298883</v>
      </c>
      <c r="H2525" s="8">
        <v>127934</v>
      </c>
      <c r="I2525" s="8">
        <v>107438</v>
      </c>
      <c r="J2525" s="8">
        <v>9829</v>
      </c>
      <c r="K2525" s="8">
        <v>1397</v>
      </c>
      <c r="L2525" s="8">
        <v>1246</v>
      </c>
      <c r="M2525" s="8">
        <v>604</v>
      </c>
      <c r="N2525" s="8">
        <v>2443</v>
      </c>
      <c r="O2525" s="9">
        <f t="shared" si="39"/>
        <v>0.12170740333960052</v>
      </c>
      <c r="P2525" s="6" t="s">
        <v>22</v>
      </c>
    </row>
    <row r="2526" spans="1:16" x14ac:dyDescent="0.25">
      <c r="A2526" s="2" t="s">
        <v>5121</v>
      </c>
      <c r="B2526" s="2" t="s">
        <v>5122</v>
      </c>
      <c r="C2526" s="2" t="s">
        <v>25</v>
      </c>
      <c r="D2526" s="3" t="s">
        <v>26</v>
      </c>
      <c r="E2526" s="3" t="s">
        <v>39</v>
      </c>
      <c r="F2526" s="2" t="s">
        <v>28</v>
      </c>
      <c r="G2526" s="4">
        <v>388720</v>
      </c>
      <c r="H2526" s="4">
        <v>72768</v>
      </c>
      <c r="I2526" s="4">
        <v>66050</v>
      </c>
      <c r="J2526" s="4">
        <v>1663</v>
      </c>
      <c r="K2526" s="4">
        <v>279</v>
      </c>
      <c r="L2526" s="4">
        <v>205</v>
      </c>
      <c r="M2526" s="4">
        <v>381</v>
      </c>
      <c r="N2526" s="4">
        <v>622</v>
      </c>
      <c r="O2526" s="5">
        <f t="shared" si="39"/>
        <v>3.8274034822104466E-2</v>
      </c>
      <c r="P2526" s="2" t="s">
        <v>29</v>
      </c>
    </row>
    <row r="2527" spans="1:16" x14ac:dyDescent="0.25">
      <c r="A2527" s="6" t="s">
        <v>5123</v>
      </c>
      <c r="B2527" s="6" t="s">
        <v>5124</v>
      </c>
      <c r="C2527" s="6" t="s">
        <v>32</v>
      </c>
      <c r="D2527" s="7" t="s">
        <v>49</v>
      </c>
      <c r="E2527" s="7" t="s">
        <v>27</v>
      </c>
      <c r="F2527" s="6" t="s">
        <v>128</v>
      </c>
      <c r="G2527" s="8">
        <v>570764</v>
      </c>
      <c r="H2527" s="8">
        <v>203356</v>
      </c>
      <c r="I2527" s="8">
        <v>159475</v>
      </c>
      <c r="J2527" s="8">
        <v>10296</v>
      </c>
      <c r="K2527" s="8">
        <v>1083</v>
      </c>
      <c r="L2527" s="8">
        <v>1255</v>
      </c>
      <c r="M2527" s="8">
        <v>28</v>
      </c>
      <c r="N2527" s="8">
        <v>2016</v>
      </c>
      <c r="O2527" s="9">
        <f t="shared" si="39"/>
        <v>7.9398024768772529E-2</v>
      </c>
      <c r="P2527" s="6" t="s">
        <v>22</v>
      </c>
    </row>
    <row r="2528" spans="1:16" x14ac:dyDescent="0.25">
      <c r="A2528" s="2" t="s">
        <v>5125</v>
      </c>
      <c r="B2528" s="2" t="s">
        <v>5126</v>
      </c>
      <c r="C2528" s="2" t="s">
        <v>25</v>
      </c>
      <c r="D2528" s="3" t="s">
        <v>61</v>
      </c>
      <c r="E2528" s="3" t="s">
        <v>50</v>
      </c>
      <c r="F2528" s="2" t="s">
        <v>54</v>
      </c>
      <c r="G2528" s="4">
        <v>337627</v>
      </c>
      <c r="H2528" s="4">
        <v>199898</v>
      </c>
      <c r="I2528" s="4">
        <v>148219</v>
      </c>
      <c r="J2528" s="4">
        <v>5881</v>
      </c>
      <c r="K2528" s="4">
        <v>589</v>
      </c>
      <c r="L2528" s="4">
        <v>187</v>
      </c>
      <c r="M2528" s="4">
        <v>808</v>
      </c>
      <c r="N2528" s="4">
        <v>4058</v>
      </c>
      <c r="O2528" s="5">
        <f t="shared" si="39"/>
        <v>5.0364663099872489E-2</v>
      </c>
      <c r="P2528" s="2" t="s">
        <v>29</v>
      </c>
    </row>
    <row r="2529" spans="1:16" x14ac:dyDescent="0.25">
      <c r="A2529" s="6" t="s">
        <v>5127</v>
      </c>
      <c r="B2529" s="6" t="s">
        <v>5128</v>
      </c>
      <c r="C2529" s="6" t="s">
        <v>18</v>
      </c>
      <c r="D2529" s="7" t="s">
        <v>226</v>
      </c>
      <c r="E2529" s="7" t="s">
        <v>20</v>
      </c>
      <c r="F2529" s="6" t="s">
        <v>73</v>
      </c>
      <c r="G2529" s="8">
        <v>784920</v>
      </c>
      <c r="H2529" s="8">
        <v>455274</v>
      </c>
      <c r="I2529" s="8">
        <v>345457</v>
      </c>
      <c r="J2529" s="8">
        <v>23115</v>
      </c>
      <c r="K2529" s="8">
        <v>1937</v>
      </c>
      <c r="L2529" s="8">
        <v>740</v>
      </c>
      <c r="M2529" s="8">
        <v>2494</v>
      </c>
      <c r="N2529" s="8">
        <v>4013</v>
      </c>
      <c r="O2529" s="9">
        <f t="shared" si="39"/>
        <v>8.1879944537236182E-2</v>
      </c>
      <c r="P2529" s="6" t="s">
        <v>66</v>
      </c>
    </row>
    <row r="2530" spans="1:16" x14ac:dyDescent="0.25">
      <c r="A2530" s="2" t="s">
        <v>5129</v>
      </c>
      <c r="B2530" s="2" t="s">
        <v>5130</v>
      </c>
      <c r="C2530" s="2" t="s">
        <v>76</v>
      </c>
      <c r="D2530" s="3" t="s">
        <v>103</v>
      </c>
      <c r="E2530" s="3" t="s">
        <v>45</v>
      </c>
      <c r="F2530" s="2" t="s">
        <v>78</v>
      </c>
      <c r="G2530" s="4">
        <v>73536</v>
      </c>
      <c r="H2530" s="4">
        <v>30213</v>
      </c>
      <c r="I2530" s="4">
        <v>22586</v>
      </c>
      <c r="J2530" s="4">
        <v>2003</v>
      </c>
      <c r="K2530" s="4">
        <v>202</v>
      </c>
      <c r="L2530" s="4">
        <v>222</v>
      </c>
      <c r="M2530" s="4">
        <v>158</v>
      </c>
      <c r="N2530" s="4">
        <v>852</v>
      </c>
      <c r="O2530" s="5">
        <f t="shared" si="39"/>
        <v>0.11445143008943594</v>
      </c>
      <c r="P2530" s="2" t="s">
        <v>22</v>
      </c>
    </row>
    <row r="2531" spans="1:16" x14ac:dyDescent="0.25">
      <c r="A2531" s="6" t="s">
        <v>5131</v>
      </c>
      <c r="B2531" s="6" t="s">
        <v>5132</v>
      </c>
      <c r="C2531" s="6" t="s">
        <v>25</v>
      </c>
      <c r="D2531" s="7" t="s">
        <v>61</v>
      </c>
      <c r="E2531" s="7" t="s">
        <v>39</v>
      </c>
      <c r="F2531" s="6" t="s">
        <v>146</v>
      </c>
      <c r="G2531" s="8">
        <v>46584</v>
      </c>
      <c r="H2531" s="8">
        <v>7732</v>
      </c>
      <c r="I2531" s="8">
        <v>5715</v>
      </c>
      <c r="J2531" s="8">
        <v>249</v>
      </c>
      <c r="K2531" s="8">
        <v>9</v>
      </c>
      <c r="L2531" s="8">
        <v>36</v>
      </c>
      <c r="M2531" s="8">
        <v>30</v>
      </c>
      <c r="N2531" s="8">
        <v>84</v>
      </c>
      <c r="O2531" s="9">
        <f t="shared" si="39"/>
        <v>5.6692913385826771E-2</v>
      </c>
      <c r="P2531" s="6" t="s">
        <v>29</v>
      </c>
    </row>
    <row r="2532" spans="1:16" x14ac:dyDescent="0.25">
      <c r="A2532" s="2" t="s">
        <v>5133</v>
      </c>
      <c r="B2532" s="2" t="s">
        <v>5134</v>
      </c>
      <c r="C2532" s="2" t="s">
        <v>76</v>
      </c>
      <c r="D2532" s="3" t="s">
        <v>86</v>
      </c>
      <c r="E2532" s="3" t="s">
        <v>39</v>
      </c>
      <c r="F2532" s="2" t="s">
        <v>155</v>
      </c>
      <c r="G2532" s="4">
        <v>641862</v>
      </c>
      <c r="H2532" s="4">
        <v>276591</v>
      </c>
      <c r="I2532" s="4">
        <v>232872</v>
      </c>
      <c r="J2532" s="4">
        <v>14413</v>
      </c>
      <c r="K2532" s="4">
        <v>2192</v>
      </c>
      <c r="L2532" s="4">
        <v>1351</v>
      </c>
      <c r="M2532" s="4">
        <v>3296</v>
      </c>
      <c r="N2532" s="4">
        <v>4613</v>
      </c>
      <c r="O2532" s="5">
        <f t="shared" si="39"/>
        <v>9.1260434917035962E-2</v>
      </c>
      <c r="P2532" s="2" t="s">
        <v>22</v>
      </c>
    </row>
    <row r="2533" spans="1:16" x14ac:dyDescent="0.25">
      <c r="A2533" s="6" t="s">
        <v>5135</v>
      </c>
      <c r="B2533" s="6" t="s">
        <v>5136</v>
      </c>
      <c r="C2533" s="6" t="s">
        <v>32</v>
      </c>
      <c r="D2533" s="7" t="s">
        <v>38</v>
      </c>
      <c r="E2533" s="7" t="s">
        <v>45</v>
      </c>
      <c r="F2533" s="6" t="s">
        <v>51</v>
      </c>
      <c r="G2533" s="8">
        <v>90620</v>
      </c>
      <c r="H2533" s="8">
        <v>53795</v>
      </c>
      <c r="I2533" s="8">
        <v>45857</v>
      </c>
      <c r="J2533" s="8">
        <v>3000</v>
      </c>
      <c r="K2533" s="8">
        <v>446</v>
      </c>
      <c r="L2533" s="8">
        <v>205</v>
      </c>
      <c r="M2533" s="8">
        <v>26</v>
      </c>
      <c r="N2533" s="8">
        <v>1159</v>
      </c>
      <c r="O2533" s="9">
        <f t="shared" si="39"/>
        <v>8.0184050417602543E-2</v>
      </c>
      <c r="P2533" s="6" t="s">
        <v>22</v>
      </c>
    </row>
    <row r="2534" spans="1:16" x14ac:dyDescent="0.25">
      <c r="A2534" s="2" t="s">
        <v>5137</v>
      </c>
      <c r="B2534" s="2" t="s">
        <v>5138</v>
      </c>
      <c r="C2534" s="2" t="s">
        <v>76</v>
      </c>
      <c r="D2534" s="3" t="s">
        <v>103</v>
      </c>
      <c r="E2534" s="3" t="s">
        <v>39</v>
      </c>
      <c r="F2534" s="2" t="s">
        <v>155</v>
      </c>
      <c r="G2534" s="4">
        <v>830637</v>
      </c>
      <c r="H2534" s="4">
        <v>529870</v>
      </c>
      <c r="I2534" s="4">
        <v>423103</v>
      </c>
      <c r="J2534" s="4">
        <v>28101</v>
      </c>
      <c r="K2534" s="4">
        <v>2861</v>
      </c>
      <c r="L2534" s="4">
        <v>2062</v>
      </c>
      <c r="M2534" s="4">
        <v>2687</v>
      </c>
      <c r="N2534" s="4">
        <v>18159</v>
      </c>
      <c r="O2534" s="5">
        <f t="shared" si="39"/>
        <v>8.4402615911492007E-2</v>
      </c>
      <c r="P2534" s="2" t="s">
        <v>29</v>
      </c>
    </row>
    <row r="2535" spans="1:16" x14ac:dyDescent="0.25">
      <c r="A2535" s="6" t="s">
        <v>5139</v>
      </c>
      <c r="B2535" s="6" t="s">
        <v>5140</v>
      </c>
      <c r="C2535" s="6" t="s">
        <v>25</v>
      </c>
      <c r="D2535" s="7" t="s">
        <v>64</v>
      </c>
      <c r="E2535" s="7" t="s">
        <v>20</v>
      </c>
      <c r="F2535" s="6" t="s">
        <v>146</v>
      </c>
      <c r="G2535" s="8">
        <v>727592</v>
      </c>
      <c r="H2535" s="8">
        <v>320047</v>
      </c>
      <c r="I2535" s="8">
        <v>231330</v>
      </c>
      <c r="J2535" s="8">
        <v>17346</v>
      </c>
      <c r="K2535" s="8">
        <v>530</v>
      </c>
      <c r="L2535" s="8">
        <v>674</v>
      </c>
      <c r="M2535" s="8">
        <v>961</v>
      </c>
      <c r="N2535" s="8">
        <v>8573</v>
      </c>
      <c r="O2535" s="9">
        <f t="shared" si="39"/>
        <v>8.4342713871957811E-2</v>
      </c>
      <c r="P2535" s="6" t="s">
        <v>29</v>
      </c>
    </row>
    <row r="2536" spans="1:16" x14ac:dyDescent="0.25">
      <c r="A2536" s="2" t="s">
        <v>5141</v>
      </c>
      <c r="B2536" s="2" t="s">
        <v>5142</v>
      </c>
      <c r="C2536" s="2" t="s">
        <v>76</v>
      </c>
      <c r="D2536" s="3" t="s">
        <v>103</v>
      </c>
      <c r="E2536" s="3" t="s">
        <v>20</v>
      </c>
      <c r="F2536" s="2" t="s">
        <v>104</v>
      </c>
      <c r="G2536" s="4">
        <v>400470</v>
      </c>
      <c r="H2536" s="4">
        <v>101251</v>
      </c>
      <c r="I2536" s="4">
        <v>88958</v>
      </c>
      <c r="J2536" s="4">
        <v>5987</v>
      </c>
      <c r="K2536" s="4">
        <v>528</v>
      </c>
      <c r="L2536" s="4">
        <v>694</v>
      </c>
      <c r="M2536" s="4">
        <v>855</v>
      </c>
      <c r="N2536" s="4">
        <v>1954</v>
      </c>
      <c r="O2536" s="5">
        <f t="shared" si="39"/>
        <v>9.0649519998201394E-2</v>
      </c>
      <c r="P2536" s="2" t="s">
        <v>22</v>
      </c>
    </row>
    <row r="2537" spans="1:16" x14ac:dyDescent="0.25">
      <c r="A2537" s="6" t="s">
        <v>5143</v>
      </c>
      <c r="B2537" s="6" t="s">
        <v>5144</v>
      </c>
      <c r="C2537" s="6" t="s">
        <v>43</v>
      </c>
      <c r="D2537" s="7" t="s">
        <v>81</v>
      </c>
      <c r="E2537" s="7" t="s">
        <v>50</v>
      </c>
      <c r="F2537" s="6" t="s">
        <v>70</v>
      </c>
      <c r="G2537" s="8">
        <v>511616</v>
      </c>
      <c r="H2537" s="8">
        <v>57809</v>
      </c>
      <c r="I2537" s="8">
        <v>50318</v>
      </c>
      <c r="J2537" s="8">
        <v>4541</v>
      </c>
      <c r="K2537" s="8">
        <v>236</v>
      </c>
      <c r="L2537" s="8">
        <v>202</v>
      </c>
      <c r="M2537" s="8">
        <v>2</v>
      </c>
      <c r="N2537" s="8">
        <v>1267</v>
      </c>
      <c r="O2537" s="9">
        <f t="shared" si="39"/>
        <v>9.8990420922930158E-2</v>
      </c>
      <c r="P2537" s="6" t="s">
        <v>22</v>
      </c>
    </row>
    <row r="2538" spans="1:16" x14ac:dyDescent="0.25">
      <c r="A2538" s="2" t="s">
        <v>5145</v>
      </c>
      <c r="B2538" s="2" t="s">
        <v>5146</v>
      </c>
      <c r="C2538" s="2" t="s">
        <v>18</v>
      </c>
      <c r="D2538" s="3" t="s">
        <v>57</v>
      </c>
      <c r="E2538" s="3" t="s">
        <v>39</v>
      </c>
      <c r="F2538" s="2" t="s">
        <v>21</v>
      </c>
      <c r="G2538" s="4">
        <v>664051</v>
      </c>
      <c r="H2538" s="4">
        <v>190120</v>
      </c>
      <c r="I2538" s="4">
        <v>162044</v>
      </c>
      <c r="J2538" s="4">
        <v>8321</v>
      </c>
      <c r="K2538" s="4">
        <v>379</v>
      </c>
      <c r="L2538" s="4">
        <v>775</v>
      </c>
      <c r="M2538" s="4">
        <v>1514</v>
      </c>
      <c r="N2538" s="4">
        <v>5948</v>
      </c>
      <c r="O2538" s="5">
        <f t="shared" si="39"/>
        <v>6.7814914467675444E-2</v>
      </c>
      <c r="P2538" s="2" t="s">
        <v>29</v>
      </c>
    </row>
    <row r="2539" spans="1:16" x14ac:dyDescent="0.25">
      <c r="A2539" s="6" t="s">
        <v>5147</v>
      </c>
      <c r="B2539" s="6" t="s">
        <v>5148</v>
      </c>
      <c r="C2539" s="6" t="s">
        <v>32</v>
      </c>
      <c r="D2539" s="7" t="s">
        <v>121</v>
      </c>
      <c r="E2539" s="7" t="s">
        <v>27</v>
      </c>
      <c r="F2539" s="6" t="s">
        <v>51</v>
      </c>
      <c r="G2539" s="8">
        <v>532540</v>
      </c>
      <c r="H2539" s="8">
        <v>63250</v>
      </c>
      <c r="I2539" s="8">
        <v>51850</v>
      </c>
      <c r="J2539" s="8">
        <v>3443</v>
      </c>
      <c r="K2539" s="8">
        <v>109</v>
      </c>
      <c r="L2539" s="8">
        <v>238</v>
      </c>
      <c r="M2539" s="8">
        <v>25</v>
      </c>
      <c r="N2539" s="8">
        <v>1935</v>
      </c>
      <c r="O2539" s="9">
        <f t="shared" si="39"/>
        <v>7.357762777242044E-2</v>
      </c>
      <c r="P2539" s="6" t="s">
        <v>22</v>
      </c>
    </row>
    <row r="2540" spans="1:16" x14ac:dyDescent="0.25">
      <c r="A2540" s="2" t="s">
        <v>5149</v>
      </c>
      <c r="B2540" s="2" t="s">
        <v>5150</v>
      </c>
      <c r="C2540" s="2" t="s">
        <v>25</v>
      </c>
      <c r="D2540" s="3" t="s">
        <v>26</v>
      </c>
      <c r="E2540" s="3" t="s">
        <v>27</v>
      </c>
      <c r="F2540" s="2" t="s">
        <v>54</v>
      </c>
      <c r="G2540" s="4">
        <v>329213</v>
      </c>
      <c r="H2540" s="4">
        <v>57005</v>
      </c>
      <c r="I2540" s="4">
        <v>46729</v>
      </c>
      <c r="J2540" s="4">
        <v>2050</v>
      </c>
      <c r="K2540" s="4">
        <v>160</v>
      </c>
      <c r="L2540" s="4">
        <v>288</v>
      </c>
      <c r="M2540" s="4">
        <v>275</v>
      </c>
      <c r="N2540" s="4">
        <v>1612</v>
      </c>
      <c r="O2540" s="5">
        <f t="shared" si="39"/>
        <v>5.9342164394701365E-2</v>
      </c>
      <c r="P2540" s="2" t="s">
        <v>29</v>
      </c>
    </row>
    <row r="2541" spans="1:16" x14ac:dyDescent="0.25">
      <c r="A2541" s="6" t="s">
        <v>5151</v>
      </c>
      <c r="B2541" s="6" t="s">
        <v>5152</v>
      </c>
      <c r="C2541" s="6" t="s">
        <v>18</v>
      </c>
      <c r="D2541" s="7" t="s">
        <v>226</v>
      </c>
      <c r="E2541" s="7" t="s">
        <v>45</v>
      </c>
      <c r="F2541" s="6" t="s">
        <v>73</v>
      </c>
      <c r="G2541" s="8">
        <v>641758</v>
      </c>
      <c r="H2541" s="8">
        <v>414729</v>
      </c>
      <c r="I2541" s="8">
        <v>291075</v>
      </c>
      <c r="J2541" s="8">
        <v>11363</v>
      </c>
      <c r="K2541" s="8">
        <v>1291</v>
      </c>
      <c r="L2541" s="8">
        <v>1011</v>
      </c>
      <c r="M2541" s="8">
        <v>1169</v>
      </c>
      <c r="N2541" s="8">
        <v>11092</v>
      </c>
      <c r="O2541" s="9">
        <f t="shared" si="39"/>
        <v>5.0962810272266595E-2</v>
      </c>
      <c r="P2541" s="6" t="s">
        <v>29</v>
      </c>
    </row>
    <row r="2542" spans="1:16" x14ac:dyDescent="0.25">
      <c r="A2542" s="2" t="s">
        <v>5153</v>
      </c>
      <c r="B2542" s="2" t="s">
        <v>5154</v>
      </c>
      <c r="C2542" s="2" t="s">
        <v>18</v>
      </c>
      <c r="D2542" s="3" t="s">
        <v>231</v>
      </c>
      <c r="E2542" s="3" t="s">
        <v>27</v>
      </c>
      <c r="F2542" s="2" t="s">
        <v>58</v>
      </c>
      <c r="G2542" s="4">
        <v>580244</v>
      </c>
      <c r="H2542" s="4">
        <v>358677</v>
      </c>
      <c r="I2542" s="4">
        <v>325682</v>
      </c>
      <c r="J2542" s="4">
        <v>26485</v>
      </c>
      <c r="K2542" s="4">
        <v>2915</v>
      </c>
      <c r="L2542" s="4">
        <v>1192</v>
      </c>
      <c r="M2542" s="4">
        <v>3530</v>
      </c>
      <c r="N2542" s="4">
        <v>10357</v>
      </c>
      <c r="O2542" s="5">
        <f t="shared" si="39"/>
        <v>0.1047709115026314</v>
      </c>
      <c r="P2542" s="2" t="s">
        <v>22</v>
      </c>
    </row>
    <row r="2543" spans="1:16" x14ac:dyDescent="0.25">
      <c r="A2543" s="6" t="s">
        <v>5155</v>
      </c>
      <c r="B2543" s="6" t="s">
        <v>5156</v>
      </c>
      <c r="C2543" s="6" t="s">
        <v>25</v>
      </c>
      <c r="D2543" s="7" t="s">
        <v>26</v>
      </c>
      <c r="E2543" s="7" t="s">
        <v>34</v>
      </c>
      <c r="F2543" s="6" t="s">
        <v>146</v>
      </c>
      <c r="G2543" s="8">
        <v>107314</v>
      </c>
      <c r="H2543" s="8">
        <v>49566</v>
      </c>
      <c r="I2543" s="8">
        <v>42195</v>
      </c>
      <c r="J2543" s="8">
        <v>2247</v>
      </c>
      <c r="K2543" s="8">
        <v>209</v>
      </c>
      <c r="L2543" s="8">
        <v>257</v>
      </c>
      <c r="M2543" s="8">
        <v>246</v>
      </c>
      <c r="N2543" s="8">
        <v>723</v>
      </c>
      <c r="O2543" s="9">
        <f t="shared" si="39"/>
        <v>7.0126792273966107E-2</v>
      </c>
      <c r="P2543" s="6" t="s">
        <v>29</v>
      </c>
    </row>
    <row r="2544" spans="1:16" x14ac:dyDescent="0.25">
      <c r="A2544" s="2" t="s">
        <v>5157</v>
      </c>
      <c r="B2544" s="2" t="s">
        <v>5158</v>
      </c>
      <c r="C2544" s="2" t="s">
        <v>18</v>
      </c>
      <c r="D2544" s="3" t="s">
        <v>19</v>
      </c>
      <c r="E2544" s="3" t="s">
        <v>45</v>
      </c>
      <c r="F2544" s="2" t="s">
        <v>21</v>
      </c>
      <c r="G2544" s="4">
        <v>559508</v>
      </c>
      <c r="H2544" s="4">
        <v>222010</v>
      </c>
      <c r="I2544" s="4">
        <v>165744</v>
      </c>
      <c r="J2544" s="4">
        <v>11420</v>
      </c>
      <c r="K2544" s="4">
        <v>1922</v>
      </c>
      <c r="L2544" s="4">
        <v>1182</v>
      </c>
      <c r="M2544" s="4">
        <v>1334</v>
      </c>
      <c r="N2544" s="4">
        <v>7250</v>
      </c>
      <c r="O2544" s="5">
        <f t="shared" si="39"/>
        <v>9.5677671589921812E-2</v>
      </c>
      <c r="P2544" s="2" t="s">
        <v>22</v>
      </c>
    </row>
    <row r="2545" spans="1:16" x14ac:dyDescent="0.25">
      <c r="A2545" s="6" t="s">
        <v>5159</v>
      </c>
      <c r="B2545" s="6" t="s">
        <v>5160</v>
      </c>
      <c r="C2545" s="6" t="s">
        <v>43</v>
      </c>
      <c r="D2545" s="7" t="s">
        <v>172</v>
      </c>
      <c r="E2545" s="7" t="s">
        <v>39</v>
      </c>
      <c r="F2545" s="6" t="s">
        <v>70</v>
      </c>
      <c r="G2545" s="8">
        <v>303788</v>
      </c>
      <c r="H2545" s="8">
        <v>38206</v>
      </c>
      <c r="I2545" s="8">
        <v>34768</v>
      </c>
      <c r="J2545" s="8">
        <v>1879</v>
      </c>
      <c r="K2545" s="8">
        <v>324</v>
      </c>
      <c r="L2545" s="8">
        <v>61</v>
      </c>
      <c r="M2545" s="8">
        <v>40</v>
      </c>
      <c r="N2545" s="8">
        <v>1032</v>
      </c>
      <c r="O2545" s="9">
        <f t="shared" si="39"/>
        <v>6.6267832489645656E-2</v>
      </c>
      <c r="P2545" s="6" t="s">
        <v>22</v>
      </c>
    </row>
    <row r="2546" spans="1:16" x14ac:dyDescent="0.25">
      <c r="A2546" s="2" t="s">
        <v>5161</v>
      </c>
      <c r="B2546" s="2" t="s">
        <v>5162</v>
      </c>
      <c r="C2546" s="2" t="s">
        <v>76</v>
      </c>
      <c r="D2546" s="3" t="s">
        <v>182</v>
      </c>
      <c r="E2546" s="3" t="s">
        <v>45</v>
      </c>
      <c r="F2546" s="2" t="s">
        <v>78</v>
      </c>
      <c r="G2546" s="4">
        <v>409030</v>
      </c>
      <c r="H2546" s="4">
        <v>95695</v>
      </c>
      <c r="I2546" s="4">
        <v>79666</v>
      </c>
      <c r="J2546" s="4">
        <v>7457</v>
      </c>
      <c r="K2546" s="4">
        <v>505</v>
      </c>
      <c r="L2546" s="4">
        <v>339</v>
      </c>
      <c r="M2546" s="4">
        <v>538</v>
      </c>
      <c r="N2546" s="4">
        <v>3280</v>
      </c>
      <c r="O2546" s="5">
        <f t="shared" si="39"/>
        <v>0.11095071925288078</v>
      </c>
      <c r="P2546" s="2" t="s">
        <v>22</v>
      </c>
    </row>
    <row r="2547" spans="1:16" x14ac:dyDescent="0.25">
      <c r="A2547" s="6" t="s">
        <v>5163</v>
      </c>
      <c r="B2547" s="6" t="s">
        <v>5164</v>
      </c>
      <c r="C2547" s="6" t="s">
        <v>18</v>
      </c>
      <c r="D2547" s="7" t="s">
        <v>92</v>
      </c>
      <c r="E2547" s="7" t="s">
        <v>39</v>
      </c>
      <c r="F2547" s="6" t="s">
        <v>58</v>
      </c>
      <c r="G2547" s="8">
        <v>458316</v>
      </c>
      <c r="H2547" s="8">
        <v>174567</v>
      </c>
      <c r="I2547" s="8">
        <v>122735</v>
      </c>
      <c r="J2547" s="8">
        <v>13027</v>
      </c>
      <c r="K2547" s="8">
        <v>1408</v>
      </c>
      <c r="L2547" s="8">
        <v>1471</v>
      </c>
      <c r="M2547" s="8">
        <v>1696</v>
      </c>
      <c r="N2547" s="8">
        <v>5569</v>
      </c>
      <c r="O2547" s="9">
        <f t="shared" si="39"/>
        <v>0.14341467389090318</v>
      </c>
      <c r="P2547" s="6" t="s">
        <v>29</v>
      </c>
    </row>
    <row r="2548" spans="1:16" x14ac:dyDescent="0.25">
      <c r="A2548" s="2" t="s">
        <v>5165</v>
      </c>
      <c r="B2548" s="2" t="s">
        <v>5166</v>
      </c>
      <c r="C2548" s="2" t="s">
        <v>32</v>
      </c>
      <c r="D2548" s="3" t="s">
        <v>121</v>
      </c>
      <c r="E2548" s="3" t="s">
        <v>20</v>
      </c>
      <c r="F2548" s="2" t="s">
        <v>128</v>
      </c>
      <c r="G2548" s="4">
        <v>631539</v>
      </c>
      <c r="H2548" s="4">
        <v>225392</v>
      </c>
      <c r="I2548" s="4">
        <v>173473</v>
      </c>
      <c r="J2548" s="4">
        <v>10288</v>
      </c>
      <c r="K2548" s="4">
        <v>1282</v>
      </c>
      <c r="L2548" s="4">
        <v>628</v>
      </c>
      <c r="M2548" s="4">
        <v>21</v>
      </c>
      <c r="N2548" s="4">
        <v>5616</v>
      </c>
      <c r="O2548" s="5">
        <f t="shared" si="39"/>
        <v>7.0437474419650314E-2</v>
      </c>
      <c r="P2548" s="2" t="s">
        <v>22</v>
      </c>
    </row>
    <row r="2549" spans="1:16" x14ac:dyDescent="0.25">
      <c r="A2549" s="6" t="s">
        <v>5167</v>
      </c>
      <c r="B2549" s="6" t="s">
        <v>5168</v>
      </c>
      <c r="C2549" s="6" t="s">
        <v>32</v>
      </c>
      <c r="D2549" s="7" t="s">
        <v>121</v>
      </c>
      <c r="E2549" s="7" t="s">
        <v>39</v>
      </c>
      <c r="F2549" s="6" t="s">
        <v>51</v>
      </c>
      <c r="G2549" s="8">
        <v>642270</v>
      </c>
      <c r="H2549" s="8">
        <v>273637</v>
      </c>
      <c r="I2549" s="8">
        <v>201299</v>
      </c>
      <c r="J2549" s="8">
        <v>21606</v>
      </c>
      <c r="K2549" s="8">
        <v>2009</v>
      </c>
      <c r="L2549" s="8">
        <v>2162</v>
      </c>
      <c r="M2549" s="8">
        <v>2</v>
      </c>
      <c r="N2549" s="8">
        <v>4926</v>
      </c>
      <c r="O2549" s="9">
        <f t="shared" si="39"/>
        <v>0.12806322932553069</v>
      </c>
      <c r="P2549" s="6" t="s">
        <v>22</v>
      </c>
    </row>
    <row r="2550" spans="1:16" x14ac:dyDescent="0.25">
      <c r="A2550" s="2" t="s">
        <v>5169</v>
      </c>
      <c r="B2550" s="2" t="s">
        <v>5170</v>
      </c>
      <c r="C2550" s="2" t="s">
        <v>43</v>
      </c>
      <c r="D2550" s="3" t="s">
        <v>44</v>
      </c>
      <c r="E2550" s="3" t="s">
        <v>39</v>
      </c>
      <c r="F2550" s="2" t="s">
        <v>107</v>
      </c>
      <c r="G2550" s="4">
        <v>247220</v>
      </c>
      <c r="H2550" s="4">
        <v>114320</v>
      </c>
      <c r="I2550" s="4">
        <v>85522</v>
      </c>
      <c r="J2550" s="4">
        <v>3909</v>
      </c>
      <c r="K2550" s="4">
        <v>196</v>
      </c>
      <c r="L2550" s="4">
        <v>181</v>
      </c>
      <c r="M2550" s="4">
        <v>34</v>
      </c>
      <c r="N2550" s="4">
        <v>2857</v>
      </c>
      <c r="O2550" s="5">
        <f t="shared" si="39"/>
        <v>5.051331821051893E-2</v>
      </c>
      <c r="P2550" s="2" t="s">
        <v>29</v>
      </c>
    </row>
    <row r="2551" spans="1:16" x14ac:dyDescent="0.25">
      <c r="A2551" s="6" t="s">
        <v>5171</v>
      </c>
      <c r="B2551" s="6" t="s">
        <v>5172</v>
      </c>
      <c r="C2551" s="6" t="s">
        <v>18</v>
      </c>
      <c r="D2551" s="7" t="s">
        <v>57</v>
      </c>
      <c r="E2551" s="7" t="s">
        <v>45</v>
      </c>
      <c r="F2551" s="6" t="s">
        <v>73</v>
      </c>
      <c r="G2551" s="8">
        <v>778069</v>
      </c>
      <c r="H2551" s="8">
        <v>311934</v>
      </c>
      <c r="I2551" s="8">
        <v>285809</v>
      </c>
      <c r="J2551" s="8">
        <v>7369</v>
      </c>
      <c r="K2551" s="8">
        <v>619</v>
      </c>
      <c r="L2551" s="8">
        <v>504</v>
      </c>
      <c r="M2551" s="8">
        <v>764</v>
      </c>
      <c r="N2551" s="8">
        <v>6750</v>
      </c>
      <c r="O2551" s="9">
        <f t="shared" si="39"/>
        <v>3.238526428488956E-2</v>
      </c>
      <c r="P2551" s="6" t="s">
        <v>22</v>
      </c>
    </row>
    <row r="2552" spans="1:16" x14ac:dyDescent="0.25">
      <c r="A2552" s="2" t="s">
        <v>5173</v>
      </c>
      <c r="B2552" s="2" t="s">
        <v>5174</v>
      </c>
      <c r="C2552" s="2" t="s">
        <v>76</v>
      </c>
      <c r="D2552" s="3" t="s">
        <v>103</v>
      </c>
      <c r="E2552" s="3" t="s">
        <v>27</v>
      </c>
      <c r="F2552" s="2" t="s">
        <v>155</v>
      </c>
      <c r="G2552" s="4">
        <v>432855</v>
      </c>
      <c r="H2552" s="4">
        <v>91823</v>
      </c>
      <c r="I2552" s="4">
        <v>64358</v>
      </c>
      <c r="J2552" s="4">
        <v>4033</v>
      </c>
      <c r="K2552" s="4">
        <v>152</v>
      </c>
      <c r="L2552" s="4">
        <v>121</v>
      </c>
      <c r="M2552" s="4">
        <v>864</v>
      </c>
      <c r="N2552" s="4">
        <v>1595</v>
      </c>
      <c r="O2552" s="5">
        <f t="shared" si="39"/>
        <v>8.033189347089717E-2</v>
      </c>
      <c r="P2552" s="2" t="s">
        <v>22</v>
      </c>
    </row>
    <row r="2553" spans="1:16" x14ac:dyDescent="0.25">
      <c r="A2553" s="6" t="s">
        <v>5175</v>
      </c>
      <c r="B2553" s="6" t="s">
        <v>5176</v>
      </c>
      <c r="C2553" s="6" t="s">
        <v>43</v>
      </c>
      <c r="D2553" s="7" t="s">
        <v>69</v>
      </c>
      <c r="E2553" s="7" t="s">
        <v>34</v>
      </c>
      <c r="F2553" s="6" t="s">
        <v>46</v>
      </c>
      <c r="G2553" s="8">
        <v>636750</v>
      </c>
      <c r="H2553" s="8">
        <v>256573</v>
      </c>
      <c r="I2553" s="8">
        <v>179959</v>
      </c>
      <c r="J2553" s="8">
        <v>14326</v>
      </c>
      <c r="K2553" s="8">
        <v>1353</v>
      </c>
      <c r="L2553" s="8">
        <v>948</v>
      </c>
      <c r="M2553" s="8">
        <v>42</v>
      </c>
      <c r="N2553" s="8">
        <v>5846</v>
      </c>
      <c r="O2553" s="9">
        <f t="shared" si="39"/>
        <v>9.2626653848932261E-2</v>
      </c>
      <c r="P2553" s="6" t="s">
        <v>22</v>
      </c>
    </row>
    <row r="2554" spans="1:16" x14ac:dyDescent="0.25">
      <c r="A2554" s="2" t="s">
        <v>5177</v>
      </c>
      <c r="B2554" s="2" t="s">
        <v>5178</v>
      </c>
      <c r="C2554" s="2" t="s">
        <v>25</v>
      </c>
      <c r="D2554" s="3" t="s">
        <v>145</v>
      </c>
      <c r="E2554" s="3" t="s">
        <v>34</v>
      </c>
      <c r="F2554" s="2" t="s">
        <v>54</v>
      </c>
      <c r="G2554" s="4">
        <v>500123</v>
      </c>
      <c r="H2554" s="4">
        <v>287817</v>
      </c>
      <c r="I2554" s="4">
        <v>209722</v>
      </c>
      <c r="J2554" s="4">
        <v>18452</v>
      </c>
      <c r="K2554" s="4">
        <v>1912</v>
      </c>
      <c r="L2554" s="4">
        <v>1084</v>
      </c>
      <c r="M2554" s="4">
        <v>3725</v>
      </c>
      <c r="N2554" s="4">
        <v>7404</v>
      </c>
      <c r="O2554" s="5">
        <f t="shared" si="39"/>
        <v>0.12003032585994793</v>
      </c>
      <c r="P2554" s="2" t="s">
        <v>29</v>
      </c>
    </row>
    <row r="2555" spans="1:16" x14ac:dyDescent="0.25">
      <c r="A2555" s="6" t="s">
        <v>5179</v>
      </c>
      <c r="B2555" s="6" t="s">
        <v>5180</v>
      </c>
      <c r="C2555" s="6" t="s">
        <v>25</v>
      </c>
      <c r="D2555" s="7" t="s">
        <v>244</v>
      </c>
      <c r="E2555" s="7" t="s">
        <v>45</v>
      </c>
      <c r="F2555" s="6" t="s">
        <v>65</v>
      </c>
      <c r="G2555" s="8">
        <v>722366</v>
      </c>
      <c r="H2555" s="8">
        <v>139111</v>
      </c>
      <c r="I2555" s="8">
        <v>121057</v>
      </c>
      <c r="J2555" s="8">
        <v>4437</v>
      </c>
      <c r="K2555" s="8">
        <v>205</v>
      </c>
      <c r="L2555" s="8">
        <v>660</v>
      </c>
      <c r="M2555" s="8">
        <v>553</v>
      </c>
      <c r="N2555" s="8">
        <v>3926</v>
      </c>
      <c r="O2555" s="9">
        <f t="shared" si="39"/>
        <v>4.8365645935385809E-2</v>
      </c>
      <c r="P2555" s="6" t="s">
        <v>22</v>
      </c>
    </row>
    <row r="2556" spans="1:16" x14ac:dyDescent="0.25">
      <c r="A2556" s="2" t="s">
        <v>5181</v>
      </c>
      <c r="B2556" s="2" t="s">
        <v>5182</v>
      </c>
      <c r="C2556" s="2" t="s">
        <v>32</v>
      </c>
      <c r="D2556" s="3" t="s">
        <v>175</v>
      </c>
      <c r="E2556" s="3" t="s">
        <v>45</v>
      </c>
      <c r="F2556" s="2" t="s">
        <v>35</v>
      </c>
      <c r="G2556" s="4">
        <v>789988</v>
      </c>
      <c r="H2556" s="4">
        <v>452491</v>
      </c>
      <c r="I2556" s="4">
        <v>365988</v>
      </c>
      <c r="J2556" s="4">
        <v>14843</v>
      </c>
      <c r="K2556" s="4">
        <v>2477</v>
      </c>
      <c r="L2556" s="4">
        <v>298</v>
      </c>
      <c r="M2556" s="4">
        <v>9</v>
      </c>
      <c r="N2556" s="4">
        <v>7116</v>
      </c>
      <c r="O2556" s="5">
        <f t="shared" si="39"/>
        <v>4.8162781293375742E-2</v>
      </c>
      <c r="P2556" s="2" t="s">
        <v>66</v>
      </c>
    </row>
    <row r="2557" spans="1:16" x14ac:dyDescent="0.25">
      <c r="A2557" s="6" t="s">
        <v>5183</v>
      </c>
      <c r="B2557" s="6" t="s">
        <v>5184</v>
      </c>
      <c r="C2557" s="6" t="s">
        <v>32</v>
      </c>
      <c r="D2557" s="7" t="s">
        <v>121</v>
      </c>
      <c r="E2557" s="7" t="s">
        <v>50</v>
      </c>
      <c r="F2557" s="6" t="s">
        <v>51</v>
      </c>
      <c r="G2557" s="8">
        <v>327675</v>
      </c>
      <c r="H2557" s="8">
        <v>146937</v>
      </c>
      <c r="I2557" s="8">
        <v>124561</v>
      </c>
      <c r="J2557" s="8">
        <v>5922</v>
      </c>
      <c r="K2557" s="8">
        <v>992</v>
      </c>
      <c r="L2557" s="8">
        <v>637</v>
      </c>
      <c r="M2557" s="8">
        <v>22</v>
      </c>
      <c r="N2557" s="8">
        <v>1003</v>
      </c>
      <c r="O2557" s="9">
        <f t="shared" si="39"/>
        <v>6.0797520893377539E-2</v>
      </c>
      <c r="P2557" s="6" t="s">
        <v>22</v>
      </c>
    </row>
    <row r="2558" spans="1:16" x14ac:dyDescent="0.25">
      <c r="A2558" s="2" t="s">
        <v>5185</v>
      </c>
      <c r="B2558" s="2" t="s">
        <v>5186</v>
      </c>
      <c r="C2558" s="2" t="s">
        <v>32</v>
      </c>
      <c r="D2558" s="3" t="s">
        <v>38</v>
      </c>
      <c r="E2558" s="3" t="s">
        <v>34</v>
      </c>
      <c r="F2558" s="2" t="s">
        <v>128</v>
      </c>
      <c r="G2558" s="4">
        <v>433726</v>
      </c>
      <c r="H2558" s="4">
        <v>1642761</v>
      </c>
      <c r="I2558" s="4">
        <v>1357023</v>
      </c>
      <c r="J2558" s="4">
        <v>67585</v>
      </c>
      <c r="K2558" s="4">
        <v>9296</v>
      </c>
      <c r="L2558" s="4">
        <v>9982</v>
      </c>
      <c r="M2558" s="4">
        <v>35</v>
      </c>
      <c r="N2558" s="4">
        <v>34702</v>
      </c>
      <c r="O2558" s="5">
        <f t="shared" si="39"/>
        <v>6.4035760631912644E-2</v>
      </c>
      <c r="P2558" s="2" t="s">
        <v>22</v>
      </c>
    </row>
    <row r="2559" spans="1:16" x14ac:dyDescent="0.25">
      <c r="A2559" s="6" t="s">
        <v>5187</v>
      </c>
      <c r="B2559" s="6" t="s">
        <v>5188</v>
      </c>
      <c r="C2559" s="6" t="s">
        <v>43</v>
      </c>
      <c r="D2559" s="7" t="s">
        <v>69</v>
      </c>
      <c r="E2559" s="7" t="s">
        <v>50</v>
      </c>
      <c r="F2559" s="6" t="s">
        <v>107</v>
      </c>
      <c r="G2559" s="8">
        <v>777162</v>
      </c>
      <c r="H2559" s="8">
        <v>177494</v>
      </c>
      <c r="I2559" s="8">
        <v>150529</v>
      </c>
      <c r="J2559" s="8">
        <v>12938</v>
      </c>
      <c r="K2559" s="8">
        <v>705</v>
      </c>
      <c r="L2559" s="8">
        <v>1586</v>
      </c>
      <c r="M2559" s="8">
        <v>33</v>
      </c>
      <c r="N2559" s="8">
        <v>4815</v>
      </c>
      <c r="O2559" s="9">
        <f t="shared" si="39"/>
        <v>0.10138910110344186</v>
      </c>
      <c r="P2559" s="6" t="s">
        <v>29</v>
      </c>
    </row>
    <row r="2560" spans="1:16" x14ac:dyDescent="0.25">
      <c r="A2560" s="2" t="s">
        <v>5189</v>
      </c>
      <c r="B2560" s="2" t="s">
        <v>5190</v>
      </c>
      <c r="C2560" s="2" t="s">
        <v>76</v>
      </c>
      <c r="D2560" s="3" t="s">
        <v>182</v>
      </c>
      <c r="E2560" s="3" t="s">
        <v>50</v>
      </c>
      <c r="F2560" s="2" t="s">
        <v>155</v>
      </c>
      <c r="G2560" s="4">
        <v>23964</v>
      </c>
      <c r="H2560" s="4">
        <v>5278</v>
      </c>
      <c r="I2560" s="4">
        <v>4394</v>
      </c>
      <c r="J2560" s="4">
        <v>262</v>
      </c>
      <c r="K2560" s="4">
        <v>35</v>
      </c>
      <c r="L2560" s="4">
        <v>15</v>
      </c>
      <c r="M2560" s="4">
        <v>53</v>
      </c>
      <c r="N2560" s="4">
        <v>62</v>
      </c>
      <c r="O2560" s="5">
        <f t="shared" si="39"/>
        <v>8.3067819754210293E-2</v>
      </c>
      <c r="P2560" s="2" t="s">
        <v>29</v>
      </c>
    </row>
    <row r="2561" spans="1:16" x14ac:dyDescent="0.25">
      <c r="A2561" s="6" t="s">
        <v>5191</v>
      </c>
      <c r="B2561" s="6" t="s">
        <v>5192</v>
      </c>
      <c r="C2561" s="6" t="s">
        <v>18</v>
      </c>
      <c r="D2561" s="7" t="s">
        <v>57</v>
      </c>
      <c r="E2561" s="7" t="s">
        <v>27</v>
      </c>
      <c r="F2561" s="6" t="s">
        <v>58</v>
      </c>
      <c r="G2561" s="8">
        <v>525620</v>
      </c>
      <c r="H2561" s="8">
        <v>261197</v>
      </c>
      <c r="I2561" s="8">
        <v>185928</v>
      </c>
      <c r="J2561" s="8">
        <v>20850</v>
      </c>
      <c r="K2561" s="8">
        <v>3434</v>
      </c>
      <c r="L2561" s="8">
        <v>2973</v>
      </c>
      <c r="M2561" s="8">
        <v>1582</v>
      </c>
      <c r="N2561" s="8">
        <v>6291</v>
      </c>
      <c r="O2561" s="9">
        <f t="shared" si="39"/>
        <v>0.15510842906931716</v>
      </c>
      <c r="P2561" s="6" t="s">
        <v>29</v>
      </c>
    </row>
    <row r="2562" spans="1:16" x14ac:dyDescent="0.25">
      <c r="A2562" s="2" t="s">
        <v>5193</v>
      </c>
      <c r="B2562" s="2" t="s">
        <v>5194</v>
      </c>
      <c r="C2562" s="2" t="s">
        <v>32</v>
      </c>
      <c r="D2562" s="3" t="s">
        <v>49</v>
      </c>
      <c r="E2562" s="3" t="s">
        <v>45</v>
      </c>
      <c r="F2562" s="2" t="s">
        <v>51</v>
      </c>
      <c r="G2562" s="4">
        <v>696129</v>
      </c>
      <c r="H2562" s="4">
        <v>96470</v>
      </c>
      <c r="I2562" s="4">
        <v>67744</v>
      </c>
      <c r="J2562" s="4">
        <v>4538</v>
      </c>
      <c r="K2562" s="4">
        <v>747</v>
      </c>
      <c r="L2562" s="4">
        <v>479</v>
      </c>
      <c r="M2562" s="4">
        <v>4</v>
      </c>
      <c r="N2562" s="4">
        <v>545</v>
      </c>
      <c r="O2562" s="5">
        <f t="shared" ref="O2562:O2625" si="40">IF(I2562&gt;0, (J2562+K2562+L2562+M2562)/I2562, 0)</f>
        <v>8.5144071799716586E-2</v>
      </c>
      <c r="P2562" s="2" t="s">
        <v>22</v>
      </c>
    </row>
    <row r="2563" spans="1:16" x14ac:dyDescent="0.25">
      <c r="A2563" s="6" t="s">
        <v>5195</v>
      </c>
      <c r="B2563" s="6" t="s">
        <v>5196</v>
      </c>
      <c r="C2563" s="6" t="s">
        <v>25</v>
      </c>
      <c r="D2563" s="7" t="s">
        <v>61</v>
      </c>
      <c r="E2563" s="7" t="s">
        <v>27</v>
      </c>
      <c r="F2563" s="6" t="s">
        <v>146</v>
      </c>
      <c r="G2563" s="8">
        <v>609562</v>
      </c>
      <c r="H2563" s="8">
        <v>71706</v>
      </c>
      <c r="I2563" s="8">
        <v>54290</v>
      </c>
      <c r="J2563" s="8">
        <v>1955</v>
      </c>
      <c r="K2563" s="8">
        <v>206</v>
      </c>
      <c r="L2563" s="8">
        <v>146</v>
      </c>
      <c r="M2563" s="8">
        <v>295</v>
      </c>
      <c r="N2563" s="8">
        <v>2424</v>
      </c>
      <c r="O2563" s="9">
        <f t="shared" si="40"/>
        <v>4.7927795174065202E-2</v>
      </c>
      <c r="P2563" s="6" t="s">
        <v>22</v>
      </c>
    </row>
    <row r="2564" spans="1:16" x14ac:dyDescent="0.25">
      <c r="A2564" s="2" t="s">
        <v>5197</v>
      </c>
      <c r="B2564" s="2" t="s">
        <v>5198</v>
      </c>
      <c r="C2564" s="2" t="s">
        <v>25</v>
      </c>
      <c r="D2564" s="3" t="s">
        <v>244</v>
      </c>
      <c r="E2564" s="3" t="s">
        <v>27</v>
      </c>
      <c r="F2564" s="2" t="s">
        <v>54</v>
      </c>
      <c r="G2564" s="4">
        <v>4350</v>
      </c>
      <c r="H2564" s="4">
        <v>1249</v>
      </c>
      <c r="I2564" s="4">
        <v>1031</v>
      </c>
      <c r="J2564" s="4">
        <v>31</v>
      </c>
      <c r="K2564" s="4">
        <v>4</v>
      </c>
      <c r="L2564" s="4">
        <v>3</v>
      </c>
      <c r="M2564" s="4">
        <v>6</v>
      </c>
      <c r="N2564" s="4">
        <v>14</v>
      </c>
      <c r="O2564" s="5">
        <f t="shared" si="40"/>
        <v>4.2677012609117361E-2</v>
      </c>
      <c r="P2564" s="2" t="s">
        <v>29</v>
      </c>
    </row>
    <row r="2565" spans="1:16" x14ac:dyDescent="0.25">
      <c r="A2565" s="6" t="s">
        <v>5199</v>
      </c>
      <c r="B2565" s="6" t="s">
        <v>5200</v>
      </c>
      <c r="C2565" s="6" t="s">
        <v>25</v>
      </c>
      <c r="D2565" s="7" t="s">
        <v>64</v>
      </c>
      <c r="E2565" s="7" t="s">
        <v>50</v>
      </c>
      <c r="F2565" s="6" t="s">
        <v>146</v>
      </c>
      <c r="G2565" s="8">
        <v>280622</v>
      </c>
      <c r="H2565" s="8">
        <v>137092</v>
      </c>
      <c r="I2565" s="8">
        <v>116828</v>
      </c>
      <c r="J2565" s="8">
        <v>6970</v>
      </c>
      <c r="K2565" s="8">
        <v>230</v>
      </c>
      <c r="L2565" s="8">
        <v>912</v>
      </c>
      <c r="M2565" s="8">
        <v>650</v>
      </c>
      <c r="N2565" s="8">
        <v>4551</v>
      </c>
      <c r="O2565" s="9">
        <f t="shared" si="40"/>
        <v>7.4999144040812135E-2</v>
      </c>
      <c r="P2565" s="6" t="s">
        <v>22</v>
      </c>
    </row>
    <row r="2566" spans="1:16" x14ac:dyDescent="0.25">
      <c r="A2566" s="2" t="s">
        <v>5201</v>
      </c>
      <c r="B2566" s="2" t="s">
        <v>5202</v>
      </c>
      <c r="C2566" s="2" t="s">
        <v>25</v>
      </c>
      <c r="D2566" s="3" t="s">
        <v>244</v>
      </c>
      <c r="E2566" s="3" t="s">
        <v>39</v>
      </c>
      <c r="F2566" s="2" t="s">
        <v>28</v>
      </c>
      <c r="G2566" s="4">
        <v>344489</v>
      </c>
      <c r="H2566" s="4">
        <v>173341</v>
      </c>
      <c r="I2566" s="4">
        <v>159352</v>
      </c>
      <c r="J2566" s="4">
        <v>11040</v>
      </c>
      <c r="K2566" s="4">
        <v>535</v>
      </c>
      <c r="L2566" s="4">
        <v>971</v>
      </c>
      <c r="M2566" s="4">
        <v>713</v>
      </c>
      <c r="N2566" s="4">
        <v>1390</v>
      </c>
      <c r="O2566" s="5">
        <f t="shared" si="40"/>
        <v>8.3205733219539127E-2</v>
      </c>
      <c r="P2566" s="2" t="s">
        <v>22</v>
      </c>
    </row>
    <row r="2567" spans="1:16" x14ac:dyDescent="0.25">
      <c r="A2567" s="6" t="s">
        <v>5203</v>
      </c>
      <c r="B2567" s="6" t="s">
        <v>5204</v>
      </c>
      <c r="C2567" s="6" t="s">
        <v>76</v>
      </c>
      <c r="D2567" s="7" t="s">
        <v>189</v>
      </c>
      <c r="E2567" s="7" t="s">
        <v>34</v>
      </c>
      <c r="F2567" s="6" t="s">
        <v>78</v>
      </c>
      <c r="G2567" s="8">
        <v>270964</v>
      </c>
      <c r="H2567" s="8">
        <v>98251</v>
      </c>
      <c r="I2567" s="8">
        <v>79696</v>
      </c>
      <c r="J2567" s="8">
        <v>3246</v>
      </c>
      <c r="K2567" s="8">
        <v>323</v>
      </c>
      <c r="L2567" s="8">
        <v>474</v>
      </c>
      <c r="M2567" s="8">
        <v>195</v>
      </c>
      <c r="N2567" s="8">
        <v>662</v>
      </c>
      <c r="O2567" s="9">
        <f t="shared" si="40"/>
        <v>5.3177072876932345E-2</v>
      </c>
      <c r="P2567" s="6" t="s">
        <v>29</v>
      </c>
    </row>
    <row r="2568" spans="1:16" x14ac:dyDescent="0.25">
      <c r="A2568" s="2" t="s">
        <v>5205</v>
      </c>
      <c r="B2568" s="2" t="s">
        <v>5206</v>
      </c>
      <c r="C2568" s="2" t="s">
        <v>76</v>
      </c>
      <c r="D2568" s="3" t="s">
        <v>182</v>
      </c>
      <c r="E2568" s="3" t="s">
        <v>20</v>
      </c>
      <c r="F2568" s="2" t="s">
        <v>104</v>
      </c>
      <c r="G2568" s="4">
        <v>703715</v>
      </c>
      <c r="H2568" s="4">
        <v>234307</v>
      </c>
      <c r="I2568" s="4">
        <v>212040</v>
      </c>
      <c r="J2568" s="4">
        <v>14720</v>
      </c>
      <c r="K2568" s="4">
        <v>2370</v>
      </c>
      <c r="L2568" s="4">
        <v>1973</v>
      </c>
      <c r="M2568" s="4">
        <v>1331</v>
      </c>
      <c r="N2568" s="4">
        <v>4175</v>
      </c>
      <c r="O2568" s="5">
        <f t="shared" si="40"/>
        <v>9.6179966044142612E-2</v>
      </c>
      <c r="P2568" s="2" t="s">
        <v>22</v>
      </c>
    </row>
    <row r="2569" spans="1:16" x14ac:dyDescent="0.25">
      <c r="A2569" s="6" t="s">
        <v>5207</v>
      </c>
      <c r="B2569" s="6" t="s">
        <v>5208</v>
      </c>
      <c r="C2569" s="6" t="s">
        <v>76</v>
      </c>
      <c r="D2569" s="7" t="s">
        <v>103</v>
      </c>
      <c r="E2569" s="7" t="s">
        <v>45</v>
      </c>
      <c r="F2569" s="6" t="s">
        <v>104</v>
      </c>
      <c r="G2569" s="8">
        <v>44540</v>
      </c>
      <c r="H2569" s="8">
        <v>19342</v>
      </c>
      <c r="I2569" s="8">
        <v>16698</v>
      </c>
      <c r="J2569" s="8">
        <v>1130</v>
      </c>
      <c r="K2569" s="8">
        <v>108</v>
      </c>
      <c r="L2569" s="8">
        <v>158</v>
      </c>
      <c r="M2569" s="8">
        <v>169</v>
      </c>
      <c r="N2569" s="8">
        <v>481</v>
      </c>
      <c r="O2569" s="9">
        <f t="shared" si="40"/>
        <v>9.3723799257396101E-2</v>
      </c>
      <c r="P2569" s="6" t="s">
        <v>22</v>
      </c>
    </row>
    <row r="2570" spans="1:16" x14ac:dyDescent="0.25">
      <c r="A2570" s="2" t="s">
        <v>5209</v>
      </c>
      <c r="B2570" s="2" t="s">
        <v>5210</v>
      </c>
      <c r="C2570" s="2" t="s">
        <v>43</v>
      </c>
      <c r="D2570" s="3" t="s">
        <v>69</v>
      </c>
      <c r="E2570" s="3" t="s">
        <v>20</v>
      </c>
      <c r="F2570" s="2" t="s">
        <v>46</v>
      </c>
      <c r="G2570" s="4">
        <v>595692</v>
      </c>
      <c r="H2570" s="4">
        <v>322944</v>
      </c>
      <c r="I2570" s="4">
        <v>251776</v>
      </c>
      <c r="J2570" s="4">
        <v>11646</v>
      </c>
      <c r="K2570" s="4">
        <v>1862</v>
      </c>
      <c r="L2570" s="4">
        <v>1453</v>
      </c>
      <c r="M2570" s="4">
        <v>34</v>
      </c>
      <c r="N2570" s="4">
        <v>8141</v>
      </c>
      <c r="O2570" s="5">
        <f t="shared" si="40"/>
        <v>5.9556907727503813E-2</v>
      </c>
      <c r="P2570" s="2" t="s">
        <v>66</v>
      </c>
    </row>
    <row r="2571" spans="1:16" x14ac:dyDescent="0.25">
      <c r="A2571" s="6" t="s">
        <v>5211</v>
      </c>
      <c r="B2571" s="6" t="s">
        <v>5212</v>
      </c>
      <c r="C2571" s="6" t="s">
        <v>43</v>
      </c>
      <c r="D2571" s="7" t="s">
        <v>44</v>
      </c>
      <c r="E2571" s="7" t="s">
        <v>27</v>
      </c>
      <c r="F2571" s="6" t="s">
        <v>70</v>
      </c>
      <c r="G2571" s="8">
        <v>421689</v>
      </c>
      <c r="H2571" s="8">
        <v>212172</v>
      </c>
      <c r="I2571" s="8">
        <v>153216</v>
      </c>
      <c r="J2571" s="8">
        <v>14469</v>
      </c>
      <c r="K2571" s="8">
        <v>1197</v>
      </c>
      <c r="L2571" s="8">
        <v>883</v>
      </c>
      <c r="M2571" s="8">
        <v>46</v>
      </c>
      <c r="N2571" s="8">
        <v>4735</v>
      </c>
      <c r="O2571" s="9">
        <f t="shared" si="40"/>
        <v>0.10831114243943191</v>
      </c>
      <c r="P2571" s="6" t="s">
        <v>22</v>
      </c>
    </row>
    <row r="2572" spans="1:16" x14ac:dyDescent="0.25">
      <c r="A2572" s="2" t="s">
        <v>5213</v>
      </c>
      <c r="B2572" s="2" t="s">
        <v>5214</v>
      </c>
      <c r="C2572" s="2" t="s">
        <v>43</v>
      </c>
      <c r="D2572" s="3" t="s">
        <v>69</v>
      </c>
      <c r="E2572" s="3" t="s">
        <v>34</v>
      </c>
      <c r="F2572" s="2" t="s">
        <v>46</v>
      </c>
      <c r="G2572" s="4">
        <v>676504</v>
      </c>
      <c r="H2572" s="4">
        <v>140450</v>
      </c>
      <c r="I2572" s="4">
        <v>100498</v>
      </c>
      <c r="J2572" s="4">
        <v>8266</v>
      </c>
      <c r="K2572" s="4">
        <v>959</v>
      </c>
      <c r="L2572" s="4">
        <v>997</v>
      </c>
      <c r="M2572" s="4">
        <v>4</v>
      </c>
      <c r="N2572" s="4">
        <v>4043</v>
      </c>
      <c r="O2572" s="5">
        <f t="shared" si="40"/>
        <v>0.10175326872176561</v>
      </c>
      <c r="P2572" s="2" t="s">
        <v>22</v>
      </c>
    </row>
    <row r="2573" spans="1:16" x14ac:dyDescent="0.25">
      <c r="A2573" s="6" t="s">
        <v>5215</v>
      </c>
      <c r="B2573" s="6" t="s">
        <v>5216</v>
      </c>
      <c r="C2573" s="6" t="s">
        <v>32</v>
      </c>
      <c r="D2573" s="7" t="s">
        <v>175</v>
      </c>
      <c r="E2573" s="7" t="s">
        <v>27</v>
      </c>
      <c r="F2573" s="6" t="s">
        <v>35</v>
      </c>
      <c r="G2573" s="8">
        <v>788344</v>
      </c>
      <c r="H2573" s="8">
        <v>271924</v>
      </c>
      <c r="I2573" s="8">
        <v>228062</v>
      </c>
      <c r="J2573" s="8">
        <v>7763</v>
      </c>
      <c r="K2573" s="8">
        <v>1167</v>
      </c>
      <c r="L2573" s="8">
        <v>964</v>
      </c>
      <c r="M2573" s="8">
        <v>50</v>
      </c>
      <c r="N2573" s="8">
        <v>1713</v>
      </c>
      <c r="O2573" s="9">
        <f t="shared" si="40"/>
        <v>4.3602178355008729E-2</v>
      </c>
      <c r="P2573" s="6" t="s">
        <v>22</v>
      </c>
    </row>
    <row r="2574" spans="1:16" x14ac:dyDescent="0.25">
      <c r="A2574" s="2" t="s">
        <v>5217</v>
      </c>
      <c r="B2574" s="2" t="s">
        <v>5218</v>
      </c>
      <c r="C2574" s="2" t="s">
        <v>43</v>
      </c>
      <c r="D2574" s="3" t="s">
        <v>110</v>
      </c>
      <c r="E2574" s="3" t="s">
        <v>27</v>
      </c>
      <c r="F2574" s="2" t="s">
        <v>107</v>
      </c>
      <c r="G2574" s="4">
        <v>794529</v>
      </c>
      <c r="H2574" s="4">
        <v>273728</v>
      </c>
      <c r="I2574" s="4">
        <v>191910</v>
      </c>
      <c r="J2574" s="4">
        <v>7455</v>
      </c>
      <c r="K2574" s="4">
        <v>363</v>
      </c>
      <c r="L2574" s="4">
        <v>464</v>
      </c>
      <c r="M2574" s="4">
        <v>32</v>
      </c>
      <c r="N2574" s="4">
        <v>8738</v>
      </c>
      <c r="O2574" s="5">
        <f t="shared" si="40"/>
        <v>4.3322390703975824E-2</v>
      </c>
      <c r="P2574" s="2" t="s">
        <v>22</v>
      </c>
    </row>
    <row r="2575" spans="1:16" x14ac:dyDescent="0.25">
      <c r="A2575" s="6" t="s">
        <v>5219</v>
      </c>
      <c r="B2575" s="6" t="s">
        <v>5220</v>
      </c>
      <c r="C2575" s="6" t="s">
        <v>43</v>
      </c>
      <c r="D2575" s="7" t="s">
        <v>81</v>
      </c>
      <c r="E2575" s="7" t="s">
        <v>50</v>
      </c>
      <c r="F2575" s="6" t="s">
        <v>70</v>
      </c>
      <c r="G2575" s="8">
        <v>522532</v>
      </c>
      <c r="H2575" s="8">
        <v>155899</v>
      </c>
      <c r="I2575" s="8">
        <v>116269</v>
      </c>
      <c r="J2575" s="8">
        <v>9948</v>
      </c>
      <c r="K2575" s="8">
        <v>996</v>
      </c>
      <c r="L2575" s="8">
        <v>943</v>
      </c>
      <c r="M2575" s="8">
        <v>43</v>
      </c>
      <c r="N2575" s="8">
        <v>1564</v>
      </c>
      <c r="O2575" s="9">
        <f t="shared" si="40"/>
        <v>0.1026068857563065</v>
      </c>
      <c r="P2575" s="6" t="s">
        <v>29</v>
      </c>
    </row>
    <row r="2576" spans="1:16" x14ac:dyDescent="0.25">
      <c r="A2576" s="2" t="s">
        <v>5221</v>
      </c>
      <c r="B2576" s="2" t="s">
        <v>5222</v>
      </c>
      <c r="C2576" s="2" t="s">
        <v>32</v>
      </c>
      <c r="D2576" s="3" t="s">
        <v>49</v>
      </c>
      <c r="E2576" s="3" t="s">
        <v>20</v>
      </c>
      <c r="F2576" s="2" t="s">
        <v>35</v>
      </c>
      <c r="G2576" s="4">
        <v>543163</v>
      </c>
      <c r="H2576" s="4">
        <v>190740</v>
      </c>
      <c r="I2576" s="4">
        <v>137246</v>
      </c>
      <c r="J2576" s="4">
        <v>12362</v>
      </c>
      <c r="K2576" s="4">
        <v>1015</v>
      </c>
      <c r="L2576" s="4">
        <v>1321</v>
      </c>
      <c r="M2576" s="4">
        <v>48</v>
      </c>
      <c r="N2576" s="4">
        <v>5492</v>
      </c>
      <c r="O2576" s="5">
        <f t="shared" si="40"/>
        <v>0.10744211124550078</v>
      </c>
      <c r="P2576" s="2" t="s">
        <v>22</v>
      </c>
    </row>
    <row r="2577" spans="1:16" x14ac:dyDescent="0.25">
      <c r="A2577" s="6" t="s">
        <v>5223</v>
      </c>
      <c r="B2577" s="6" t="s">
        <v>5224</v>
      </c>
      <c r="C2577" s="6" t="s">
        <v>18</v>
      </c>
      <c r="D2577" s="7" t="s">
        <v>57</v>
      </c>
      <c r="E2577" s="7" t="s">
        <v>27</v>
      </c>
      <c r="F2577" s="6" t="s">
        <v>21</v>
      </c>
      <c r="G2577" s="8">
        <v>771004</v>
      </c>
      <c r="H2577" s="8">
        <v>440116</v>
      </c>
      <c r="I2577" s="8">
        <v>332393</v>
      </c>
      <c r="J2577" s="8">
        <v>24876</v>
      </c>
      <c r="K2577" s="8">
        <v>3765</v>
      </c>
      <c r="L2577" s="8">
        <v>3082</v>
      </c>
      <c r="M2577" s="8">
        <v>4197</v>
      </c>
      <c r="N2577" s="8">
        <v>9653</v>
      </c>
      <c r="O2577" s="9">
        <f t="shared" si="40"/>
        <v>0.10806485094451447</v>
      </c>
      <c r="P2577" s="6" t="s">
        <v>29</v>
      </c>
    </row>
    <row r="2578" spans="1:16" x14ac:dyDescent="0.25">
      <c r="A2578" s="2" t="s">
        <v>5225</v>
      </c>
      <c r="B2578" s="2" t="s">
        <v>5226</v>
      </c>
      <c r="C2578" s="2" t="s">
        <v>32</v>
      </c>
      <c r="D2578" s="3" t="s">
        <v>49</v>
      </c>
      <c r="E2578" s="3" t="s">
        <v>45</v>
      </c>
      <c r="F2578" s="2" t="s">
        <v>40</v>
      </c>
      <c r="G2578" s="4">
        <v>704135</v>
      </c>
      <c r="H2578" s="4">
        <v>167889</v>
      </c>
      <c r="I2578" s="4">
        <v>152531</v>
      </c>
      <c r="J2578" s="4">
        <v>10576</v>
      </c>
      <c r="K2578" s="4">
        <v>541</v>
      </c>
      <c r="L2578" s="4">
        <v>889</v>
      </c>
      <c r="M2578" s="4">
        <v>42</v>
      </c>
      <c r="N2578" s="4">
        <v>1214</v>
      </c>
      <c r="O2578" s="5">
        <f t="shared" si="40"/>
        <v>7.898722226957143E-2</v>
      </c>
      <c r="P2578" s="2" t="s">
        <v>22</v>
      </c>
    </row>
    <row r="2579" spans="1:16" x14ac:dyDescent="0.25">
      <c r="A2579" s="6" t="s">
        <v>5227</v>
      </c>
      <c r="B2579" s="6" t="s">
        <v>5228</v>
      </c>
      <c r="C2579" s="6" t="s">
        <v>32</v>
      </c>
      <c r="D2579" s="7" t="s">
        <v>33</v>
      </c>
      <c r="E2579" s="7" t="s">
        <v>50</v>
      </c>
      <c r="F2579" s="6" t="s">
        <v>128</v>
      </c>
      <c r="G2579" s="8">
        <v>680988</v>
      </c>
      <c r="H2579" s="8">
        <v>178882</v>
      </c>
      <c r="I2579" s="8">
        <v>160466</v>
      </c>
      <c r="J2579" s="8">
        <v>5252</v>
      </c>
      <c r="K2579" s="8">
        <v>227</v>
      </c>
      <c r="L2579" s="8">
        <v>724</v>
      </c>
      <c r="M2579" s="8">
        <v>50</v>
      </c>
      <c r="N2579" s="8">
        <v>1058</v>
      </c>
      <c r="O2579" s="9">
        <f t="shared" si="40"/>
        <v>3.8967756409457453E-2</v>
      </c>
      <c r="P2579" s="6" t="s">
        <v>22</v>
      </c>
    </row>
    <row r="2580" spans="1:16" x14ac:dyDescent="0.25">
      <c r="A2580" s="2" t="s">
        <v>5229</v>
      </c>
      <c r="B2580" s="2" t="s">
        <v>5230</v>
      </c>
      <c r="C2580" s="2" t="s">
        <v>25</v>
      </c>
      <c r="D2580" s="3" t="s">
        <v>145</v>
      </c>
      <c r="E2580" s="3" t="s">
        <v>39</v>
      </c>
      <c r="F2580" s="2" t="s">
        <v>28</v>
      </c>
      <c r="G2580" s="4">
        <v>609680</v>
      </c>
      <c r="H2580" s="4">
        <v>145322</v>
      </c>
      <c r="I2580" s="4">
        <v>113659</v>
      </c>
      <c r="J2580" s="4">
        <v>6652</v>
      </c>
      <c r="K2580" s="4">
        <v>1109</v>
      </c>
      <c r="L2580" s="4">
        <v>668</v>
      </c>
      <c r="M2580" s="4">
        <v>1404</v>
      </c>
      <c r="N2580" s="4">
        <v>3901</v>
      </c>
      <c r="O2580" s="5">
        <f t="shared" si="40"/>
        <v>8.6513166577217818E-2</v>
      </c>
      <c r="P2580" s="2" t="s">
        <v>29</v>
      </c>
    </row>
    <row r="2581" spans="1:16" x14ac:dyDescent="0.25">
      <c r="A2581" s="6" t="s">
        <v>5231</v>
      </c>
      <c r="B2581" s="6" t="s">
        <v>5232</v>
      </c>
      <c r="C2581" s="6" t="s">
        <v>18</v>
      </c>
      <c r="D2581" s="7" t="s">
        <v>226</v>
      </c>
      <c r="E2581" s="7" t="s">
        <v>45</v>
      </c>
      <c r="F2581" s="6" t="s">
        <v>58</v>
      </c>
      <c r="G2581" s="8">
        <v>248486</v>
      </c>
      <c r="H2581" s="8">
        <v>20087</v>
      </c>
      <c r="I2581" s="8">
        <v>14065</v>
      </c>
      <c r="J2581" s="8">
        <v>625</v>
      </c>
      <c r="K2581" s="8">
        <v>80</v>
      </c>
      <c r="L2581" s="8">
        <v>40</v>
      </c>
      <c r="M2581" s="8">
        <v>78</v>
      </c>
      <c r="N2581" s="8">
        <v>283</v>
      </c>
      <c r="O2581" s="9">
        <f t="shared" si="40"/>
        <v>5.8514041948098117E-2</v>
      </c>
      <c r="P2581" s="6" t="s">
        <v>22</v>
      </c>
    </row>
    <row r="2582" spans="1:16" x14ac:dyDescent="0.25">
      <c r="A2582" s="2" t="s">
        <v>5233</v>
      </c>
      <c r="B2582" s="2" t="s">
        <v>5234</v>
      </c>
      <c r="C2582" s="2" t="s">
        <v>32</v>
      </c>
      <c r="D2582" s="3" t="s">
        <v>38</v>
      </c>
      <c r="E2582" s="3" t="s">
        <v>45</v>
      </c>
      <c r="F2582" s="2" t="s">
        <v>35</v>
      </c>
      <c r="G2582" s="4">
        <v>204435</v>
      </c>
      <c r="H2582" s="4">
        <v>84867</v>
      </c>
      <c r="I2582" s="4">
        <v>68363</v>
      </c>
      <c r="J2582" s="4">
        <v>3229</v>
      </c>
      <c r="K2582" s="4">
        <v>467</v>
      </c>
      <c r="L2582" s="4">
        <v>206</v>
      </c>
      <c r="M2582" s="4">
        <v>27</v>
      </c>
      <c r="N2582" s="4">
        <v>1747</v>
      </c>
      <c r="O2582" s="5">
        <f t="shared" si="40"/>
        <v>5.7472609452481609E-2</v>
      </c>
      <c r="P2582" s="2" t="s">
        <v>29</v>
      </c>
    </row>
    <row r="2583" spans="1:16" x14ac:dyDescent="0.25">
      <c r="A2583" s="6" t="s">
        <v>5235</v>
      </c>
      <c r="B2583" s="6" t="s">
        <v>5236</v>
      </c>
      <c r="C2583" s="6" t="s">
        <v>25</v>
      </c>
      <c r="D2583" s="7" t="s">
        <v>145</v>
      </c>
      <c r="E2583" s="7" t="s">
        <v>27</v>
      </c>
      <c r="F2583" s="6" t="s">
        <v>28</v>
      </c>
      <c r="G2583" s="8">
        <v>449429</v>
      </c>
      <c r="H2583" s="8">
        <v>83556</v>
      </c>
      <c r="I2583" s="8">
        <v>71411</v>
      </c>
      <c r="J2583" s="8">
        <v>4861</v>
      </c>
      <c r="K2583" s="8">
        <v>775</v>
      </c>
      <c r="L2583" s="8">
        <v>626</v>
      </c>
      <c r="M2583" s="8">
        <v>1057</v>
      </c>
      <c r="N2583" s="8">
        <v>2801</v>
      </c>
      <c r="O2583" s="9">
        <f t="shared" si="40"/>
        <v>0.10249121283835824</v>
      </c>
      <c r="P2583" s="6" t="s">
        <v>22</v>
      </c>
    </row>
    <row r="2584" spans="1:16" x14ac:dyDescent="0.25">
      <c r="A2584" s="2" t="s">
        <v>5237</v>
      </c>
      <c r="B2584" s="2" t="s">
        <v>5238</v>
      </c>
      <c r="C2584" s="2" t="s">
        <v>76</v>
      </c>
      <c r="D2584" s="3" t="s">
        <v>103</v>
      </c>
      <c r="E2584" s="3" t="s">
        <v>20</v>
      </c>
      <c r="F2584" s="2" t="s">
        <v>78</v>
      </c>
      <c r="G2584" s="4">
        <v>175426</v>
      </c>
      <c r="H2584" s="4">
        <v>14041</v>
      </c>
      <c r="I2584" s="4">
        <v>12019</v>
      </c>
      <c r="J2584" s="4">
        <v>340</v>
      </c>
      <c r="K2584" s="4">
        <v>55</v>
      </c>
      <c r="L2584" s="4">
        <v>25</v>
      </c>
      <c r="M2584" s="4">
        <v>56</v>
      </c>
      <c r="N2584" s="4">
        <v>96</v>
      </c>
      <c r="O2584" s="5">
        <f t="shared" si="40"/>
        <v>3.9603960396039604E-2</v>
      </c>
      <c r="P2584" s="2" t="s">
        <v>22</v>
      </c>
    </row>
    <row r="2585" spans="1:16" x14ac:dyDescent="0.25">
      <c r="A2585" s="6" t="s">
        <v>5239</v>
      </c>
      <c r="B2585" s="6" t="s">
        <v>5240</v>
      </c>
      <c r="C2585" s="6" t="s">
        <v>76</v>
      </c>
      <c r="D2585" s="7" t="s">
        <v>182</v>
      </c>
      <c r="E2585" s="7" t="s">
        <v>34</v>
      </c>
      <c r="F2585" s="6" t="s">
        <v>87</v>
      </c>
      <c r="G2585" s="8">
        <v>455307</v>
      </c>
      <c r="H2585" s="8">
        <v>139535</v>
      </c>
      <c r="I2585" s="8">
        <v>104435</v>
      </c>
      <c r="J2585" s="8">
        <v>9884</v>
      </c>
      <c r="K2585" s="8">
        <v>977</v>
      </c>
      <c r="L2585" s="8">
        <v>623</v>
      </c>
      <c r="M2585" s="8">
        <v>610</v>
      </c>
      <c r="N2585" s="8">
        <v>1193</v>
      </c>
      <c r="O2585" s="9">
        <f t="shared" si="40"/>
        <v>0.11580408866759229</v>
      </c>
      <c r="P2585" s="6" t="s">
        <v>22</v>
      </c>
    </row>
    <row r="2586" spans="1:16" x14ac:dyDescent="0.25">
      <c r="A2586" s="2" t="s">
        <v>5241</v>
      </c>
      <c r="B2586" s="2" t="s">
        <v>5242</v>
      </c>
      <c r="C2586" s="2" t="s">
        <v>32</v>
      </c>
      <c r="D2586" s="3" t="s">
        <v>121</v>
      </c>
      <c r="E2586" s="3" t="s">
        <v>27</v>
      </c>
      <c r="F2586" s="2" t="s">
        <v>35</v>
      </c>
      <c r="G2586" s="4">
        <v>710008</v>
      </c>
      <c r="H2586" s="4">
        <v>297366</v>
      </c>
      <c r="I2586" s="4">
        <v>235136</v>
      </c>
      <c r="J2586" s="4">
        <v>6523</v>
      </c>
      <c r="K2586" s="4">
        <v>1105</v>
      </c>
      <c r="L2586" s="4">
        <v>458</v>
      </c>
      <c r="M2586" s="4">
        <v>3</v>
      </c>
      <c r="N2586" s="4">
        <v>6388</v>
      </c>
      <c r="O2586" s="5">
        <f t="shared" si="40"/>
        <v>3.4401367719107241E-2</v>
      </c>
      <c r="P2586" s="2" t="s">
        <v>22</v>
      </c>
    </row>
    <row r="2587" spans="1:16" x14ac:dyDescent="0.25">
      <c r="A2587" s="6" t="s">
        <v>5243</v>
      </c>
      <c r="B2587" s="6" t="s">
        <v>5244</v>
      </c>
      <c r="C2587" s="6" t="s">
        <v>25</v>
      </c>
      <c r="D2587" s="7" t="s">
        <v>61</v>
      </c>
      <c r="E2587" s="7" t="s">
        <v>27</v>
      </c>
      <c r="F2587" s="6" t="s">
        <v>146</v>
      </c>
      <c r="G2587" s="8">
        <v>21792</v>
      </c>
      <c r="H2587" s="8">
        <v>11071</v>
      </c>
      <c r="I2587" s="8">
        <v>9009</v>
      </c>
      <c r="J2587" s="8">
        <v>694</v>
      </c>
      <c r="K2587" s="8">
        <v>67</v>
      </c>
      <c r="L2587" s="8">
        <v>64</v>
      </c>
      <c r="M2587" s="8">
        <v>105</v>
      </c>
      <c r="N2587" s="8">
        <v>222</v>
      </c>
      <c r="O2587" s="9">
        <f t="shared" si="40"/>
        <v>0.10323010323010323</v>
      </c>
      <c r="P2587" s="6" t="s">
        <v>22</v>
      </c>
    </row>
    <row r="2588" spans="1:16" x14ac:dyDescent="0.25">
      <c r="A2588" s="2" t="s">
        <v>5245</v>
      </c>
      <c r="B2588" s="2" t="s">
        <v>5246</v>
      </c>
      <c r="C2588" s="2" t="s">
        <v>32</v>
      </c>
      <c r="D2588" s="3" t="s">
        <v>33</v>
      </c>
      <c r="E2588" s="3" t="s">
        <v>45</v>
      </c>
      <c r="F2588" s="2" t="s">
        <v>35</v>
      </c>
      <c r="G2588" s="4">
        <v>566520</v>
      </c>
      <c r="H2588" s="4">
        <v>367021</v>
      </c>
      <c r="I2588" s="4">
        <v>336570</v>
      </c>
      <c r="J2588" s="4">
        <v>27613</v>
      </c>
      <c r="K2588" s="4">
        <v>1604</v>
      </c>
      <c r="L2588" s="4">
        <v>3050</v>
      </c>
      <c r="M2588" s="4">
        <v>0</v>
      </c>
      <c r="N2588" s="4">
        <v>11444</v>
      </c>
      <c r="O2588" s="5">
        <f t="shared" si="40"/>
        <v>9.5870101316219508E-2</v>
      </c>
      <c r="P2588" s="2" t="s">
        <v>66</v>
      </c>
    </row>
    <row r="2589" spans="1:16" x14ac:dyDescent="0.25">
      <c r="A2589" s="6" t="s">
        <v>5247</v>
      </c>
      <c r="B2589" s="6" t="s">
        <v>5248</v>
      </c>
      <c r="C2589" s="6" t="s">
        <v>18</v>
      </c>
      <c r="D2589" s="7" t="s">
        <v>231</v>
      </c>
      <c r="E2589" s="7" t="s">
        <v>39</v>
      </c>
      <c r="F2589" s="6" t="s">
        <v>58</v>
      </c>
      <c r="G2589" s="8">
        <v>621589</v>
      </c>
      <c r="H2589" s="8">
        <v>55380</v>
      </c>
      <c r="I2589" s="8">
        <v>50879</v>
      </c>
      <c r="J2589" s="8">
        <v>3938</v>
      </c>
      <c r="K2589" s="8">
        <v>591</v>
      </c>
      <c r="L2589" s="8">
        <v>189</v>
      </c>
      <c r="M2589" s="8">
        <v>553</v>
      </c>
      <c r="N2589" s="8">
        <v>528</v>
      </c>
      <c r="O2589" s="9">
        <f t="shared" si="40"/>
        <v>0.10359873425185244</v>
      </c>
      <c r="P2589" s="6" t="s">
        <v>29</v>
      </c>
    </row>
    <row r="2590" spans="1:16" x14ac:dyDescent="0.25">
      <c r="A2590" s="2" t="s">
        <v>5249</v>
      </c>
      <c r="B2590" s="2" t="s">
        <v>5250</v>
      </c>
      <c r="C2590" s="2" t="s">
        <v>43</v>
      </c>
      <c r="D2590" s="3" t="s">
        <v>81</v>
      </c>
      <c r="E2590" s="3" t="s">
        <v>50</v>
      </c>
      <c r="F2590" s="2" t="s">
        <v>70</v>
      </c>
      <c r="G2590" s="4">
        <v>564223</v>
      </c>
      <c r="H2590" s="4">
        <v>217104</v>
      </c>
      <c r="I2590" s="4">
        <v>187906</v>
      </c>
      <c r="J2590" s="4">
        <v>9627</v>
      </c>
      <c r="K2590" s="4">
        <v>1643</v>
      </c>
      <c r="L2590" s="4">
        <v>996</v>
      </c>
      <c r="M2590" s="4">
        <v>50</v>
      </c>
      <c r="N2590" s="4">
        <v>6368</v>
      </c>
      <c r="O2590" s="5">
        <f t="shared" si="40"/>
        <v>6.5543410002873781E-2</v>
      </c>
      <c r="P2590" s="2" t="s">
        <v>22</v>
      </c>
    </row>
    <row r="2591" spans="1:16" x14ac:dyDescent="0.25">
      <c r="A2591" s="6" t="s">
        <v>5251</v>
      </c>
      <c r="B2591" s="6" t="s">
        <v>5252</v>
      </c>
      <c r="C2591" s="6" t="s">
        <v>18</v>
      </c>
      <c r="D2591" s="7" t="s">
        <v>226</v>
      </c>
      <c r="E2591" s="7" t="s">
        <v>27</v>
      </c>
      <c r="F2591" s="6" t="s">
        <v>58</v>
      </c>
      <c r="G2591" s="8">
        <v>705159</v>
      </c>
      <c r="H2591" s="8">
        <v>323265</v>
      </c>
      <c r="I2591" s="8">
        <v>241690</v>
      </c>
      <c r="J2591" s="8">
        <v>8518</v>
      </c>
      <c r="K2591" s="8">
        <v>1413</v>
      </c>
      <c r="L2591" s="8">
        <v>622</v>
      </c>
      <c r="M2591" s="8">
        <v>827</v>
      </c>
      <c r="N2591" s="8">
        <v>11153</v>
      </c>
      <c r="O2591" s="9">
        <f t="shared" si="40"/>
        <v>4.7085109023956309E-2</v>
      </c>
      <c r="P2591" s="6" t="s">
        <v>22</v>
      </c>
    </row>
    <row r="2592" spans="1:16" x14ac:dyDescent="0.25">
      <c r="A2592" s="2" t="s">
        <v>5253</v>
      </c>
      <c r="B2592" s="2" t="s">
        <v>5254</v>
      </c>
      <c r="C2592" s="2" t="s">
        <v>43</v>
      </c>
      <c r="D2592" s="3" t="s">
        <v>81</v>
      </c>
      <c r="E2592" s="3" t="s">
        <v>50</v>
      </c>
      <c r="F2592" s="2" t="s">
        <v>70</v>
      </c>
      <c r="G2592" s="4">
        <v>540060</v>
      </c>
      <c r="H2592" s="4">
        <v>261509</v>
      </c>
      <c r="I2592" s="4">
        <v>229493</v>
      </c>
      <c r="J2592" s="4">
        <v>17834</v>
      </c>
      <c r="K2592" s="4">
        <v>605</v>
      </c>
      <c r="L2592" s="4">
        <v>2449</v>
      </c>
      <c r="M2592" s="4">
        <v>38</v>
      </c>
      <c r="N2592" s="4">
        <v>1685</v>
      </c>
      <c r="O2592" s="5">
        <f t="shared" si="40"/>
        <v>9.1183609086115919E-2</v>
      </c>
      <c r="P2592" s="2" t="s">
        <v>22</v>
      </c>
    </row>
    <row r="2593" spans="1:16" x14ac:dyDescent="0.25">
      <c r="A2593" s="6" t="s">
        <v>5255</v>
      </c>
      <c r="B2593" s="6" t="s">
        <v>5256</v>
      </c>
      <c r="C2593" s="6" t="s">
        <v>76</v>
      </c>
      <c r="D2593" s="7" t="s">
        <v>103</v>
      </c>
      <c r="E2593" s="7" t="s">
        <v>45</v>
      </c>
      <c r="F2593" s="6" t="s">
        <v>87</v>
      </c>
      <c r="G2593" s="8">
        <v>347071</v>
      </c>
      <c r="H2593" s="8">
        <v>178232</v>
      </c>
      <c r="I2593" s="8">
        <v>134759</v>
      </c>
      <c r="J2593" s="8">
        <v>5229</v>
      </c>
      <c r="K2593" s="8">
        <v>595</v>
      </c>
      <c r="L2593" s="8">
        <v>707</v>
      </c>
      <c r="M2593" s="8">
        <v>1306</v>
      </c>
      <c r="N2593" s="8">
        <v>4651</v>
      </c>
      <c r="O2593" s="9">
        <f t="shared" si="40"/>
        <v>5.8155670493250912E-2</v>
      </c>
      <c r="P2593" s="6" t="s">
        <v>66</v>
      </c>
    </row>
    <row r="2594" spans="1:16" x14ac:dyDescent="0.25">
      <c r="A2594" s="2" t="s">
        <v>5257</v>
      </c>
      <c r="B2594" s="2" t="s">
        <v>5258</v>
      </c>
      <c r="C2594" s="2" t="s">
        <v>43</v>
      </c>
      <c r="D2594" s="3" t="s">
        <v>172</v>
      </c>
      <c r="E2594" s="3" t="s">
        <v>34</v>
      </c>
      <c r="F2594" s="2" t="s">
        <v>70</v>
      </c>
      <c r="G2594" s="4">
        <v>656424</v>
      </c>
      <c r="H2594" s="4">
        <v>424230</v>
      </c>
      <c r="I2594" s="4">
        <v>301625</v>
      </c>
      <c r="J2594" s="4">
        <v>19245</v>
      </c>
      <c r="K2594" s="4">
        <v>3239</v>
      </c>
      <c r="L2594" s="4">
        <v>566</v>
      </c>
      <c r="M2594" s="4">
        <v>18</v>
      </c>
      <c r="N2594" s="4">
        <v>6044</v>
      </c>
      <c r="O2594" s="5">
        <f t="shared" si="40"/>
        <v>7.6479071694985495E-2</v>
      </c>
      <c r="P2594" s="2" t="s">
        <v>22</v>
      </c>
    </row>
    <row r="2595" spans="1:16" x14ac:dyDescent="0.25">
      <c r="A2595" s="6" t="s">
        <v>5259</v>
      </c>
      <c r="B2595" s="6" t="s">
        <v>5260</v>
      </c>
      <c r="C2595" s="6" t="s">
        <v>32</v>
      </c>
      <c r="D2595" s="7" t="s">
        <v>175</v>
      </c>
      <c r="E2595" s="7" t="s">
        <v>34</v>
      </c>
      <c r="F2595" s="6" t="s">
        <v>35</v>
      </c>
      <c r="G2595" s="8">
        <v>798620</v>
      </c>
      <c r="H2595" s="8">
        <v>133133</v>
      </c>
      <c r="I2595" s="8">
        <v>101344</v>
      </c>
      <c r="J2595" s="8">
        <v>10413</v>
      </c>
      <c r="K2595" s="8">
        <v>951</v>
      </c>
      <c r="L2595" s="8">
        <v>1379</v>
      </c>
      <c r="M2595" s="8">
        <v>3</v>
      </c>
      <c r="N2595" s="8">
        <v>2890</v>
      </c>
      <c r="O2595" s="9">
        <f t="shared" si="40"/>
        <v>0.12576965582570257</v>
      </c>
      <c r="P2595" s="6" t="s">
        <v>22</v>
      </c>
    </row>
    <row r="2596" spans="1:16" x14ac:dyDescent="0.25">
      <c r="A2596" s="2" t="s">
        <v>5261</v>
      </c>
      <c r="B2596" s="2" t="s">
        <v>5262</v>
      </c>
      <c r="C2596" s="2" t="s">
        <v>43</v>
      </c>
      <c r="D2596" s="3" t="s">
        <v>44</v>
      </c>
      <c r="E2596" s="3" t="s">
        <v>50</v>
      </c>
      <c r="F2596" s="2" t="s">
        <v>107</v>
      </c>
      <c r="G2596" s="4">
        <v>14715</v>
      </c>
      <c r="H2596" s="4">
        <v>6608</v>
      </c>
      <c r="I2596" s="4">
        <v>5660</v>
      </c>
      <c r="J2596" s="4">
        <v>365</v>
      </c>
      <c r="K2596" s="4">
        <v>49</v>
      </c>
      <c r="L2596" s="4">
        <v>40</v>
      </c>
      <c r="M2596" s="4">
        <v>11</v>
      </c>
      <c r="N2596" s="4">
        <v>89</v>
      </c>
      <c r="O2596" s="5">
        <f t="shared" si="40"/>
        <v>8.2155477031802121E-2</v>
      </c>
      <c r="P2596" s="2" t="s">
        <v>22</v>
      </c>
    </row>
    <row r="2597" spans="1:16" x14ac:dyDescent="0.25">
      <c r="A2597" s="6" t="s">
        <v>5263</v>
      </c>
      <c r="B2597" s="6" t="s">
        <v>5264</v>
      </c>
      <c r="C2597" s="6" t="s">
        <v>18</v>
      </c>
      <c r="D2597" s="7" t="s">
        <v>226</v>
      </c>
      <c r="E2597" s="7" t="s">
        <v>45</v>
      </c>
      <c r="F2597" s="6" t="s">
        <v>73</v>
      </c>
      <c r="G2597" s="8">
        <v>436218</v>
      </c>
      <c r="H2597" s="8">
        <v>121313</v>
      </c>
      <c r="I2597" s="8">
        <v>101168</v>
      </c>
      <c r="J2597" s="8">
        <v>3722</v>
      </c>
      <c r="K2597" s="8">
        <v>196</v>
      </c>
      <c r="L2597" s="8">
        <v>224</v>
      </c>
      <c r="M2597" s="8">
        <v>412</v>
      </c>
      <c r="N2597" s="8">
        <v>3990</v>
      </c>
      <c r="O2597" s="9">
        <f t="shared" si="40"/>
        <v>4.5014233749802311E-2</v>
      </c>
      <c r="P2597" s="6" t="s">
        <v>22</v>
      </c>
    </row>
    <row r="2598" spans="1:16" x14ac:dyDescent="0.25">
      <c r="A2598" s="2" t="s">
        <v>5265</v>
      </c>
      <c r="B2598" s="2" t="s">
        <v>5266</v>
      </c>
      <c r="C2598" s="2" t="s">
        <v>43</v>
      </c>
      <c r="D2598" s="3" t="s">
        <v>110</v>
      </c>
      <c r="E2598" s="3" t="s">
        <v>27</v>
      </c>
      <c r="F2598" s="2" t="s">
        <v>70</v>
      </c>
      <c r="G2598" s="4">
        <v>192449</v>
      </c>
      <c r="H2598" s="4">
        <v>23654</v>
      </c>
      <c r="I2598" s="4">
        <v>16755</v>
      </c>
      <c r="J2598" s="4">
        <v>487</v>
      </c>
      <c r="K2598" s="4">
        <v>77</v>
      </c>
      <c r="L2598" s="4">
        <v>61</v>
      </c>
      <c r="M2598" s="4">
        <v>14</v>
      </c>
      <c r="N2598" s="4">
        <v>268</v>
      </c>
      <c r="O2598" s="5">
        <f t="shared" si="40"/>
        <v>3.8137869292748434E-2</v>
      </c>
      <c r="P2598" s="2" t="s">
        <v>66</v>
      </c>
    </row>
    <row r="2599" spans="1:16" x14ac:dyDescent="0.25">
      <c r="A2599" s="6" t="s">
        <v>5267</v>
      </c>
      <c r="B2599" s="6" t="s">
        <v>5268</v>
      </c>
      <c r="C2599" s="6" t="s">
        <v>32</v>
      </c>
      <c r="D2599" s="7" t="s">
        <v>121</v>
      </c>
      <c r="E2599" s="7" t="s">
        <v>34</v>
      </c>
      <c r="F2599" s="6" t="s">
        <v>40</v>
      </c>
      <c r="G2599" s="8">
        <v>607795</v>
      </c>
      <c r="H2599" s="8">
        <v>283856</v>
      </c>
      <c r="I2599" s="8">
        <v>230307</v>
      </c>
      <c r="J2599" s="8">
        <v>9675</v>
      </c>
      <c r="K2599" s="8">
        <v>1246</v>
      </c>
      <c r="L2599" s="8">
        <v>646</v>
      </c>
      <c r="M2599" s="8">
        <v>23</v>
      </c>
      <c r="N2599" s="8">
        <v>3666</v>
      </c>
      <c r="O2599" s="9">
        <f t="shared" si="40"/>
        <v>5.0324132570872794E-2</v>
      </c>
      <c r="P2599" s="6" t="s">
        <v>29</v>
      </c>
    </row>
    <row r="2600" spans="1:16" x14ac:dyDescent="0.25">
      <c r="A2600" s="2" t="s">
        <v>5269</v>
      </c>
      <c r="B2600" s="2" t="s">
        <v>5270</v>
      </c>
      <c r="C2600" s="2" t="s">
        <v>76</v>
      </c>
      <c r="D2600" s="3" t="s">
        <v>86</v>
      </c>
      <c r="E2600" s="3" t="s">
        <v>27</v>
      </c>
      <c r="F2600" s="2" t="s">
        <v>87</v>
      </c>
      <c r="G2600" s="4">
        <v>125381</v>
      </c>
      <c r="H2600" s="4">
        <v>56337</v>
      </c>
      <c r="I2600" s="4">
        <v>45351</v>
      </c>
      <c r="J2600" s="4">
        <v>3161</v>
      </c>
      <c r="K2600" s="4">
        <v>464</v>
      </c>
      <c r="L2600" s="4">
        <v>339</v>
      </c>
      <c r="M2600" s="4">
        <v>392</v>
      </c>
      <c r="N2600" s="4">
        <v>1927</v>
      </c>
      <c r="O2600" s="5">
        <f t="shared" si="40"/>
        <v>9.6050803730898984E-2</v>
      </c>
      <c r="P2600" s="2" t="s">
        <v>22</v>
      </c>
    </row>
    <row r="2601" spans="1:16" x14ac:dyDescent="0.25">
      <c r="A2601" s="6" t="s">
        <v>5271</v>
      </c>
      <c r="B2601" s="6" t="s">
        <v>5272</v>
      </c>
      <c r="C2601" s="6" t="s">
        <v>25</v>
      </c>
      <c r="D2601" s="7" t="s">
        <v>64</v>
      </c>
      <c r="E2601" s="7" t="s">
        <v>20</v>
      </c>
      <c r="F2601" s="6" t="s">
        <v>65</v>
      </c>
      <c r="G2601" s="8">
        <v>381681</v>
      </c>
      <c r="H2601" s="8">
        <v>1874597</v>
      </c>
      <c r="I2601" s="8">
        <v>1516349</v>
      </c>
      <c r="J2601" s="8">
        <v>50697</v>
      </c>
      <c r="K2601" s="8">
        <v>3951</v>
      </c>
      <c r="L2601" s="8">
        <v>2113</v>
      </c>
      <c r="M2601" s="8">
        <v>5777</v>
      </c>
      <c r="N2601" s="8">
        <v>47695</v>
      </c>
      <c r="O2601" s="9">
        <f t="shared" si="40"/>
        <v>4.1242484414867553E-2</v>
      </c>
      <c r="P2601" s="6" t="s">
        <v>29</v>
      </c>
    </row>
    <row r="2602" spans="1:16" x14ac:dyDescent="0.25">
      <c r="A2602" s="2" t="s">
        <v>5273</v>
      </c>
      <c r="B2602" s="2" t="s">
        <v>5274</v>
      </c>
      <c r="C2602" s="2" t="s">
        <v>25</v>
      </c>
      <c r="D2602" s="3" t="s">
        <v>145</v>
      </c>
      <c r="E2602" s="3" t="s">
        <v>45</v>
      </c>
      <c r="F2602" s="2" t="s">
        <v>146</v>
      </c>
      <c r="G2602" s="4">
        <v>599074</v>
      </c>
      <c r="H2602" s="4">
        <v>301354</v>
      </c>
      <c r="I2602" s="4">
        <v>249142</v>
      </c>
      <c r="J2602" s="4">
        <v>13846</v>
      </c>
      <c r="K2602" s="4">
        <v>2374</v>
      </c>
      <c r="L2602" s="4">
        <v>575</v>
      </c>
      <c r="M2602" s="4">
        <v>710</v>
      </c>
      <c r="N2602" s="4">
        <v>3290</v>
      </c>
      <c r="O2602" s="5">
        <f t="shared" si="40"/>
        <v>7.0261136219505346E-2</v>
      </c>
      <c r="P2602" s="2" t="s">
        <v>22</v>
      </c>
    </row>
    <row r="2603" spans="1:16" x14ac:dyDescent="0.25">
      <c r="A2603" s="6" t="s">
        <v>5275</v>
      </c>
      <c r="B2603" s="6" t="s">
        <v>5276</v>
      </c>
      <c r="C2603" s="6" t="s">
        <v>18</v>
      </c>
      <c r="D2603" s="7" t="s">
        <v>231</v>
      </c>
      <c r="E2603" s="7" t="s">
        <v>50</v>
      </c>
      <c r="F2603" s="6" t="s">
        <v>73</v>
      </c>
      <c r="G2603" s="8">
        <v>551116</v>
      </c>
      <c r="H2603" s="8">
        <v>324692</v>
      </c>
      <c r="I2603" s="8">
        <v>264323</v>
      </c>
      <c r="J2603" s="8">
        <v>18437</v>
      </c>
      <c r="K2603" s="8">
        <v>1362</v>
      </c>
      <c r="L2603" s="8">
        <v>1509</v>
      </c>
      <c r="M2603" s="8">
        <v>3424</v>
      </c>
      <c r="N2603" s="8">
        <v>3174</v>
      </c>
      <c r="O2603" s="9">
        <f t="shared" si="40"/>
        <v>9.3567339959065229E-2</v>
      </c>
      <c r="P2603" s="6" t="s">
        <v>22</v>
      </c>
    </row>
    <row r="2604" spans="1:16" x14ac:dyDescent="0.25">
      <c r="A2604" s="2" t="s">
        <v>5277</v>
      </c>
      <c r="B2604" s="2" t="s">
        <v>5278</v>
      </c>
      <c r="C2604" s="2" t="s">
        <v>32</v>
      </c>
      <c r="D2604" s="3" t="s">
        <v>49</v>
      </c>
      <c r="E2604" s="3" t="s">
        <v>27</v>
      </c>
      <c r="F2604" s="2" t="s">
        <v>51</v>
      </c>
      <c r="G2604" s="4">
        <v>770625</v>
      </c>
      <c r="H2604" s="4">
        <v>71883</v>
      </c>
      <c r="I2604" s="4">
        <v>64181</v>
      </c>
      <c r="J2604" s="4">
        <v>2115</v>
      </c>
      <c r="K2604" s="4">
        <v>266</v>
      </c>
      <c r="L2604" s="4">
        <v>281</v>
      </c>
      <c r="M2604" s="4">
        <v>29</v>
      </c>
      <c r="N2604" s="4">
        <v>1920</v>
      </c>
      <c r="O2604" s="5">
        <f t="shared" si="40"/>
        <v>4.1928296536358114E-2</v>
      </c>
      <c r="P2604" s="2" t="s">
        <v>22</v>
      </c>
    </row>
    <row r="2605" spans="1:16" x14ac:dyDescent="0.25">
      <c r="A2605" s="6" t="s">
        <v>5279</v>
      </c>
      <c r="B2605" s="6" t="s">
        <v>5280</v>
      </c>
      <c r="C2605" s="6" t="s">
        <v>43</v>
      </c>
      <c r="D2605" s="7" t="s">
        <v>44</v>
      </c>
      <c r="E2605" s="7" t="s">
        <v>45</v>
      </c>
      <c r="F2605" s="6" t="s">
        <v>70</v>
      </c>
      <c r="G2605" s="8">
        <v>440873</v>
      </c>
      <c r="H2605" s="8">
        <v>86248</v>
      </c>
      <c r="I2605" s="8">
        <v>72980</v>
      </c>
      <c r="J2605" s="8">
        <v>6754</v>
      </c>
      <c r="K2605" s="8">
        <v>1209</v>
      </c>
      <c r="L2605" s="8">
        <v>462</v>
      </c>
      <c r="M2605" s="8">
        <v>1</v>
      </c>
      <c r="N2605" s="8">
        <v>595</v>
      </c>
      <c r="O2605" s="9">
        <f t="shared" si="40"/>
        <v>0.11545628939435462</v>
      </c>
      <c r="P2605" s="6" t="s">
        <v>22</v>
      </c>
    </row>
    <row r="2606" spans="1:16" x14ac:dyDescent="0.25">
      <c r="A2606" s="2" t="s">
        <v>5281</v>
      </c>
      <c r="B2606" s="2" t="s">
        <v>5282</v>
      </c>
      <c r="C2606" s="2" t="s">
        <v>76</v>
      </c>
      <c r="D2606" s="3" t="s">
        <v>86</v>
      </c>
      <c r="E2606" s="3" t="s">
        <v>50</v>
      </c>
      <c r="F2606" s="2" t="s">
        <v>87</v>
      </c>
      <c r="G2606" s="4">
        <v>301970</v>
      </c>
      <c r="H2606" s="4">
        <v>100550</v>
      </c>
      <c r="I2606" s="4">
        <v>87133</v>
      </c>
      <c r="J2606" s="4">
        <v>7146</v>
      </c>
      <c r="K2606" s="4">
        <v>798</v>
      </c>
      <c r="L2606" s="4">
        <v>790</v>
      </c>
      <c r="M2606" s="4">
        <v>959</v>
      </c>
      <c r="N2606" s="4">
        <v>2723</v>
      </c>
      <c r="O2606" s="5">
        <f t="shared" si="40"/>
        <v>0.11124373084824349</v>
      </c>
      <c r="P2606" s="2" t="s">
        <v>22</v>
      </c>
    </row>
    <row r="2607" spans="1:16" x14ac:dyDescent="0.25">
      <c r="A2607" s="6" t="s">
        <v>5283</v>
      </c>
      <c r="B2607" s="6" t="s">
        <v>5284</v>
      </c>
      <c r="C2607" s="6" t="s">
        <v>32</v>
      </c>
      <c r="D2607" s="7" t="s">
        <v>175</v>
      </c>
      <c r="E2607" s="7" t="s">
        <v>27</v>
      </c>
      <c r="F2607" s="6" t="s">
        <v>128</v>
      </c>
      <c r="G2607" s="8">
        <v>726326</v>
      </c>
      <c r="H2607" s="8">
        <v>195875</v>
      </c>
      <c r="I2607" s="8">
        <v>145054</v>
      </c>
      <c r="J2607" s="8">
        <v>14906</v>
      </c>
      <c r="K2607" s="8">
        <v>1678</v>
      </c>
      <c r="L2607" s="8">
        <v>2228</v>
      </c>
      <c r="M2607" s="8">
        <v>11</v>
      </c>
      <c r="N2607" s="8">
        <v>5118</v>
      </c>
      <c r="O2607" s="9">
        <f t="shared" si="40"/>
        <v>0.1297654666537979</v>
      </c>
      <c r="P2607" s="6" t="s">
        <v>29</v>
      </c>
    </row>
    <row r="2608" spans="1:16" x14ac:dyDescent="0.25">
      <c r="A2608" s="2" t="s">
        <v>5285</v>
      </c>
      <c r="B2608" s="2" t="s">
        <v>5286</v>
      </c>
      <c r="C2608" s="2" t="s">
        <v>43</v>
      </c>
      <c r="D2608" s="3" t="s">
        <v>69</v>
      </c>
      <c r="E2608" s="3" t="s">
        <v>50</v>
      </c>
      <c r="F2608" s="2" t="s">
        <v>46</v>
      </c>
      <c r="G2608" s="4">
        <v>723849</v>
      </c>
      <c r="H2608" s="4">
        <v>406565</v>
      </c>
      <c r="I2608" s="4">
        <v>342301</v>
      </c>
      <c r="J2608" s="4">
        <v>27453</v>
      </c>
      <c r="K2608" s="4">
        <v>2425</v>
      </c>
      <c r="L2608" s="4">
        <v>3427</v>
      </c>
      <c r="M2608" s="4">
        <v>21</v>
      </c>
      <c r="N2608" s="4">
        <v>3420</v>
      </c>
      <c r="O2608" s="5">
        <f t="shared" si="40"/>
        <v>9.7358757350986411E-2</v>
      </c>
      <c r="P2608" s="2" t="s">
        <v>29</v>
      </c>
    </row>
    <row r="2609" spans="1:16" x14ac:dyDescent="0.25">
      <c r="A2609" s="6" t="s">
        <v>5287</v>
      </c>
      <c r="B2609" s="6" t="s">
        <v>5288</v>
      </c>
      <c r="C2609" s="6" t="s">
        <v>76</v>
      </c>
      <c r="D2609" s="7" t="s">
        <v>189</v>
      </c>
      <c r="E2609" s="7" t="s">
        <v>45</v>
      </c>
      <c r="F2609" s="6" t="s">
        <v>155</v>
      </c>
      <c r="G2609" s="8">
        <v>825554</v>
      </c>
      <c r="H2609" s="8">
        <v>257963</v>
      </c>
      <c r="I2609" s="8">
        <v>218972</v>
      </c>
      <c r="J2609" s="8">
        <v>17541</v>
      </c>
      <c r="K2609" s="8">
        <v>872</v>
      </c>
      <c r="L2609" s="8">
        <v>1640</v>
      </c>
      <c r="M2609" s="8">
        <v>3451</v>
      </c>
      <c r="N2609" s="8">
        <v>2234</v>
      </c>
      <c r="O2609" s="9">
        <f t="shared" si="40"/>
        <v>0.10733792448349561</v>
      </c>
      <c r="P2609" s="6" t="s">
        <v>22</v>
      </c>
    </row>
    <row r="2610" spans="1:16" x14ac:dyDescent="0.25">
      <c r="A2610" s="2" t="s">
        <v>5289</v>
      </c>
      <c r="B2610" s="2" t="s">
        <v>5290</v>
      </c>
      <c r="C2610" s="2" t="s">
        <v>32</v>
      </c>
      <c r="D2610" s="3" t="s">
        <v>175</v>
      </c>
      <c r="E2610" s="3" t="s">
        <v>45</v>
      </c>
      <c r="F2610" s="2" t="s">
        <v>35</v>
      </c>
      <c r="G2610" s="4">
        <v>600504</v>
      </c>
      <c r="H2610" s="4">
        <v>271277</v>
      </c>
      <c r="I2610" s="4">
        <v>225632</v>
      </c>
      <c r="J2610" s="4">
        <v>10957</v>
      </c>
      <c r="K2610" s="4">
        <v>389</v>
      </c>
      <c r="L2610" s="4">
        <v>766</v>
      </c>
      <c r="M2610" s="4">
        <v>33</v>
      </c>
      <c r="N2610" s="4">
        <v>2981</v>
      </c>
      <c r="O2610" s="5">
        <f t="shared" si="40"/>
        <v>5.3826584881577079E-2</v>
      </c>
      <c r="P2610" s="2" t="s">
        <v>29</v>
      </c>
    </row>
    <row r="2611" spans="1:16" x14ac:dyDescent="0.25">
      <c r="A2611" s="6" t="s">
        <v>5291</v>
      </c>
      <c r="B2611" s="6" t="s">
        <v>5292</v>
      </c>
      <c r="C2611" s="6" t="s">
        <v>25</v>
      </c>
      <c r="D2611" s="7" t="s">
        <v>61</v>
      </c>
      <c r="E2611" s="7" t="s">
        <v>27</v>
      </c>
      <c r="F2611" s="6" t="s">
        <v>65</v>
      </c>
      <c r="G2611" s="8">
        <v>17924</v>
      </c>
      <c r="H2611" s="8">
        <v>3329</v>
      </c>
      <c r="I2611" s="8">
        <v>2603</v>
      </c>
      <c r="J2611" s="8">
        <v>165</v>
      </c>
      <c r="K2611" s="8">
        <v>24</v>
      </c>
      <c r="L2611" s="8">
        <v>19</v>
      </c>
      <c r="M2611" s="8">
        <v>16</v>
      </c>
      <c r="N2611" s="8">
        <v>81</v>
      </c>
      <c r="O2611" s="9">
        <f t="shared" si="40"/>
        <v>8.6054552439492893E-2</v>
      </c>
      <c r="P2611" s="6" t="s">
        <v>29</v>
      </c>
    </row>
    <row r="2612" spans="1:16" x14ac:dyDescent="0.25">
      <c r="A2612" s="2" t="s">
        <v>5293</v>
      </c>
      <c r="B2612" s="2" t="s">
        <v>5294</v>
      </c>
      <c r="C2612" s="2" t="s">
        <v>32</v>
      </c>
      <c r="D2612" s="3" t="s">
        <v>49</v>
      </c>
      <c r="E2612" s="3" t="s">
        <v>50</v>
      </c>
      <c r="F2612" s="2" t="s">
        <v>128</v>
      </c>
      <c r="G2612" s="4">
        <v>722431</v>
      </c>
      <c r="H2612" s="4">
        <v>310425</v>
      </c>
      <c r="I2612" s="4">
        <v>226870</v>
      </c>
      <c r="J2612" s="4">
        <v>12151</v>
      </c>
      <c r="K2612" s="4">
        <v>1361</v>
      </c>
      <c r="L2612" s="4">
        <v>1105</v>
      </c>
      <c r="M2612" s="4">
        <v>37</v>
      </c>
      <c r="N2612" s="4">
        <v>7839</v>
      </c>
      <c r="O2612" s="5">
        <f t="shared" si="40"/>
        <v>6.4592057125225893E-2</v>
      </c>
      <c r="P2612" s="2" t="s">
        <v>29</v>
      </c>
    </row>
    <row r="2613" spans="1:16" x14ac:dyDescent="0.25">
      <c r="A2613" s="6" t="s">
        <v>5295</v>
      </c>
      <c r="B2613" s="6" t="s">
        <v>5296</v>
      </c>
      <c r="C2613" s="6" t="s">
        <v>43</v>
      </c>
      <c r="D2613" s="7" t="s">
        <v>69</v>
      </c>
      <c r="E2613" s="7" t="s">
        <v>34</v>
      </c>
      <c r="F2613" s="6" t="s">
        <v>107</v>
      </c>
      <c r="G2613" s="8">
        <v>74421</v>
      </c>
      <c r="H2613" s="8">
        <v>43956</v>
      </c>
      <c r="I2613" s="8">
        <v>31731</v>
      </c>
      <c r="J2613" s="8">
        <v>2450</v>
      </c>
      <c r="K2613" s="8">
        <v>137</v>
      </c>
      <c r="L2613" s="8">
        <v>354</v>
      </c>
      <c r="M2613" s="8">
        <v>45</v>
      </c>
      <c r="N2613" s="8">
        <v>747</v>
      </c>
      <c r="O2613" s="9">
        <f t="shared" si="40"/>
        <v>9.4103558034729445E-2</v>
      </c>
      <c r="P2613" s="6" t="s">
        <v>22</v>
      </c>
    </row>
    <row r="2614" spans="1:16" x14ac:dyDescent="0.25">
      <c r="A2614" s="2" t="s">
        <v>5297</v>
      </c>
      <c r="B2614" s="2" t="s">
        <v>5298</v>
      </c>
      <c r="C2614" s="2" t="s">
        <v>18</v>
      </c>
      <c r="D2614" s="3" t="s">
        <v>92</v>
      </c>
      <c r="E2614" s="3" t="s">
        <v>45</v>
      </c>
      <c r="F2614" s="2" t="s">
        <v>73</v>
      </c>
      <c r="G2614" s="4">
        <v>302606</v>
      </c>
      <c r="H2614" s="4">
        <v>157000</v>
      </c>
      <c r="I2614" s="4">
        <v>137608</v>
      </c>
      <c r="J2614" s="4">
        <v>7736</v>
      </c>
      <c r="K2614" s="4">
        <v>1136</v>
      </c>
      <c r="L2614" s="4">
        <v>999</v>
      </c>
      <c r="M2614" s="4">
        <v>655</v>
      </c>
      <c r="N2614" s="4">
        <v>4830</v>
      </c>
      <c r="O2614" s="5">
        <f t="shared" si="40"/>
        <v>7.6492645776408352E-2</v>
      </c>
      <c r="P2614" s="2" t="s">
        <v>29</v>
      </c>
    </row>
    <row r="2615" spans="1:16" x14ac:dyDescent="0.25">
      <c r="A2615" s="6" t="s">
        <v>5299</v>
      </c>
      <c r="B2615" s="6" t="s">
        <v>5300</v>
      </c>
      <c r="C2615" s="6" t="s">
        <v>25</v>
      </c>
      <c r="D2615" s="7" t="s">
        <v>61</v>
      </c>
      <c r="E2615" s="7" t="s">
        <v>20</v>
      </c>
      <c r="F2615" s="6" t="s">
        <v>54</v>
      </c>
      <c r="G2615" s="8">
        <v>752340</v>
      </c>
      <c r="H2615" s="8">
        <v>353487</v>
      </c>
      <c r="I2615" s="8">
        <v>251704</v>
      </c>
      <c r="J2615" s="8">
        <v>13526</v>
      </c>
      <c r="K2615" s="8">
        <v>1445</v>
      </c>
      <c r="L2615" s="8">
        <v>792</v>
      </c>
      <c r="M2615" s="8">
        <v>1327</v>
      </c>
      <c r="N2615" s="8">
        <v>9945</v>
      </c>
      <c r="O2615" s="9">
        <f t="shared" si="40"/>
        <v>6.7897212598925727E-2</v>
      </c>
      <c r="P2615" s="6" t="s">
        <v>66</v>
      </c>
    </row>
    <row r="2616" spans="1:16" x14ac:dyDescent="0.25">
      <c r="A2616" s="2" t="s">
        <v>5301</v>
      </c>
      <c r="B2616" s="2" t="s">
        <v>5302</v>
      </c>
      <c r="C2616" s="2" t="s">
        <v>32</v>
      </c>
      <c r="D2616" s="3" t="s">
        <v>33</v>
      </c>
      <c r="E2616" s="3" t="s">
        <v>45</v>
      </c>
      <c r="F2616" s="2" t="s">
        <v>40</v>
      </c>
      <c r="G2616" s="4">
        <v>187653</v>
      </c>
      <c r="H2616" s="4">
        <v>28011</v>
      </c>
      <c r="I2616" s="4">
        <v>25528</v>
      </c>
      <c r="J2616" s="4">
        <v>670</v>
      </c>
      <c r="K2616" s="4">
        <v>72</v>
      </c>
      <c r="L2616" s="4">
        <v>78</v>
      </c>
      <c r="M2616" s="4">
        <v>17</v>
      </c>
      <c r="N2616" s="4">
        <v>528</v>
      </c>
      <c r="O2616" s="5">
        <f t="shared" si="40"/>
        <v>3.2787527420871203E-2</v>
      </c>
      <c r="P2616" s="2" t="s">
        <v>22</v>
      </c>
    </row>
    <row r="2617" spans="1:16" x14ac:dyDescent="0.25">
      <c r="A2617" s="6" t="s">
        <v>5303</v>
      </c>
      <c r="B2617" s="6" t="s">
        <v>5304</v>
      </c>
      <c r="C2617" s="6" t="s">
        <v>76</v>
      </c>
      <c r="D2617" s="7" t="s">
        <v>77</v>
      </c>
      <c r="E2617" s="7" t="s">
        <v>20</v>
      </c>
      <c r="F2617" s="6" t="s">
        <v>104</v>
      </c>
      <c r="G2617" s="8">
        <v>376637</v>
      </c>
      <c r="H2617" s="8">
        <v>124755</v>
      </c>
      <c r="I2617" s="8">
        <v>87530</v>
      </c>
      <c r="J2617" s="8">
        <v>2923</v>
      </c>
      <c r="K2617" s="8">
        <v>388</v>
      </c>
      <c r="L2617" s="8">
        <v>99</v>
      </c>
      <c r="M2617" s="8">
        <v>188</v>
      </c>
      <c r="N2617" s="8">
        <v>2599</v>
      </c>
      <c r="O2617" s="9">
        <f t="shared" si="40"/>
        <v>4.1105906546326974E-2</v>
      </c>
      <c r="P2617" s="6" t="s">
        <v>22</v>
      </c>
    </row>
    <row r="2618" spans="1:16" x14ac:dyDescent="0.25">
      <c r="A2618" s="2" t="s">
        <v>5305</v>
      </c>
      <c r="B2618" s="2" t="s">
        <v>5306</v>
      </c>
      <c r="C2618" s="2" t="s">
        <v>25</v>
      </c>
      <c r="D2618" s="3" t="s">
        <v>64</v>
      </c>
      <c r="E2618" s="3" t="s">
        <v>39</v>
      </c>
      <c r="F2618" s="2" t="s">
        <v>28</v>
      </c>
      <c r="G2618" s="4">
        <v>553928</v>
      </c>
      <c r="H2618" s="4">
        <v>73328</v>
      </c>
      <c r="I2618" s="4">
        <v>59929</v>
      </c>
      <c r="J2618" s="4">
        <v>4154</v>
      </c>
      <c r="K2618" s="4">
        <v>228</v>
      </c>
      <c r="L2618" s="4">
        <v>306</v>
      </c>
      <c r="M2618" s="4">
        <v>227</v>
      </c>
      <c r="N2618" s="4">
        <v>942</v>
      </c>
      <c r="O2618" s="5">
        <f t="shared" si="40"/>
        <v>8.2013716230873196E-2</v>
      </c>
      <c r="P2618" s="2" t="s">
        <v>22</v>
      </c>
    </row>
    <row r="2619" spans="1:16" x14ac:dyDescent="0.25">
      <c r="A2619" s="6" t="s">
        <v>5307</v>
      </c>
      <c r="B2619" s="6" t="s">
        <v>5308</v>
      </c>
      <c r="C2619" s="6" t="s">
        <v>32</v>
      </c>
      <c r="D2619" s="7" t="s">
        <v>175</v>
      </c>
      <c r="E2619" s="7" t="s">
        <v>27</v>
      </c>
      <c r="F2619" s="6" t="s">
        <v>128</v>
      </c>
      <c r="G2619" s="8">
        <v>12654</v>
      </c>
      <c r="H2619" s="8">
        <v>2636</v>
      </c>
      <c r="I2619" s="8">
        <v>1855</v>
      </c>
      <c r="J2619" s="8">
        <v>194</v>
      </c>
      <c r="K2619" s="8">
        <v>7</v>
      </c>
      <c r="L2619" s="8">
        <v>19</v>
      </c>
      <c r="M2619" s="8">
        <v>11</v>
      </c>
      <c r="N2619" s="8">
        <v>73</v>
      </c>
      <c r="O2619" s="9">
        <f t="shared" si="40"/>
        <v>0.12452830188679245</v>
      </c>
      <c r="P2619" s="6" t="s">
        <v>22</v>
      </c>
    </row>
    <row r="2620" spans="1:16" x14ac:dyDescent="0.25">
      <c r="A2620" s="2" t="s">
        <v>5309</v>
      </c>
      <c r="B2620" s="2" t="s">
        <v>5310</v>
      </c>
      <c r="C2620" s="2" t="s">
        <v>25</v>
      </c>
      <c r="D2620" s="3" t="s">
        <v>61</v>
      </c>
      <c r="E2620" s="3" t="s">
        <v>45</v>
      </c>
      <c r="F2620" s="2" t="s">
        <v>54</v>
      </c>
      <c r="G2620" s="4">
        <v>81312</v>
      </c>
      <c r="H2620" s="4">
        <v>27305</v>
      </c>
      <c r="I2620" s="4">
        <v>20174</v>
      </c>
      <c r="J2620" s="4">
        <v>1939</v>
      </c>
      <c r="K2620" s="4">
        <v>248</v>
      </c>
      <c r="L2620" s="4">
        <v>179</v>
      </c>
      <c r="M2620" s="4">
        <v>425</v>
      </c>
      <c r="N2620" s="4">
        <v>818</v>
      </c>
      <c r="O2620" s="5">
        <f t="shared" si="40"/>
        <v>0.13834638643798949</v>
      </c>
      <c r="P2620" s="2" t="s">
        <v>22</v>
      </c>
    </row>
    <row r="2621" spans="1:16" x14ac:dyDescent="0.25">
      <c r="A2621" s="6" t="s">
        <v>5311</v>
      </c>
      <c r="B2621" s="6" t="s">
        <v>5312</v>
      </c>
      <c r="C2621" s="6" t="s">
        <v>32</v>
      </c>
      <c r="D2621" s="7" t="s">
        <v>175</v>
      </c>
      <c r="E2621" s="7" t="s">
        <v>45</v>
      </c>
      <c r="F2621" s="6" t="s">
        <v>51</v>
      </c>
      <c r="G2621" s="8">
        <v>425058</v>
      </c>
      <c r="H2621" s="8">
        <v>1527832</v>
      </c>
      <c r="I2621" s="8">
        <v>1370138</v>
      </c>
      <c r="J2621" s="8">
        <v>44923</v>
      </c>
      <c r="K2621" s="8">
        <v>5611</v>
      </c>
      <c r="L2621" s="8">
        <v>2547</v>
      </c>
      <c r="M2621" s="8">
        <v>3</v>
      </c>
      <c r="N2621" s="8">
        <v>39545</v>
      </c>
      <c r="O2621" s="9">
        <f t="shared" si="40"/>
        <v>3.8743542621254207E-2</v>
      </c>
      <c r="P2621" s="6" t="s">
        <v>22</v>
      </c>
    </row>
    <row r="2622" spans="1:16" x14ac:dyDescent="0.25">
      <c r="A2622" s="2" t="s">
        <v>5313</v>
      </c>
      <c r="B2622" s="2" t="s">
        <v>5314</v>
      </c>
      <c r="C2622" s="2" t="s">
        <v>25</v>
      </c>
      <c r="D2622" s="3" t="s">
        <v>244</v>
      </c>
      <c r="E2622" s="3" t="s">
        <v>20</v>
      </c>
      <c r="F2622" s="2" t="s">
        <v>146</v>
      </c>
      <c r="G2622" s="4">
        <v>219355</v>
      </c>
      <c r="H2622" s="4">
        <v>31556</v>
      </c>
      <c r="I2622" s="4">
        <v>27020</v>
      </c>
      <c r="J2622" s="4">
        <v>1428</v>
      </c>
      <c r="K2622" s="4">
        <v>112</v>
      </c>
      <c r="L2622" s="4">
        <v>41</v>
      </c>
      <c r="M2622" s="4">
        <v>160</v>
      </c>
      <c r="N2622" s="4">
        <v>946</v>
      </c>
      <c r="O2622" s="5">
        <f t="shared" si="40"/>
        <v>6.4433752775721692E-2</v>
      </c>
      <c r="P2622" s="2" t="s">
        <v>22</v>
      </c>
    </row>
    <row r="2623" spans="1:16" x14ac:dyDescent="0.25">
      <c r="A2623" s="6" t="s">
        <v>5315</v>
      </c>
      <c r="B2623" s="6" t="s">
        <v>5316</v>
      </c>
      <c r="C2623" s="6" t="s">
        <v>18</v>
      </c>
      <c r="D2623" s="7" t="s">
        <v>226</v>
      </c>
      <c r="E2623" s="7" t="s">
        <v>45</v>
      </c>
      <c r="F2623" s="6" t="s">
        <v>58</v>
      </c>
      <c r="G2623" s="8">
        <v>107876</v>
      </c>
      <c r="H2623" s="8">
        <v>49060</v>
      </c>
      <c r="I2623" s="8">
        <v>40728</v>
      </c>
      <c r="J2623" s="8">
        <v>2285</v>
      </c>
      <c r="K2623" s="8">
        <v>87</v>
      </c>
      <c r="L2623" s="8">
        <v>302</v>
      </c>
      <c r="M2623" s="8">
        <v>382</v>
      </c>
      <c r="N2623" s="8">
        <v>1624</v>
      </c>
      <c r="O2623" s="9">
        <f t="shared" si="40"/>
        <v>7.5034374386171679E-2</v>
      </c>
      <c r="P2623" s="6" t="s">
        <v>29</v>
      </c>
    </row>
    <row r="2624" spans="1:16" x14ac:dyDescent="0.25">
      <c r="A2624" s="2" t="s">
        <v>5317</v>
      </c>
      <c r="B2624" s="2" t="s">
        <v>5318</v>
      </c>
      <c r="C2624" s="2" t="s">
        <v>76</v>
      </c>
      <c r="D2624" s="3" t="s">
        <v>86</v>
      </c>
      <c r="E2624" s="3" t="s">
        <v>50</v>
      </c>
      <c r="F2624" s="2" t="s">
        <v>104</v>
      </c>
      <c r="G2624" s="4">
        <v>437526</v>
      </c>
      <c r="H2624" s="4">
        <v>93983</v>
      </c>
      <c r="I2624" s="4">
        <v>70384</v>
      </c>
      <c r="J2624" s="4">
        <v>4044</v>
      </c>
      <c r="K2624" s="4">
        <v>522</v>
      </c>
      <c r="L2624" s="4">
        <v>352</v>
      </c>
      <c r="M2624" s="4">
        <v>972</v>
      </c>
      <c r="N2624" s="4">
        <v>1824</v>
      </c>
      <c r="O2624" s="5">
        <f t="shared" si="40"/>
        <v>8.3683791770857011E-2</v>
      </c>
      <c r="P2624" s="2" t="s">
        <v>22</v>
      </c>
    </row>
    <row r="2625" spans="1:16" x14ac:dyDescent="0.25">
      <c r="A2625" s="6" t="s">
        <v>5319</v>
      </c>
      <c r="B2625" s="6" t="s">
        <v>5320</v>
      </c>
      <c r="C2625" s="6" t="s">
        <v>43</v>
      </c>
      <c r="D2625" s="7" t="s">
        <v>81</v>
      </c>
      <c r="E2625" s="7" t="s">
        <v>45</v>
      </c>
      <c r="F2625" s="6" t="s">
        <v>70</v>
      </c>
      <c r="G2625" s="8">
        <v>31508</v>
      </c>
      <c r="H2625" s="8">
        <v>7880</v>
      </c>
      <c r="I2625" s="8">
        <v>5761</v>
      </c>
      <c r="J2625" s="8">
        <v>335</v>
      </c>
      <c r="K2625" s="8">
        <v>28</v>
      </c>
      <c r="L2625" s="8">
        <v>10</v>
      </c>
      <c r="M2625" s="8">
        <v>19</v>
      </c>
      <c r="N2625" s="8">
        <v>141</v>
      </c>
      <c r="O2625" s="9">
        <f t="shared" si="40"/>
        <v>6.8043742405832316E-2</v>
      </c>
      <c r="P2625" s="6" t="s">
        <v>22</v>
      </c>
    </row>
    <row r="2626" spans="1:16" x14ac:dyDescent="0.25">
      <c r="A2626" s="2" t="s">
        <v>5321</v>
      </c>
      <c r="B2626" s="2" t="s">
        <v>5322</v>
      </c>
      <c r="C2626" s="2" t="s">
        <v>76</v>
      </c>
      <c r="D2626" s="3" t="s">
        <v>77</v>
      </c>
      <c r="E2626" s="3" t="s">
        <v>20</v>
      </c>
      <c r="F2626" s="2" t="s">
        <v>78</v>
      </c>
      <c r="G2626" s="4">
        <v>808370</v>
      </c>
      <c r="H2626" s="4">
        <v>518709</v>
      </c>
      <c r="I2626" s="4">
        <v>421394</v>
      </c>
      <c r="J2626" s="4">
        <v>31398</v>
      </c>
      <c r="K2626" s="4">
        <v>4326</v>
      </c>
      <c r="L2626" s="4">
        <v>1813</v>
      </c>
      <c r="M2626" s="4">
        <v>6972</v>
      </c>
      <c r="N2626" s="4">
        <v>7068</v>
      </c>
      <c r="O2626" s="5">
        <f t="shared" ref="O2626:O2689" si="41">IF(I2626&gt;0, (J2626+K2626+L2626+M2626)/I2626, 0)</f>
        <v>0.1056232409573938</v>
      </c>
      <c r="P2626" s="2" t="s">
        <v>22</v>
      </c>
    </row>
    <row r="2627" spans="1:16" x14ac:dyDescent="0.25">
      <c r="A2627" s="6" t="s">
        <v>5323</v>
      </c>
      <c r="B2627" s="6" t="s">
        <v>5324</v>
      </c>
      <c r="C2627" s="6" t="s">
        <v>43</v>
      </c>
      <c r="D2627" s="7" t="s">
        <v>81</v>
      </c>
      <c r="E2627" s="7" t="s">
        <v>20</v>
      </c>
      <c r="F2627" s="6" t="s">
        <v>70</v>
      </c>
      <c r="G2627" s="8">
        <v>179900</v>
      </c>
      <c r="H2627" s="8">
        <v>573675</v>
      </c>
      <c r="I2627" s="8">
        <v>414844</v>
      </c>
      <c r="J2627" s="8">
        <v>29451</v>
      </c>
      <c r="K2627" s="8">
        <v>4997</v>
      </c>
      <c r="L2627" s="8">
        <v>615</v>
      </c>
      <c r="M2627" s="8">
        <v>47</v>
      </c>
      <c r="N2627" s="8">
        <v>3140</v>
      </c>
      <c r="O2627" s="9">
        <f t="shared" si="41"/>
        <v>8.4634223949243567E-2</v>
      </c>
      <c r="P2627" s="6" t="s">
        <v>22</v>
      </c>
    </row>
    <row r="2628" spans="1:16" x14ac:dyDescent="0.25">
      <c r="A2628" s="2" t="s">
        <v>5325</v>
      </c>
      <c r="B2628" s="2" t="s">
        <v>5326</v>
      </c>
      <c r="C2628" s="2" t="s">
        <v>76</v>
      </c>
      <c r="D2628" s="3" t="s">
        <v>182</v>
      </c>
      <c r="E2628" s="3" t="s">
        <v>50</v>
      </c>
      <c r="F2628" s="2" t="s">
        <v>87</v>
      </c>
      <c r="G2628" s="4">
        <v>781568</v>
      </c>
      <c r="H2628" s="4">
        <v>134480</v>
      </c>
      <c r="I2628" s="4">
        <v>120869</v>
      </c>
      <c r="J2628" s="4">
        <v>6507</v>
      </c>
      <c r="K2628" s="4">
        <v>541</v>
      </c>
      <c r="L2628" s="4">
        <v>147</v>
      </c>
      <c r="M2628" s="4">
        <v>847</v>
      </c>
      <c r="N2628" s="4">
        <v>4244</v>
      </c>
      <c r="O2628" s="5">
        <f t="shared" si="41"/>
        <v>6.6534843508261013E-2</v>
      </c>
      <c r="P2628" s="2" t="s">
        <v>29</v>
      </c>
    </row>
    <row r="2629" spans="1:16" x14ac:dyDescent="0.25">
      <c r="A2629" s="6" t="s">
        <v>5327</v>
      </c>
      <c r="B2629" s="6" t="s">
        <v>5328</v>
      </c>
      <c r="C2629" s="6" t="s">
        <v>43</v>
      </c>
      <c r="D2629" s="7" t="s">
        <v>110</v>
      </c>
      <c r="E2629" s="7" t="s">
        <v>20</v>
      </c>
      <c r="F2629" s="6" t="s">
        <v>107</v>
      </c>
      <c r="G2629" s="8">
        <v>635940</v>
      </c>
      <c r="H2629" s="8">
        <v>176214</v>
      </c>
      <c r="I2629" s="8">
        <v>157455</v>
      </c>
      <c r="J2629" s="8">
        <v>12726</v>
      </c>
      <c r="K2629" s="8">
        <v>1447</v>
      </c>
      <c r="L2629" s="8">
        <v>1509</v>
      </c>
      <c r="M2629" s="8">
        <v>31</v>
      </c>
      <c r="N2629" s="8">
        <v>5028</v>
      </c>
      <c r="O2629" s="9">
        <f t="shared" si="41"/>
        <v>9.979359181988505E-2</v>
      </c>
      <c r="P2629" s="6" t="s">
        <v>22</v>
      </c>
    </row>
    <row r="2630" spans="1:16" x14ac:dyDescent="0.25">
      <c r="A2630" s="2" t="s">
        <v>5329</v>
      </c>
      <c r="B2630" s="2" t="s">
        <v>5330</v>
      </c>
      <c r="C2630" s="2" t="s">
        <v>43</v>
      </c>
      <c r="D2630" s="3" t="s">
        <v>69</v>
      </c>
      <c r="E2630" s="3" t="s">
        <v>34</v>
      </c>
      <c r="F2630" s="2" t="s">
        <v>70</v>
      </c>
      <c r="G2630" s="4">
        <v>240913</v>
      </c>
      <c r="H2630" s="4">
        <v>111775</v>
      </c>
      <c r="I2630" s="4">
        <v>85233</v>
      </c>
      <c r="J2630" s="4">
        <v>4761</v>
      </c>
      <c r="K2630" s="4">
        <v>353</v>
      </c>
      <c r="L2630" s="4">
        <v>251</v>
      </c>
      <c r="M2630" s="4">
        <v>50</v>
      </c>
      <c r="N2630" s="4">
        <v>1037</v>
      </c>
      <c r="O2630" s="5">
        <f t="shared" si="41"/>
        <v>6.3531730667699127E-2</v>
      </c>
      <c r="P2630" s="2" t="s">
        <v>66</v>
      </c>
    </row>
    <row r="2631" spans="1:16" x14ac:dyDescent="0.25">
      <c r="A2631" s="6" t="s">
        <v>5331</v>
      </c>
      <c r="B2631" s="6" t="s">
        <v>5332</v>
      </c>
      <c r="C2631" s="6" t="s">
        <v>43</v>
      </c>
      <c r="D2631" s="7" t="s">
        <v>69</v>
      </c>
      <c r="E2631" s="7" t="s">
        <v>50</v>
      </c>
      <c r="F2631" s="6" t="s">
        <v>46</v>
      </c>
      <c r="G2631" s="8">
        <v>230966</v>
      </c>
      <c r="H2631" s="8">
        <v>57523</v>
      </c>
      <c r="I2631" s="8">
        <v>44925</v>
      </c>
      <c r="J2631" s="8">
        <v>1203</v>
      </c>
      <c r="K2631" s="8">
        <v>137</v>
      </c>
      <c r="L2631" s="8">
        <v>32</v>
      </c>
      <c r="M2631" s="8">
        <v>9</v>
      </c>
      <c r="N2631" s="8">
        <v>1371</v>
      </c>
      <c r="O2631" s="9">
        <f t="shared" si="41"/>
        <v>3.0740122426266E-2</v>
      </c>
      <c r="P2631" s="6" t="s">
        <v>66</v>
      </c>
    </row>
    <row r="2632" spans="1:16" x14ac:dyDescent="0.25">
      <c r="A2632" s="2" t="s">
        <v>5333</v>
      </c>
      <c r="B2632" s="2" t="s">
        <v>5334</v>
      </c>
      <c r="C2632" s="2" t="s">
        <v>18</v>
      </c>
      <c r="D2632" s="3" t="s">
        <v>57</v>
      </c>
      <c r="E2632" s="3" t="s">
        <v>20</v>
      </c>
      <c r="F2632" s="2" t="s">
        <v>58</v>
      </c>
      <c r="G2632" s="4">
        <v>447856</v>
      </c>
      <c r="H2632" s="4">
        <v>100739</v>
      </c>
      <c r="I2632" s="4">
        <v>80470</v>
      </c>
      <c r="J2632" s="4">
        <v>2854</v>
      </c>
      <c r="K2632" s="4">
        <v>194</v>
      </c>
      <c r="L2632" s="4">
        <v>210</v>
      </c>
      <c r="M2632" s="4">
        <v>195</v>
      </c>
      <c r="N2632" s="4">
        <v>3386</v>
      </c>
      <c r="O2632" s="5">
        <f t="shared" si="41"/>
        <v>4.291040139182304E-2</v>
      </c>
      <c r="P2632" s="2" t="s">
        <v>29</v>
      </c>
    </row>
    <row r="2633" spans="1:16" x14ac:dyDescent="0.25">
      <c r="A2633" s="6" t="s">
        <v>5335</v>
      </c>
      <c r="B2633" s="6" t="s">
        <v>5336</v>
      </c>
      <c r="C2633" s="6" t="s">
        <v>18</v>
      </c>
      <c r="D2633" s="7" t="s">
        <v>226</v>
      </c>
      <c r="E2633" s="7" t="s">
        <v>45</v>
      </c>
      <c r="F2633" s="6" t="s">
        <v>73</v>
      </c>
      <c r="G2633" s="8">
        <v>124583</v>
      </c>
      <c r="H2633" s="8">
        <v>40544</v>
      </c>
      <c r="I2633" s="8">
        <v>32322</v>
      </c>
      <c r="J2633" s="8">
        <v>1177</v>
      </c>
      <c r="K2633" s="8">
        <v>70</v>
      </c>
      <c r="L2633" s="8">
        <v>24</v>
      </c>
      <c r="M2633" s="8">
        <v>128</v>
      </c>
      <c r="N2633" s="8">
        <v>801</v>
      </c>
      <c r="O2633" s="9">
        <f t="shared" si="41"/>
        <v>4.328321267248314E-2</v>
      </c>
      <c r="P2633" s="6" t="s">
        <v>29</v>
      </c>
    </row>
    <row r="2634" spans="1:16" x14ac:dyDescent="0.25">
      <c r="A2634" s="2" t="s">
        <v>5337</v>
      </c>
      <c r="B2634" s="2" t="s">
        <v>5338</v>
      </c>
      <c r="C2634" s="2" t="s">
        <v>25</v>
      </c>
      <c r="D2634" s="3" t="s">
        <v>244</v>
      </c>
      <c r="E2634" s="3" t="s">
        <v>50</v>
      </c>
      <c r="F2634" s="2" t="s">
        <v>146</v>
      </c>
      <c r="G2634" s="4">
        <v>695338</v>
      </c>
      <c r="H2634" s="4">
        <v>130221</v>
      </c>
      <c r="I2634" s="4">
        <v>93827</v>
      </c>
      <c r="J2634" s="4">
        <v>5895</v>
      </c>
      <c r="K2634" s="4">
        <v>1055</v>
      </c>
      <c r="L2634" s="4">
        <v>536</v>
      </c>
      <c r="M2634" s="4">
        <v>1364</v>
      </c>
      <c r="N2634" s="4">
        <v>2004</v>
      </c>
      <c r="O2634" s="5">
        <f t="shared" si="41"/>
        <v>9.4322529762221968E-2</v>
      </c>
      <c r="P2634" s="2" t="s">
        <v>66</v>
      </c>
    </row>
    <row r="2635" spans="1:16" x14ac:dyDescent="0.25">
      <c r="A2635" s="6" t="s">
        <v>5339</v>
      </c>
      <c r="B2635" s="6" t="s">
        <v>5340</v>
      </c>
      <c r="C2635" s="6" t="s">
        <v>76</v>
      </c>
      <c r="D2635" s="7" t="s">
        <v>77</v>
      </c>
      <c r="E2635" s="7" t="s">
        <v>39</v>
      </c>
      <c r="F2635" s="6" t="s">
        <v>155</v>
      </c>
      <c r="G2635" s="8">
        <v>473448</v>
      </c>
      <c r="H2635" s="8">
        <v>132597</v>
      </c>
      <c r="I2635" s="8">
        <v>100640</v>
      </c>
      <c r="J2635" s="8">
        <v>3962</v>
      </c>
      <c r="K2635" s="8">
        <v>186</v>
      </c>
      <c r="L2635" s="8">
        <v>176</v>
      </c>
      <c r="M2635" s="8">
        <v>359</v>
      </c>
      <c r="N2635" s="8">
        <v>3666</v>
      </c>
      <c r="O2635" s="9">
        <f t="shared" si="41"/>
        <v>4.653219395866455E-2</v>
      </c>
      <c r="P2635" s="6" t="s">
        <v>29</v>
      </c>
    </row>
    <row r="2636" spans="1:16" x14ac:dyDescent="0.25">
      <c r="A2636" s="2" t="s">
        <v>5341</v>
      </c>
      <c r="B2636" s="2" t="s">
        <v>5342</v>
      </c>
      <c r="C2636" s="2" t="s">
        <v>76</v>
      </c>
      <c r="D2636" s="3" t="s">
        <v>77</v>
      </c>
      <c r="E2636" s="3" t="s">
        <v>27</v>
      </c>
      <c r="F2636" s="2" t="s">
        <v>155</v>
      </c>
      <c r="G2636" s="4">
        <v>842779</v>
      </c>
      <c r="H2636" s="4">
        <v>380499</v>
      </c>
      <c r="I2636" s="4">
        <v>302684</v>
      </c>
      <c r="J2636" s="4">
        <v>10100</v>
      </c>
      <c r="K2636" s="4">
        <v>1533</v>
      </c>
      <c r="L2636" s="4">
        <v>1228</v>
      </c>
      <c r="M2636" s="4">
        <v>2408</v>
      </c>
      <c r="N2636" s="4">
        <v>5154</v>
      </c>
      <c r="O2636" s="5">
        <f t="shared" si="41"/>
        <v>5.0445348944774086E-2</v>
      </c>
      <c r="P2636" s="2" t="s">
        <v>22</v>
      </c>
    </row>
    <row r="2637" spans="1:16" x14ac:dyDescent="0.25">
      <c r="A2637" s="6" t="s">
        <v>5343</v>
      </c>
      <c r="B2637" s="6" t="s">
        <v>5344</v>
      </c>
      <c r="C2637" s="6" t="s">
        <v>32</v>
      </c>
      <c r="D2637" s="7" t="s">
        <v>33</v>
      </c>
      <c r="E2637" s="7" t="s">
        <v>50</v>
      </c>
      <c r="F2637" s="6" t="s">
        <v>35</v>
      </c>
      <c r="G2637" s="8">
        <v>180310</v>
      </c>
      <c r="H2637" s="8">
        <v>19331</v>
      </c>
      <c r="I2637" s="8">
        <v>17451</v>
      </c>
      <c r="J2637" s="8">
        <v>453</v>
      </c>
      <c r="K2637" s="8">
        <v>59</v>
      </c>
      <c r="L2637" s="8">
        <v>47</v>
      </c>
      <c r="M2637" s="8">
        <v>19</v>
      </c>
      <c r="N2637" s="8">
        <v>240</v>
      </c>
      <c r="O2637" s="9">
        <f t="shared" si="41"/>
        <v>3.3121311099650448E-2</v>
      </c>
      <c r="P2637" s="6" t="s">
        <v>66</v>
      </c>
    </row>
    <row r="2638" spans="1:16" x14ac:dyDescent="0.25">
      <c r="A2638" s="2" t="s">
        <v>5345</v>
      </c>
      <c r="B2638" s="2" t="s">
        <v>5346</v>
      </c>
      <c r="C2638" s="2" t="s">
        <v>18</v>
      </c>
      <c r="D2638" s="3" t="s">
        <v>57</v>
      </c>
      <c r="E2638" s="3" t="s">
        <v>34</v>
      </c>
      <c r="F2638" s="2" t="s">
        <v>73</v>
      </c>
      <c r="G2638" s="4">
        <v>609574</v>
      </c>
      <c r="H2638" s="4">
        <v>227581</v>
      </c>
      <c r="I2638" s="4">
        <v>159721</v>
      </c>
      <c r="J2638" s="4">
        <v>11665</v>
      </c>
      <c r="K2638" s="4">
        <v>1449</v>
      </c>
      <c r="L2638" s="4">
        <v>1392</v>
      </c>
      <c r="M2638" s="4">
        <v>833</v>
      </c>
      <c r="N2638" s="4">
        <v>2765</v>
      </c>
      <c r="O2638" s="5">
        <f t="shared" si="41"/>
        <v>9.6036213146674515E-2</v>
      </c>
      <c r="P2638" s="2" t="s">
        <v>29</v>
      </c>
    </row>
    <row r="2639" spans="1:16" x14ac:dyDescent="0.25">
      <c r="A2639" s="6" t="s">
        <v>5347</v>
      </c>
      <c r="B2639" s="6" t="s">
        <v>5348</v>
      </c>
      <c r="C2639" s="6" t="s">
        <v>25</v>
      </c>
      <c r="D2639" s="7" t="s">
        <v>145</v>
      </c>
      <c r="E2639" s="7" t="s">
        <v>20</v>
      </c>
      <c r="F2639" s="6" t="s">
        <v>146</v>
      </c>
      <c r="G2639" s="8">
        <v>707749</v>
      </c>
      <c r="H2639" s="8">
        <v>275071</v>
      </c>
      <c r="I2639" s="8">
        <v>212964</v>
      </c>
      <c r="J2639" s="8">
        <v>14816</v>
      </c>
      <c r="K2639" s="8">
        <v>1637</v>
      </c>
      <c r="L2639" s="8">
        <v>2154</v>
      </c>
      <c r="M2639" s="8">
        <v>3292</v>
      </c>
      <c r="N2639" s="8">
        <v>6019</v>
      </c>
      <c r="O2639" s="9">
        <f t="shared" si="41"/>
        <v>0.10282958622114535</v>
      </c>
      <c r="P2639" s="6" t="s">
        <v>29</v>
      </c>
    </row>
    <row r="2640" spans="1:16" x14ac:dyDescent="0.25">
      <c r="A2640" s="2" t="s">
        <v>5349</v>
      </c>
      <c r="B2640" s="2" t="s">
        <v>5350</v>
      </c>
      <c r="C2640" s="2" t="s">
        <v>25</v>
      </c>
      <c r="D2640" s="3" t="s">
        <v>61</v>
      </c>
      <c r="E2640" s="3" t="s">
        <v>34</v>
      </c>
      <c r="F2640" s="2" t="s">
        <v>28</v>
      </c>
      <c r="G2640" s="4">
        <v>206722</v>
      </c>
      <c r="H2640" s="4">
        <v>712940</v>
      </c>
      <c r="I2640" s="4">
        <v>638582</v>
      </c>
      <c r="J2640" s="4">
        <v>45654</v>
      </c>
      <c r="K2640" s="4">
        <v>5076</v>
      </c>
      <c r="L2640" s="4">
        <v>5731</v>
      </c>
      <c r="M2640" s="4">
        <v>4355</v>
      </c>
      <c r="N2640" s="4">
        <v>22840</v>
      </c>
      <c r="O2640" s="5">
        <f t="shared" si="41"/>
        <v>9.5236007278626703E-2</v>
      </c>
      <c r="P2640" s="2" t="s">
        <v>22</v>
      </c>
    </row>
    <row r="2641" spans="1:16" x14ac:dyDescent="0.25">
      <c r="A2641" s="6" t="s">
        <v>5351</v>
      </c>
      <c r="B2641" s="6" t="s">
        <v>5352</v>
      </c>
      <c r="C2641" s="6" t="s">
        <v>32</v>
      </c>
      <c r="D2641" s="7" t="s">
        <v>121</v>
      </c>
      <c r="E2641" s="7" t="s">
        <v>39</v>
      </c>
      <c r="F2641" s="6" t="s">
        <v>51</v>
      </c>
      <c r="G2641" s="8">
        <v>732364</v>
      </c>
      <c r="H2641" s="8">
        <v>85792</v>
      </c>
      <c r="I2641" s="8">
        <v>62376</v>
      </c>
      <c r="J2641" s="8">
        <v>1805</v>
      </c>
      <c r="K2641" s="8">
        <v>57</v>
      </c>
      <c r="L2641" s="8">
        <v>150</v>
      </c>
      <c r="M2641" s="8">
        <v>6</v>
      </c>
      <c r="N2641" s="8">
        <v>1918</v>
      </c>
      <c r="O2641" s="9">
        <f t="shared" si="41"/>
        <v>3.2352186738489164E-2</v>
      </c>
      <c r="P2641" s="6" t="s">
        <v>22</v>
      </c>
    </row>
    <row r="2642" spans="1:16" x14ac:dyDescent="0.25">
      <c r="A2642" s="2" t="s">
        <v>5353</v>
      </c>
      <c r="B2642" s="2" t="s">
        <v>5354</v>
      </c>
      <c r="C2642" s="2" t="s">
        <v>18</v>
      </c>
      <c r="D2642" s="3" t="s">
        <v>231</v>
      </c>
      <c r="E2642" s="3" t="s">
        <v>45</v>
      </c>
      <c r="F2642" s="2" t="s">
        <v>58</v>
      </c>
      <c r="G2642" s="4">
        <v>28188</v>
      </c>
      <c r="H2642" s="4">
        <v>11752</v>
      </c>
      <c r="I2642" s="4">
        <v>10526</v>
      </c>
      <c r="J2642" s="4">
        <v>409</v>
      </c>
      <c r="K2642" s="4">
        <v>40</v>
      </c>
      <c r="L2642" s="4">
        <v>31</v>
      </c>
      <c r="M2642" s="4">
        <v>37</v>
      </c>
      <c r="N2642" s="4">
        <v>285</v>
      </c>
      <c r="O2642" s="5">
        <f t="shared" si="41"/>
        <v>4.9116473494204824E-2</v>
      </c>
      <c r="P2642" s="2" t="s">
        <v>22</v>
      </c>
    </row>
    <row r="2643" spans="1:16" x14ac:dyDescent="0.25">
      <c r="A2643" s="6" t="s">
        <v>5355</v>
      </c>
      <c r="B2643" s="6" t="s">
        <v>5356</v>
      </c>
      <c r="C2643" s="6" t="s">
        <v>18</v>
      </c>
      <c r="D2643" s="7" t="s">
        <v>231</v>
      </c>
      <c r="E2643" s="7" t="s">
        <v>39</v>
      </c>
      <c r="F2643" s="6" t="s">
        <v>58</v>
      </c>
      <c r="G2643" s="8">
        <v>447736</v>
      </c>
      <c r="H2643" s="8">
        <v>188807</v>
      </c>
      <c r="I2643" s="8">
        <v>158123</v>
      </c>
      <c r="J2643" s="8">
        <v>10156</v>
      </c>
      <c r="K2643" s="8">
        <v>578</v>
      </c>
      <c r="L2643" s="8">
        <v>743</v>
      </c>
      <c r="M2643" s="8">
        <v>841</v>
      </c>
      <c r="N2643" s="8">
        <v>3639</v>
      </c>
      <c r="O2643" s="9">
        <f t="shared" si="41"/>
        <v>7.7901380570821452E-2</v>
      </c>
      <c r="P2643" s="6" t="s">
        <v>22</v>
      </c>
    </row>
    <row r="2644" spans="1:16" x14ac:dyDescent="0.25">
      <c r="A2644" s="2" t="s">
        <v>5357</v>
      </c>
      <c r="B2644" s="2" t="s">
        <v>5358</v>
      </c>
      <c r="C2644" s="2" t="s">
        <v>76</v>
      </c>
      <c r="D2644" s="3" t="s">
        <v>86</v>
      </c>
      <c r="E2644" s="3" t="s">
        <v>45</v>
      </c>
      <c r="F2644" s="2" t="s">
        <v>87</v>
      </c>
      <c r="G2644" s="4">
        <v>601210</v>
      </c>
      <c r="H2644" s="4">
        <v>61903</v>
      </c>
      <c r="I2644" s="4">
        <v>48854</v>
      </c>
      <c r="J2644" s="4">
        <v>2430</v>
      </c>
      <c r="K2644" s="4">
        <v>366</v>
      </c>
      <c r="L2644" s="4">
        <v>83</v>
      </c>
      <c r="M2644" s="4">
        <v>576</v>
      </c>
      <c r="N2644" s="4">
        <v>426</v>
      </c>
      <c r="O2644" s="5">
        <f t="shared" si="41"/>
        <v>7.0720923568182742E-2</v>
      </c>
      <c r="P2644" s="2" t="s">
        <v>22</v>
      </c>
    </row>
    <row r="2645" spans="1:16" x14ac:dyDescent="0.25">
      <c r="A2645" s="6" t="s">
        <v>5359</v>
      </c>
      <c r="B2645" s="6" t="s">
        <v>5360</v>
      </c>
      <c r="C2645" s="6" t="s">
        <v>32</v>
      </c>
      <c r="D2645" s="7" t="s">
        <v>33</v>
      </c>
      <c r="E2645" s="7" t="s">
        <v>45</v>
      </c>
      <c r="F2645" s="6" t="s">
        <v>51</v>
      </c>
      <c r="G2645" s="8">
        <v>160114</v>
      </c>
      <c r="H2645" s="8">
        <v>84011</v>
      </c>
      <c r="I2645" s="8">
        <v>65916</v>
      </c>
      <c r="J2645" s="8">
        <v>5184</v>
      </c>
      <c r="K2645" s="8">
        <v>222</v>
      </c>
      <c r="L2645" s="8">
        <v>530</v>
      </c>
      <c r="M2645" s="8">
        <v>27</v>
      </c>
      <c r="N2645" s="8">
        <v>504</v>
      </c>
      <c r="O2645" s="9">
        <f t="shared" si="41"/>
        <v>9.0463620365313427E-2</v>
      </c>
      <c r="P2645" s="6" t="s">
        <v>22</v>
      </c>
    </row>
    <row r="2646" spans="1:16" x14ac:dyDescent="0.25">
      <c r="A2646" s="2" t="s">
        <v>5361</v>
      </c>
      <c r="B2646" s="2" t="s">
        <v>5362</v>
      </c>
      <c r="C2646" s="2" t="s">
        <v>76</v>
      </c>
      <c r="D2646" s="3" t="s">
        <v>182</v>
      </c>
      <c r="E2646" s="3" t="s">
        <v>34</v>
      </c>
      <c r="F2646" s="2" t="s">
        <v>155</v>
      </c>
      <c r="G2646" s="4">
        <v>716274</v>
      </c>
      <c r="H2646" s="4">
        <v>410745</v>
      </c>
      <c r="I2646" s="4">
        <v>355235</v>
      </c>
      <c r="J2646" s="4">
        <v>19093</v>
      </c>
      <c r="K2646" s="4">
        <v>2660</v>
      </c>
      <c r="L2646" s="4">
        <v>915</v>
      </c>
      <c r="M2646" s="4">
        <v>1906</v>
      </c>
      <c r="N2646" s="4">
        <v>2611</v>
      </c>
      <c r="O2646" s="5">
        <f t="shared" si="41"/>
        <v>6.9176742156600565E-2</v>
      </c>
      <c r="P2646" s="2" t="s">
        <v>22</v>
      </c>
    </row>
    <row r="2647" spans="1:16" x14ac:dyDescent="0.25">
      <c r="A2647" s="6" t="s">
        <v>5363</v>
      </c>
      <c r="B2647" s="6" t="s">
        <v>5364</v>
      </c>
      <c r="C2647" s="6" t="s">
        <v>18</v>
      </c>
      <c r="D2647" s="7" t="s">
        <v>226</v>
      </c>
      <c r="E2647" s="7" t="s">
        <v>20</v>
      </c>
      <c r="F2647" s="6" t="s">
        <v>58</v>
      </c>
      <c r="G2647" s="8">
        <v>709203</v>
      </c>
      <c r="H2647" s="8">
        <v>104970</v>
      </c>
      <c r="I2647" s="8">
        <v>90790</v>
      </c>
      <c r="J2647" s="8">
        <v>2999</v>
      </c>
      <c r="K2647" s="8">
        <v>145</v>
      </c>
      <c r="L2647" s="8">
        <v>102</v>
      </c>
      <c r="M2647" s="8">
        <v>749</v>
      </c>
      <c r="N2647" s="8">
        <v>1977</v>
      </c>
      <c r="O2647" s="9">
        <f t="shared" si="41"/>
        <v>4.4002643462936447E-2</v>
      </c>
      <c r="P2647" s="6" t="s">
        <v>66</v>
      </c>
    </row>
    <row r="2648" spans="1:16" x14ac:dyDescent="0.25">
      <c r="A2648" s="2" t="s">
        <v>5365</v>
      </c>
      <c r="B2648" s="2" t="s">
        <v>5366</v>
      </c>
      <c r="C2648" s="2" t="s">
        <v>18</v>
      </c>
      <c r="D2648" s="3" t="s">
        <v>57</v>
      </c>
      <c r="E2648" s="3" t="s">
        <v>27</v>
      </c>
      <c r="F2648" s="2" t="s">
        <v>58</v>
      </c>
      <c r="G2648" s="4">
        <v>832074</v>
      </c>
      <c r="H2648" s="4">
        <v>414208</v>
      </c>
      <c r="I2648" s="4">
        <v>300975</v>
      </c>
      <c r="J2648" s="4">
        <v>28782</v>
      </c>
      <c r="K2648" s="4">
        <v>2260</v>
      </c>
      <c r="L2648" s="4">
        <v>1881</v>
      </c>
      <c r="M2648" s="4">
        <v>6817</v>
      </c>
      <c r="N2648" s="4">
        <v>12892</v>
      </c>
      <c r="O2648" s="5">
        <f t="shared" si="41"/>
        <v>0.13203754464656534</v>
      </c>
      <c r="P2648" s="2" t="s">
        <v>22</v>
      </c>
    </row>
    <row r="2649" spans="1:16" x14ac:dyDescent="0.25">
      <c r="A2649" s="6" t="s">
        <v>5367</v>
      </c>
      <c r="B2649" s="6" t="s">
        <v>5368</v>
      </c>
      <c r="C2649" s="6" t="s">
        <v>32</v>
      </c>
      <c r="D2649" s="7" t="s">
        <v>33</v>
      </c>
      <c r="E2649" s="7" t="s">
        <v>27</v>
      </c>
      <c r="F2649" s="6" t="s">
        <v>40</v>
      </c>
      <c r="G2649" s="8">
        <v>623732</v>
      </c>
      <c r="H2649" s="8">
        <v>192971</v>
      </c>
      <c r="I2649" s="8">
        <v>162126</v>
      </c>
      <c r="J2649" s="8">
        <v>4077</v>
      </c>
      <c r="K2649" s="8">
        <v>455</v>
      </c>
      <c r="L2649" s="8">
        <v>424</v>
      </c>
      <c r="M2649" s="8">
        <v>38</v>
      </c>
      <c r="N2649" s="8">
        <v>2519</v>
      </c>
      <c r="O2649" s="9">
        <f t="shared" si="41"/>
        <v>3.0803202447479121E-2</v>
      </c>
      <c r="P2649" s="6" t="s">
        <v>22</v>
      </c>
    </row>
    <row r="2650" spans="1:16" x14ac:dyDescent="0.25">
      <c r="A2650" s="2" t="s">
        <v>5369</v>
      </c>
      <c r="B2650" s="2" t="s">
        <v>5370</v>
      </c>
      <c r="C2650" s="2" t="s">
        <v>18</v>
      </c>
      <c r="D2650" s="3" t="s">
        <v>57</v>
      </c>
      <c r="E2650" s="3" t="s">
        <v>27</v>
      </c>
      <c r="F2650" s="2" t="s">
        <v>73</v>
      </c>
      <c r="G2650" s="4">
        <v>111603</v>
      </c>
      <c r="H2650" s="4">
        <v>66306</v>
      </c>
      <c r="I2650" s="4">
        <v>53986</v>
      </c>
      <c r="J2650" s="4">
        <v>5177</v>
      </c>
      <c r="K2650" s="4">
        <v>846</v>
      </c>
      <c r="L2650" s="4">
        <v>636</v>
      </c>
      <c r="M2650" s="4">
        <v>532</v>
      </c>
      <c r="N2650" s="4">
        <v>467</v>
      </c>
      <c r="O2650" s="5">
        <f t="shared" si="41"/>
        <v>0.13320120031119179</v>
      </c>
      <c r="P2650" s="2" t="s">
        <v>29</v>
      </c>
    </row>
    <row r="2651" spans="1:16" x14ac:dyDescent="0.25">
      <c r="A2651" s="6" t="s">
        <v>5371</v>
      </c>
      <c r="B2651" s="6" t="s">
        <v>5372</v>
      </c>
      <c r="C2651" s="6" t="s">
        <v>18</v>
      </c>
      <c r="D2651" s="7" t="s">
        <v>57</v>
      </c>
      <c r="E2651" s="7" t="s">
        <v>45</v>
      </c>
      <c r="F2651" s="6" t="s">
        <v>21</v>
      </c>
      <c r="G2651" s="8">
        <v>585242</v>
      </c>
      <c r="H2651" s="8">
        <v>103687</v>
      </c>
      <c r="I2651" s="8">
        <v>83240</v>
      </c>
      <c r="J2651" s="8">
        <v>3705</v>
      </c>
      <c r="K2651" s="8">
        <v>320</v>
      </c>
      <c r="L2651" s="8">
        <v>520</v>
      </c>
      <c r="M2651" s="8">
        <v>786</v>
      </c>
      <c r="N2651" s="8">
        <v>1941</v>
      </c>
      <c r="O2651" s="9">
        <f t="shared" si="41"/>
        <v>6.4043728976453634E-2</v>
      </c>
      <c r="P2651" s="6" t="s">
        <v>29</v>
      </c>
    </row>
    <row r="2652" spans="1:16" x14ac:dyDescent="0.25">
      <c r="A2652" s="2" t="s">
        <v>5373</v>
      </c>
      <c r="B2652" s="2" t="s">
        <v>5374</v>
      </c>
      <c r="C2652" s="2" t="s">
        <v>43</v>
      </c>
      <c r="D2652" s="3" t="s">
        <v>44</v>
      </c>
      <c r="E2652" s="3" t="s">
        <v>45</v>
      </c>
      <c r="F2652" s="2" t="s">
        <v>70</v>
      </c>
      <c r="G2652" s="4">
        <v>543858</v>
      </c>
      <c r="H2652" s="4">
        <v>183449</v>
      </c>
      <c r="I2652" s="4">
        <v>159212</v>
      </c>
      <c r="J2652" s="4">
        <v>10157</v>
      </c>
      <c r="K2652" s="4">
        <v>611</v>
      </c>
      <c r="L2652" s="4">
        <v>1186</v>
      </c>
      <c r="M2652" s="4">
        <v>0</v>
      </c>
      <c r="N2652" s="4">
        <v>2598</v>
      </c>
      <c r="O2652" s="5">
        <f t="shared" si="41"/>
        <v>7.5082280230133414E-2</v>
      </c>
      <c r="P2652" s="2" t="s">
        <v>22</v>
      </c>
    </row>
    <row r="2653" spans="1:16" x14ac:dyDescent="0.25">
      <c r="A2653" s="6" t="s">
        <v>5375</v>
      </c>
      <c r="B2653" s="6" t="s">
        <v>5376</v>
      </c>
      <c r="C2653" s="6" t="s">
        <v>43</v>
      </c>
      <c r="D2653" s="7" t="s">
        <v>44</v>
      </c>
      <c r="E2653" s="7" t="s">
        <v>50</v>
      </c>
      <c r="F2653" s="6" t="s">
        <v>107</v>
      </c>
      <c r="G2653" s="8">
        <v>119882</v>
      </c>
      <c r="H2653" s="8">
        <v>37049</v>
      </c>
      <c r="I2653" s="8">
        <v>29295</v>
      </c>
      <c r="J2653" s="8">
        <v>2031</v>
      </c>
      <c r="K2653" s="8">
        <v>281</v>
      </c>
      <c r="L2653" s="8">
        <v>92</v>
      </c>
      <c r="M2653" s="8">
        <v>44</v>
      </c>
      <c r="N2653" s="8">
        <v>1267</v>
      </c>
      <c r="O2653" s="9">
        <f t="shared" si="41"/>
        <v>8.3563748079877112E-2</v>
      </c>
      <c r="P2653" s="6" t="s">
        <v>22</v>
      </c>
    </row>
    <row r="2654" spans="1:16" x14ac:dyDescent="0.25">
      <c r="A2654" s="2" t="s">
        <v>5377</v>
      </c>
      <c r="B2654" s="2" t="s">
        <v>5378</v>
      </c>
      <c r="C2654" s="2" t="s">
        <v>32</v>
      </c>
      <c r="D2654" s="3" t="s">
        <v>49</v>
      </c>
      <c r="E2654" s="3" t="s">
        <v>45</v>
      </c>
      <c r="F2654" s="2" t="s">
        <v>51</v>
      </c>
      <c r="G2654" s="4">
        <v>669025</v>
      </c>
      <c r="H2654" s="4">
        <v>318781</v>
      </c>
      <c r="I2654" s="4">
        <v>230388</v>
      </c>
      <c r="J2654" s="4">
        <v>7813</v>
      </c>
      <c r="K2654" s="4">
        <v>639</v>
      </c>
      <c r="L2654" s="4">
        <v>367</v>
      </c>
      <c r="M2654" s="4">
        <v>37</v>
      </c>
      <c r="N2654" s="4">
        <v>3366</v>
      </c>
      <c r="O2654" s="5">
        <f t="shared" si="41"/>
        <v>3.8439502057398822E-2</v>
      </c>
      <c r="P2654" s="2" t="s">
        <v>29</v>
      </c>
    </row>
    <row r="2655" spans="1:16" x14ac:dyDescent="0.25">
      <c r="A2655" s="6" t="s">
        <v>5379</v>
      </c>
      <c r="B2655" s="6" t="s">
        <v>5380</v>
      </c>
      <c r="C2655" s="6" t="s">
        <v>25</v>
      </c>
      <c r="D2655" s="7" t="s">
        <v>145</v>
      </c>
      <c r="E2655" s="7" t="s">
        <v>20</v>
      </c>
      <c r="F2655" s="6" t="s">
        <v>65</v>
      </c>
      <c r="G2655" s="8">
        <v>512823</v>
      </c>
      <c r="H2655" s="8">
        <v>56036</v>
      </c>
      <c r="I2655" s="8">
        <v>42237</v>
      </c>
      <c r="J2655" s="8">
        <v>2166</v>
      </c>
      <c r="K2655" s="8">
        <v>361</v>
      </c>
      <c r="L2655" s="8">
        <v>176</v>
      </c>
      <c r="M2655" s="8">
        <v>334</v>
      </c>
      <c r="N2655" s="8">
        <v>958</v>
      </c>
      <c r="O2655" s="9">
        <f t="shared" si="41"/>
        <v>7.1903781045055279E-2</v>
      </c>
      <c r="P2655" s="6" t="s">
        <v>22</v>
      </c>
    </row>
    <row r="2656" spans="1:16" x14ac:dyDescent="0.25">
      <c r="A2656" s="2" t="s">
        <v>5381</v>
      </c>
      <c r="B2656" s="2" t="s">
        <v>5382</v>
      </c>
      <c r="C2656" s="2" t="s">
        <v>32</v>
      </c>
      <c r="D2656" s="3" t="s">
        <v>49</v>
      </c>
      <c r="E2656" s="3" t="s">
        <v>39</v>
      </c>
      <c r="F2656" s="2" t="s">
        <v>40</v>
      </c>
      <c r="G2656" s="4">
        <v>559035</v>
      </c>
      <c r="H2656" s="4">
        <v>45933</v>
      </c>
      <c r="I2656" s="4">
        <v>32459</v>
      </c>
      <c r="J2656" s="4">
        <v>2538</v>
      </c>
      <c r="K2656" s="4">
        <v>235</v>
      </c>
      <c r="L2656" s="4">
        <v>227</v>
      </c>
      <c r="M2656" s="4">
        <v>11</v>
      </c>
      <c r="N2656" s="4">
        <v>961</v>
      </c>
      <c r="O2656" s="5">
        <f t="shared" si="41"/>
        <v>9.2763178163221299E-2</v>
      </c>
      <c r="P2656" s="2" t="s">
        <v>29</v>
      </c>
    </row>
    <row r="2657" spans="1:16" x14ac:dyDescent="0.25">
      <c r="A2657" s="6" t="s">
        <v>5383</v>
      </c>
      <c r="B2657" s="6" t="s">
        <v>5384</v>
      </c>
      <c r="C2657" s="6" t="s">
        <v>43</v>
      </c>
      <c r="D2657" s="7" t="s">
        <v>172</v>
      </c>
      <c r="E2657" s="7" t="s">
        <v>50</v>
      </c>
      <c r="F2657" s="6" t="s">
        <v>107</v>
      </c>
      <c r="G2657" s="8">
        <v>597382</v>
      </c>
      <c r="H2657" s="8">
        <v>305498</v>
      </c>
      <c r="I2657" s="8">
        <v>266076</v>
      </c>
      <c r="J2657" s="8">
        <v>22474</v>
      </c>
      <c r="K2657" s="8">
        <v>3929</v>
      </c>
      <c r="L2657" s="8">
        <v>2765</v>
      </c>
      <c r="M2657" s="8">
        <v>50</v>
      </c>
      <c r="N2657" s="8">
        <v>5633</v>
      </c>
      <c r="O2657" s="9">
        <f t="shared" si="41"/>
        <v>0.10981073076865257</v>
      </c>
      <c r="P2657" s="6" t="s">
        <v>66</v>
      </c>
    </row>
    <row r="2658" spans="1:16" x14ac:dyDescent="0.25">
      <c r="A2658" s="2" t="s">
        <v>5385</v>
      </c>
      <c r="B2658" s="2" t="s">
        <v>5386</v>
      </c>
      <c r="C2658" s="2" t="s">
        <v>18</v>
      </c>
      <c r="D2658" s="3" t="s">
        <v>19</v>
      </c>
      <c r="E2658" s="3" t="s">
        <v>27</v>
      </c>
      <c r="F2658" s="2" t="s">
        <v>58</v>
      </c>
      <c r="G2658" s="4">
        <v>259491</v>
      </c>
      <c r="H2658" s="4">
        <v>83139</v>
      </c>
      <c r="I2658" s="4">
        <v>71533</v>
      </c>
      <c r="J2658" s="4">
        <v>2874</v>
      </c>
      <c r="K2658" s="4">
        <v>502</v>
      </c>
      <c r="L2658" s="4">
        <v>122</v>
      </c>
      <c r="M2658" s="4">
        <v>395</v>
      </c>
      <c r="N2658" s="4">
        <v>1992</v>
      </c>
      <c r="O2658" s="5">
        <f t="shared" si="41"/>
        <v>5.4422434400905877E-2</v>
      </c>
      <c r="P2658" s="2" t="s">
        <v>29</v>
      </c>
    </row>
    <row r="2659" spans="1:16" x14ac:dyDescent="0.25">
      <c r="A2659" s="6" t="s">
        <v>5387</v>
      </c>
      <c r="B2659" s="6" t="s">
        <v>5388</v>
      </c>
      <c r="C2659" s="6" t="s">
        <v>76</v>
      </c>
      <c r="D2659" s="7" t="s">
        <v>103</v>
      </c>
      <c r="E2659" s="7" t="s">
        <v>39</v>
      </c>
      <c r="F2659" s="6" t="s">
        <v>155</v>
      </c>
      <c r="G2659" s="8">
        <v>244929</v>
      </c>
      <c r="H2659" s="8">
        <v>133738</v>
      </c>
      <c r="I2659" s="8">
        <v>108277</v>
      </c>
      <c r="J2659" s="8">
        <v>2910</v>
      </c>
      <c r="K2659" s="8">
        <v>383</v>
      </c>
      <c r="L2659" s="8">
        <v>163</v>
      </c>
      <c r="M2659" s="8">
        <v>431</v>
      </c>
      <c r="N2659" s="8">
        <v>4660</v>
      </c>
      <c r="O2659" s="9">
        <f t="shared" si="41"/>
        <v>3.5898667306999643E-2</v>
      </c>
      <c r="P2659" s="6" t="s">
        <v>22</v>
      </c>
    </row>
    <row r="2660" spans="1:16" x14ac:dyDescent="0.25">
      <c r="A2660" s="2" t="s">
        <v>5389</v>
      </c>
      <c r="B2660" s="2" t="s">
        <v>5390</v>
      </c>
      <c r="C2660" s="2" t="s">
        <v>76</v>
      </c>
      <c r="D2660" s="3" t="s">
        <v>103</v>
      </c>
      <c r="E2660" s="3" t="s">
        <v>50</v>
      </c>
      <c r="F2660" s="2" t="s">
        <v>104</v>
      </c>
      <c r="G2660" s="4">
        <v>112803</v>
      </c>
      <c r="H2660" s="4">
        <v>66054</v>
      </c>
      <c r="I2660" s="4">
        <v>46777</v>
      </c>
      <c r="J2660" s="4">
        <v>3547</v>
      </c>
      <c r="K2660" s="4">
        <v>509</v>
      </c>
      <c r="L2660" s="4">
        <v>130</v>
      </c>
      <c r="M2660" s="4">
        <v>566</v>
      </c>
      <c r="N2660" s="4">
        <v>939</v>
      </c>
      <c r="O2660" s="5">
        <f t="shared" si="41"/>
        <v>0.10158838745537337</v>
      </c>
      <c r="P2660" s="2" t="s">
        <v>22</v>
      </c>
    </row>
    <row r="2661" spans="1:16" x14ac:dyDescent="0.25">
      <c r="A2661" s="6" t="s">
        <v>5391</v>
      </c>
      <c r="B2661" s="6" t="s">
        <v>5392</v>
      </c>
      <c r="C2661" s="6" t="s">
        <v>43</v>
      </c>
      <c r="D2661" s="7" t="s">
        <v>172</v>
      </c>
      <c r="E2661" s="7" t="s">
        <v>39</v>
      </c>
      <c r="F2661" s="6" t="s">
        <v>107</v>
      </c>
      <c r="G2661" s="8">
        <v>76135</v>
      </c>
      <c r="H2661" s="8">
        <v>15697</v>
      </c>
      <c r="I2661" s="8">
        <v>11436</v>
      </c>
      <c r="J2661" s="8">
        <v>739</v>
      </c>
      <c r="K2661" s="8">
        <v>129</v>
      </c>
      <c r="L2661" s="8">
        <v>17</v>
      </c>
      <c r="M2661" s="8">
        <v>26</v>
      </c>
      <c r="N2661" s="8">
        <v>537</v>
      </c>
      <c r="O2661" s="9">
        <f t="shared" si="41"/>
        <v>7.9660720531654419E-2</v>
      </c>
      <c r="P2661" s="6" t="s">
        <v>22</v>
      </c>
    </row>
    <row r="2662" spans="1:16" x14ac:dyDescent="0.25">
      <c r="A2662" s="2" t="s">
        <v>5393</v>
      </c>
      <c r="B2662" s="2" t="s">
        <v>5394</v>
      </c>
      <c r="C2662" s="2" t="s">
        <v>76</v>
      </c>
      <c r="D2662" s="3" t="s">
        <v>86</v>
      </c>
      <c r="E2662" s="3" t="s">
        <v>39</v>
      </c>
      <c r="F2662" s="2" t="s">
        <v>87</v>
      </c>
      <c r="G2662" s="4">
        <v>449868</v>
      </c>
      <c r="H2662" s="4">
        <v>157667</v>
      </c>
      <c r="I2662" s="4">
        <v>134579</v>
      </c>
      <c r="J2662" s="4">
        <v>8769</v>
      </c>
      <c r="K2662" s="4">
        <v>593</v>
      </c>
      <c r="L2662" s="4">
        <v>425</v>
      </c>
      <c r="M2662" s="4">
        <v>1995</v>
      </c>
      <c r="N2662" s="4">
        <v>2702</v>
      </c>
      <c r="O2662" s="5">
        <f t="shared" si="41"/>
        <v>8.7547091299534099E-2</v>
      </c>
      <c r="P2662" s="2" t="s">
        <v>29</v>
      </c>
    </row>
    <row r="2663" spans="1:16" x14ac:dyDescent="0.25">
      <c r="A2663" s="6" t="s">
        <v>5395</v>
      </c>
      <c r="B2663" s="6" t="s">
        <v>5396</v>
      </c>
      <c r="C2663" s="6" t="s">
        <v>18</v>
      </c>
      <c r="D2663" s="7" t="s">
        <v>57</v>
      </c>
      <c r="E2663" s="7" t="s">
        <v>34</v>
      </c>
      <c r="F2663" s="6" t="s">
        <v>73</v>
      </c>
      <c r="G2663" s="8">
        <v>288088</v>
      </c>
      <c r="H2663" s="8">
        <v>79314</v>
      </c>
      <c r="I2663" s="8">
        <v>63924</v>
      </c>
      <c r="J2663" s="8">
        <v>3946</v>
      </c>
      <c r="K2663" s="8">
        <v>428</v>
      </c>
      <c r="L2663" s="8">
        <v>367</v>
      </c>
      <c r="M2663" s="8">
        <v>740</v>
      </c>
      <c r="N2663" s="8">
        <v>1054</v>
      </c>
      <c r="O2663" s="9">
        <f t="shared" si="41"/>
        <v>8.5742444152431013E-2</v>
      </c>
      <c r="P2663" s="6" t="s">
        <v>22</v>
      </c>
    </row>
    <row r="2664" spans="1:16" x14ac:dyDescent="0.25">
      <c r="A2664" s="2" t="s">
        <v>5397</v>
      </c>
      <c r="B2664" s="2" t="s">
        <v>5398</v>
      </c>
      <c r="C2664" s="2" t="s">
        <v>43</v>
      </c>
      <c r="D2664" s="3" t="s">
        <v>44</v>
      </c>
      <c r="E2664" s="3" t="s">
        <v>39</v>
      </c>
      <c r="F2664" s="2" t="s">
        <v>46</v>
      </c>
      <c r="G2664" s="4">
        <v>329713</v>
      </c>
      <c r="H2664" s="4">
        <v>132668</v>
      </c>
      <c r="I2664" s="4">
        <v>98416</v>
      </c>
      <c r="J2664" s="4">
        <v>7584</v>
      </c>
      <c r="K2664" s="4">
        <v>1353</v>
      </c>
      <c r="L2664" s="4">
        <v>188</v>
      </c>
      <c r="M2664" s="4">
        <v>8</v>
      </c>
      <c r="N2664" s="4">
        <v>1732</v>
      </c>
      <c r="O2664" s="5">
        <f t="shared" si="41"/>
        <v>9.2799951227442695E-2</v>
      </c>
      <c r="P2664" s="2" t="s">
        <v>22</v>
      </c>
    </row>
    <row r="2665" spans="1:16" x14ac:dyDescent="0.25">
      <c r="A2665" s="6" t="s">
        <v>5399</v>
      </c>
      <c r="B2665" s="6" t="s">
        <v>5400</v>
      </c>
      <c r="C2665" s="6" t="s">
        <v>32</v>
      </c>
      <c r="D2665" s="7" t="s">
        <v>121</v>
      </c>
      <c r="E2665" s="7" t="s">
        <v>45</v>
      </c>
      <c r="F2665" s="6" t="s">
        <v>128</v>
      </c>
      <c r="G2665" s="8">
        <v>165454</v>
      </c>
      <c r="H2665" s="8">
        <v>58446</v>
      </c>
      <c r="I2665" s="8">
        <v>43137</v>
      </c>
      <c r="J2665" s="8">
        <v>2336</v>
      </c>
      <c r="K2665" s="8">
        <v>406</v>
      </c>
      <c r="L2665" s="8">
        <v>215</v>
      </c>
      <c r="M2665" s="8">
        <v>4</v>
      </c>
      <c r="N2665" s="8">
        <v>1893</v>
      </c>
      <c r="O2665" s="9">
        <f t="shared" si="41"/>
        <v>6.8641769246818279E-2</v>
      </c>
      <c r="P2665" s="6" t="s">
        <v>29</v>
      </c>
    </row>
    <row r="2666" spans="1:16" x14ac:dyDescent="0.25">
      <c r="A2666" s="2" t="s">
        <v>5401</v>
      </c>
      <c r="B2666" s="2" t="s">
        <v>5402</v>
      </c>
      <c r="C2666" s="2" t="s">
        <v>32</v>
      </c>
      <c r="D2666" s="3" t="s">
        <v>49</v>
      </c>
      <c r="E2666" s="3" t="s">
        <v>20</v>
      </c>
      <c r="F2666" s="2" t="s">
        <v>40</v>
      </c>
      <c r="G2666" s="4">
        <v>5178</v>
      </c>
      <c r="H2666" s="4">
        <v>2752</v>
      </c>
      <c r="I2666" s="4">
        <v>2366</v>
      </c>
      <c r="J2666" s="4">
        <v>60</v>
      </c>
      <c r="K2666" s="4">
        <v>3</v>
      </c>
      <c r="L2666" s="4">
        <v>3</v>
      </c>
      <c r="M2666" s="4">
        <v>40</v>
      </c>
      <c r="N2666" s="4">
        <v>26</v>
      </c>
      <c r="O2666" s="5">
        <f t="shared" si="41"/>
        <v>4.4801352493660185E-2</v>
      </c>
      <c r="P2666" s="2" t="s">
        <v>29</v>
      </c>
    </row>
    <row r="2667" spans="1:16" x14ac:dyDescent="0.25">
      <c r="A2667" s="6" t="s">
        <v>5403</v>
      </c>
      <c r="B2667" s="6" t="s">
        <v>5404</v>
      </c>
      <c r="C2667" s="6" t="s">
        <v>32</v>
      </c>
      <c r="D2667" s="7" t="s">
        <v>38</v>
      </c>
      <c r="E2667" s="7" t="s">
        <v>50</v>
      </c>
      <c r="F2667" s="6" t="s">
        <v>128</v>
      </c>
      <c r="G2667" s="8">
        <v>18417</v>
      </c>
      <c r="H2667" s="8">
        <v>9626</v>
      </c>
      <c r="I2667" s="8">
        <v>8040</v>
      </c>
      <c r="J2667" s="8">
        <v>535</v>
      </c>
      <c r="K2667" s="8">
        <v>89</v>
      </c>
      <c r="L2667" s="8">
        <v>10</v>
      </c>
      <c r="M2667" s="8">
        <v>31</v>
      </c>
      <c r="N2667" s="8">
        <v>293</v>
      </c>
      <c r="O2667" s="9">
        <f t="shared" si="41"/>
        <v>8.271144278606965E-2</v>
      </c>
      <c r="P2667" s="6" t="s">
        <v>29</v>
      </c>
    </row>
    <row r="2668" spans="1:16" x14ac:dyDescent="0.25">
      <c r="A2668" s="2" t="s">
        <v>5405</v>
      </c>
      <c r="B2668" s="2" t="s">
        <v>5406</v>
      </c>
      <c r="C2668" s="2" t="s">
        <v>76</v>
      </c>
      <c r="D2668" s="3" t="s">
        <v>86</v>
      </c>
      <c r="E2668" s="3" t="s">
        <v>20</v>
      </c>
      <c r="F2668" s="2" t="s">
        <v>78</v>
      </c>
      <c r="G2668" s="4">
        <v>36346</v>
      </c>
      <c r="H2668" s="4">
        <v>12664</v>
      </c>
      <c r="I2668" s="4">
        <v>10503</v>
      </c>
      <c r="J2668" s="4">
        <v>391</v>
      </c>
      <c r="K2668" s="4">
        <v>64</v>
      </c>
      <c r="L2668" s="4">
        <v>11</v>
      </c>
      <c r="M2668" s="4">
        <v>93</v>
      </c>
      <c r="N2668" s="4">
        <v>205</v>
      </c>
      <c r="O2668" s="5">
        <f t="shared" si="41"/>
        <v>5.3222888698467107E-2</v>
      </c>
      <c r="P2668" s="2" t="s">
        <v>22</v>
      </c>
    </row>
    <row r="2669" spans="1:16" x14ac:dyDescent="0.25">
      <c r="A2669" s="6" t="s">
        <v>5407</v>
      </c>
      <c r="B2669" s="6" t="s">
        <v>5408</v>
      </c>
      <c r="C2669" s="6" t="s">
        <v>32</v>
      </c>
      <c r="D2669" s="7" t="s">
        <v>49</v>
      </c>
      <c r="E2669" s="7" t="s">
        <v>45</v>
      </c>
      <c r="F2669" s="6" t="s">
        <v>51</v>
      </c>
      <c r="G2669" s="8">
        <v>584715</v>
      </c>
      <c r="H2669" s="8">
        <v>50361</v>
      </c>
      <c r="I2669" s="8">
        <v>40741</v>
      </c>
      <c r="J2669" s="8">
        <v>3268</v>
      </c>
      <c r="K2669" s="8">
        <v>99</v>
      </c>
      <c r="L2669" s="8">
        <v>210</v>
      </c>
      <c r="M2669" s="8">
        <v>3</v>
      </c>
      <c r="N2669" s="8">
        <v>1568</v>
      </c>
      <c r="O2669" s="9">
        <f t="shared" si="41"/>
        <v>8.7872168086203087E-2</v>
      </c>
      <c r="P2669" s="6" t="s">
        <v>22</v>
      </c>
    </row>
    <row r="2670" spans="1:16" x14ac:dyDescent="0.25">
      <c r="A2670" s="2" t="s">
        <v>5409</v>
      </c>
      <c r="B2670" s="2" t="s">
        <v>5410</v>
      </c>
      <c r="C2670" s="2" t="s">
        <v>18</v>
      </c>
      <c r="D2670" s="3" t="s">
        <v>226</v>
      </c>
      <c r="E2670" s="3" t="s">
        <v>34</v>
      </c>
      <c r="F2670" s="2" t="s">
        <v>73</v>
      </c>
      <c r="G2670" s="4">
        <v>426886</v>
      </c>
      <c r="H2670" s="4">
        <v>695426</v>
      </c>
      <c r="I2670" s="4">
        <v>628792</v>
      </c>
      <c r="J2670" s="4">
        <v>48459</v>
      </c>
      <c r="K2670" s="4">
        <v>4419</v>
      </c>
      <c r="L2670" s="4">
        <v>7103</v>
      </c>
      <c r="M2670" s="4">
        <v>8955</v>
      </c>
      <c r="N2670" s="4">
        <v>4871</v>
      </c>
      <c r="O2670" s="5">
        <f t="shared" si="41"/>
        <v>0.10963243807173119</v>
      </c>
      <c r="P2670" s="2" t="s">
        <v>22</v>
      </c>
    </row>
    <row r="2671" spans="1:16" x14ac:dyDescent="0.25">
      <c r="A2671" s="6" t="s">
        <v>5411</v>
      </c>
      <c r="B2671" s="6" t="s">
        <v>5412</v>
      </c>
      <c r="C2671" s="6" t="s">
        <v>76</v>
      </c>
      <c r="D2671" s="7" t="s">
        <v>86</v>
      </c>
      <c r="E2671" s="7" t="s">
        <v>50</v>
      </c>
      <c r="F2671" s="6" t="s">
        <v>78</v>
      </c>
      <c r="G2671" s="8">
        <v>729812</v>
      </c>
      <c r="H2671" s="8">
        <v>308324</v>
      </c>
      <c r="I2671" s="8">
        <v>255838</v>
      </c>
      <c r="J2671" s="8">
        <v>15606</v>
      </c>
      <c r="K2671" s="8">
        <v>1154</v>
      </c>
      <c r="L2671" s="8">
        <v>779</v>
      </c>
      <c r="M2671" s="8">
        <v>2935</v>
      </c>
      <c r="N2671" s="8">
        <v>9670</v>
      </c>
      <c r="O2671" s="9">
        <f t="shared" si="41"/>
        <v>8.0027204715484024E-2</v>
      </c>
      <c r="P2671" s="6" t="s">
        <v>22</v>
      </c>
    </row>
    <row r="2672" spans="1:16" x14ac:dyDescent="0.25">
      <c r="A2672" s="2" t="s">
        <v>5413</v>
      </c>
      <c r="B2672" s="2" t="s">
        <v>5414</v>
      </c>
      <c r="C2672" s="2" t="s">
        <v>18</v>
      </c>
      <c r="D2672" s="3" t="s">
        <v>231</v>
      </c>
      <c r="E2672" s="3" t="s">
        <v>50</v>
      </c>
      <c r="F2672" s="2" t="s">
        <v>58</v>
      </c>
      <c r="G2672" s="4">
        <v>825957</v>
      </c>
      <c r="H2672" s="4">
        <v>3307689</v>
      </c>
      <c r="I2672" s="4">
        <v>2879213</v>
      </c>
      <c r="J2672" s="4">
        <v>102007</v>
      </c>
      <c r="K2672" s="4">
        <v>3387</v>
      </c>
      <c r="L2672" s="4">
        <v>4617</v>
      </c>
      <c r="M2672" s="4">
        <v>22871</v>
      </c>
      <c r="N2672" s="4">
        <v>70773</v>
      </c>
      <c r="O2672" s="5">
        <f t="shared" si="41"/>
        <v>4.6152195061636633E-2</v>
      </c>
      <c r="P2672" s="2" t="s">
        <v>29</v>
      </c>
    </row>
    <row r="2673" spans="1:16" x14ac:dyDescent="0.25">
      <c r="A2673" s="6" t="s">
        <v>5415</v>
      </c>
      <c r="B2673" s="6" t="s">
        <v>5416</v>
      </c>
      <c r="C2673" s="6" t="s">
        <v>32</v>
      </c>
      <c r="D2673" s="7" t="s">
        <v>33</v>
      </c>
      <c r="E2673" s="7" t="s">
        <v>39</v>
      </c>
      <c r="F2673" s="6" t="s">
        <v>35</v>
      </c>
      <c r="G2673" s="8">
        <v>763697</v>
      </c>
      <c r="H2673" s="8">
        <v>367640</v>
      </c>
      <c r="I2673" s="8">
        <v>323092</v>
      </c>
      <c r="J2673" s="8">
        <v>9896</v>
      </c>
      <c r="K2673" s="8">
        <v>988</v>
      </c>
      <c r="L2673" s="8">
        <v>609</v>
      </c>
      <c r="M2673" s="8">
        <v>35</v>
      </c>
      <c r="N2673" s="8">
        <v>2237</v>
      </c>
      <c r="O2673" s="9">
        <f t="shared" si="41"/>
        <v>3.5680239684052838E-2</v>
      </c>
      <c r="P2673" s="6" t="s">
        <v>22</v>
      </c>
    </row>
    <row r="2674" spans="1:16" x14ac:dyDescent="0.25">
      <c r="A2674" s="2" t="s">
        <v>5417</v>
      </c>
      <c r="B2674" s="2" t="s">
        <v>5418</v>
      </c>
      <c r="C2674" s="2" t="s">
        <v>25</v>
      </c>
      <c r="D2674" s="3" t="s">
        <v>244</v>
      </c>
      <c r="E2674" s="3" t="s">
        <v>27</v>
      </c>
      <c r="F2674" s="2" t="s">
        <v>65</v>
      </c>
      <c r="G2674" s="4">
        <v>275235</v>
      </c>
      <c r="H2674" s="4">
        <v>43686</v>
      </c>
      <c r="I2674" s="4">
        <v>34331</v>
      </c>
      <c r="J2674" s="4">
        <v>3253</v>
      </c>
      <c r="K2674" s="4">
        <v>526</v>
      </c>
      <c r="L2674" s="4">
        <v>431</v>
      </c>
      <c r="M2674" s="4">
        <v>561</v>
      </c>
      <c r="N2674" s="4">
        <v>1353</v>
      </c>
      <c r="O2674" s="5">
        <f t="shared" si="41"/>
        <v>0.13897060965308322</v>
      </c>
      <c r="P2674" s="2" t="s">
        <v>22</v>
      </c>
    </row>
    <row r="2675" spans="1:16" x14ac:dyDescent="0.25">
      <c r="A2675" s="6" t="s">
        <v>5419</v>
      </c>
      <c r="B2675" s="6" t="s">
        <v>5420</v>
      </c>
      <c r="C2675" s="6" t="s">
        <v>76</v>
      </c>
      <c r="D2675" s="7" t="s">
        <v>189</v>
      </c>
      <c r="E2675" s="7" t="s">
        <v>45</v>
      </c>
      <c r="F2675" s="6" t="s">
        <v>78</v>
      </c>
      <c r="G2675" s="8">
        <v>311102</v>
      </c>
      <c r="H2675" s="8">
        <v>191488</v>
      </c>
      <c r="I2675" s="8">
        <v>140922</v>
      </c>
      <c r="J2675" s="8">
        <v>12918</v>
      </c>
      <c r="K2675" s="8">
        <v>919</v>
      </c>
      <c r="L2675" s="8">
        <v>1685</v>
      </c>
      <c r="M2675" s="8">
        <v>1481</v>
      </c>
      <c r="N2675" s="8">
        <v>5733</v>
      </c>
      <c r="O2675" s="9">
        <f t="shared" si="41"/>
        <v>0.12065539802160061</v>
      </c>
      <c r="P2675" s="6" t="s">
        <v>29</v>
      </c>
    </row>
    <row r="2676" spans="1:16" x14ac:dyDescent="0.25">
      <c r="A2676" s="2" t="s">
        <v>5421</v>
      </c>
      <c r="B2676" s="2" t="s">
        <v>5422</v>
      </c>
      <c r="C2676" s="2" t="s">
        <v>32</v>
      </c>
      <c r="D2676" s="3" t="s">
        <v>49</v>
      </c>
      <c r="E2676" s="3" t="s">
        <v>50</v>
      </c>
      <c r="F2676" s="2" t="s">
        <v>35</v>
      </c>
      <c r="G2676" s="4">
        <v>408678</v>
      </c>
      <c r="H2676" s="4">
        <v>231304</v>
      </c>
      <c r="I2676" s="4">
        <v>186598</v>
      </c>
      <c r="J2676" s="4">
        <v>17651</v>
      </c>
      <c r="K2676" s="4">
        <v>681</v>
      </c>
      <c r="L2676" s="4">
        <v>1823</v>
      </c>
      <c r="M2676" s="4">
        <v>26</v>
      </c>
      <c r="N2676" s="4">
        <v>3574</v>
      </c>
      <c r="O2676" s="5">
        <f t="shared" si="41"/>
        <v>0.10815228459040289</v>
      </c>
      <c r="P2676" s="2" t="s">
        <v>29</v>
      </c>
    </row>
    <row r="2677" spans="1:16" x14ac:dyDescent="0.25">
      <c r="A2677" s="6" t="s">
        <v>5423</v>
      </c>
      <c r="B2677" s="6" t="s">
        <v>5424</v>
      </c>
      <c r="C2677" s="6" t="s">
        <v>18</v>
      </c>
      <c r="D2677" s="7" t="s">
        <v>226</v>
      </c>
      <c r="E2677" s="7" t="s">
        <v>34</v>
      </c>
      <c r="F2677" s="6" t="s">
        <v>58</v>
      </c>
      <c r="G2677" s="8">
        <v>106354</v>
      </c>
      <c r="H2677" s="8">
        <v>37951</v>
      </c>
      <c r="I2677" s="8">
        <v>34534</v>
      </c>
      <c r="J2677" s="8">
        <v>3028</v>
      </c>
      <c r="K2677" s="8">
        <v>366</v>
      </c>
      <c r="L2677" s="8">
        <v>377</v>
      </c>
      <c r="M2677" s="8">
        <v>548</v>
      </c>
      <c r="N2677" s="8">
        <v>922</v>
      </c>
      <c r="O2677" s="9">
        <f t="shared" si="41"/>
        <v>0.12506515318237099</v>
      </c>
      <c r="P2677" s="6" t="s">
        <v>29</v>
      </c>
    </row>
    <row r="2678" spans="1:16" x14ac:dyDescent="0.25">
      <c r="A2678" s="2" t="s">
        <v>5425</v>
      </c>
      <c r="B2678" s="2" t="s">
        <v>5426</v>
      </c>
      <c r="C2678" s="2" t="s">
        <v>43</v>
      </c>
      <c r="D2678" s="3" t="s">
        <v>69</v>
      </c>
      <c r="E2678" s="3" t="s">
        <v>39</v>
      </c>
      <c r="F2678" s="2" t="s">
        <v>70</v>
      </c>
      <c r="G2678" s="4">
        <v>493143</v>
      </c>
      <c r="H2678" s="4">
        <v>157981</v>
      </c>
      <c r="I2678" s="4">
        <v>122001</v>
      </c>
      <c r="J2678" s="4">
        <v>7439</v>
      </c>
      <c r="K2678" s="4">
        <v>1318</v>
      </c>
      <c r="L2678" s="4">
        <v>931</v>
      </c>
      <c r="M2678" s="4">
        <v>1</v>
      </c>
      <c r="N2678" s="4">
        <v>4759</v>
      </c>
      <c r="O2678" s="5">
        <f t="shared" si="41"/>
        <v>7.9417381824739147E-2</v>
      </c>
      <c r="P2678" s="2" t="s">
        <v>22</v>
      </c>
    </row>
    <row r="2679" spans="1:16" x14ac:dyDescent="0.25">
      <c r="A2679" s="6" t="s">
        <v>5427</v>
      </c>
      <c r="B2679" s="6" t="s">
        <v>5428</v>
      </c>
      <c r="C2679" s="6" t="s">
        <v>25</v>
      </c>
      <c r="D2679" s="7" t="s">
        <v>61</v>
      </c>
      <c r="E2679" s="7" t="s">
        <v>45</v>
      </c>
      <c r="F2679" s="6" t="s">
        <v>28</v>
      </c>
      <c r="G2679" s="8">
        <v>315121</v>
      </c>
      <c r="H2679" s="8">
        <v>191494</v>
      </c>
      <c r="I2679" s="8">
        <v>139869</v>
      </c>
      <c r="J2679" s="8">
        <v>13486</v>
      </c>
      <c r="K2679" s="8">
        <v>1308</v>
      </c>
      <c r="L2679" s="8">
        <v>1271</v>
      </c>
      <c r="M2679" s="8">
        <v>3252</v>
      </c>
      <c r="N2679" s="8">
        <v>2310</v>
      </c>
      <c r="O2679" s="9">
        <f t="shared" si="41"/>
        <v>0.13810780087081484</v>
      </c>
      <c r="P2679" s="6" t="s">
        <v>22</v>
      </c>
    </row>
    <row r="2680" spans="1:16" x14ac:dyDescent="0.25">
      <c r="A2680" s="2" t="s">
        <v>5429</v>
      </c>
      <c r="B2680" s="2" t="s">
        <v>5430</v>
      </c>
      <c r="C2680" s="2" t="s">
        <v>43</v>
      </c>
      <c r="D2680" s="3" t="s">
        <v>69</v>
      </c>
      <c r="E2680" s="3" t="s">
        <v>27</v>
      </c>
      <c r="F2680" s="2" t="s">
        <v>107</v>
      </c>
      <c r="G2680" s="4">
        <v>613949</v>
      </c>
      <c r="H2680" s="4">
        <v>354137</v>
      </c>
      <c r="I2680" s="4">
        <v>307575</v>
      </c>
      <c r="J2680" s="4">
        <v>18093</v>
      </c>
      <c r="K2680" s="4">
        <v>1172</v>
      </c>
      <c r="L2680" s="4">
        <v>2509</v>
      </c>
      <c r="M2680" s="4">
        <v>19</v>
      </c>
      <c r="N2680" s="4">
        <v>3068</v>
      </c>
      <c r="O2680" s="5">
        <f t="shared" si="41"/>
        <v>7.0854263187840369E-2</v>
      </c>
      <c r="P2680" s="2" t="s">
        <v>29</v>
      </c>
    </row>
    <row r="2681" spans="1:16" x14ac:dyDescent="0.25">
      <c r="A2681" s="6" t="s">
        <v>5431</v>
      </c>
      <c r="B2681" s="6" t="s">
        <v>5432</v>
      </c>
      <c r="C2681" s="6" t="s">
        <v>43</v>
      </c>
      <c r="D2681" s="7" t="s">
        <v>110</v>
      </c>
      <c r="E2681" s="7" t="s">
        <v>27</v>
      </c>
      <c r="F2681" s="6" t="s">
        <v>70</v>
      </c>
      <c r="G2681" s="8">
        <v>722870</v>
      </c>
      <c r="H2681" s="8">
        <v>177744</v>
      </c>
      <c r="I2681" s="8">
        <v>135324</v>
      </c>
      <c r="J2681" s="8">
        <v>8439</v>
      </c>
      <c r="K2681" s="8">
        <v>826</v>
      </c>
      <c r="L2681" s="8">
        <v>566</v>
      </c>
      <c r="M2681" s="8">
        <v>17</v>
      </c>
      <c r="N2681" s="8">
        <v>2720</v>
      </c>
      <c r="O2681" s="9">
        <f t="shared" si="41"/>
        <v>7.277349176790518E-2</v>
      </c>
      <c r="P2681" s="6" t="s">
        <v>22</v>
      </c>
    </row>
    <row r="2682" spans="1:16" x14ac:dyDescent="0.25">
      <c r="A2682" s="2" t="s">
        <v>5433</v>
      </c>
      <c r="B2682" s="2" t="s">
        <v>5434</v>
      </c>
      <c r="C2682" s="2" t="s">
        <v>43</v>
      </c>
      <c r="D2682" s="3" t="s">
        <v>110</v>
      </c>
      <c r="E2682" s="3" t="s">
        <v>50</v>
      </c>
      <c r="F2682" s="2" t="s">
        <v>46</v>
      </c>
      <c r="G2682" s="4">
        <v>683266</v>
      </c>
      <c r="H2682" s="4">
        <v>239754</v>
      </c>
      <c r="I2682" s="4">
        <v>191899</v>
      </c>
      <c r="J2682" s="4">
        <v>18894</v>
      </c>
      <c r="K2682" s="4">
        <v>3038</v>
      </c>
      <c r="L2682" s="4">
        <v>981</v>
      </c>
      <c r="M2682" s="4">
        <v>7</v>
      </c>
      <c r="N2682" s="4">
        <v>7899</v>
      </c>
      <c r="O2682" s="5">
        <f t="shared" si="41"/>
        <v>0.11943782927477475</v>
      </c>
      <c r="P2682" s="2" t="s">
        <v>22</v>
      </c>
    </row>
    <row r="2683" spans="1:16" x14ac:dyDescent="0.25">
      <c r="A2683" s="6" t="s">
        <v>5435</v>
      </c>
      <c r="B2683" s="6" t="s">
        <v>5436</v>
      </c>
      <c r="C2683" s="6" t="s">
        <v>25</v>
      </c>
      <c r="D2683" s="7" t="s">
        <v>61</v>
      </c>
      <c r="E2683" s="7" t="s">
        <v>34</v>
      </c>
      <c r="F2683" s="6" t="s">
        <v>146</v>
      </c>
      <c r="G2683" s="8">
        <v>331906</v>
      </c>
      <c r="H2683" s="8">
        <v>206211</v>
      </c>
      <c r="I2683" s="8">
        <v>175615</v>
      </c>
      <c r="J2683" s="8">
        <v>12487</v>
      </c>
      <c r="K2683" s="8">
        <v>409</v>
      </c>
      <c r="L2683" s="8">
        <v>1308</v>
      </c>
      <c r="M2683" s="8">
        <v>1553</v>
      </c>
      <c r="N2683" s="8">
        <v>4092</v>
      </c>
      <c r="O2683" s="9">
        <f t="shared" si="41"/>
        <v>8.972468183241751E-2</v>
      </c>
      <c r="P2683" s="6" t="s">
        <v>22</v>
      </c>
    </row>
    <row r="2684" spans="1:16" x14ac:dyDescent="0.25">
      <c r="A2684" s="2" t="s">
        <v>5437</v>
      </c>
      <c r="B2684" s="2" t="s">
        <v>5438</v>
      </c>
      <c r="C2684" s="2" t="s">
        <v>76</v>
      </c>
      <c r="D2684" s="3" t="s">
        <v>77</v>
      </c>
      <c r="E2684" s="3" t="s">
        <v>20</v>
      </c>
      <c r="F2684" s="2" t="s">
        <v>155</v>
      </c>
      <c r="G2684" s="4">
        <v>844153</v>
      </c>
      <c r="H2684" s="4">
        <v>150939</v>
      </c>
      <c r="I2684" s="4">
        <v>118730</v>
      </c>
      <c r="J2684" s="4">
        <v>11609</v>
      </c>
      <c r="K2684" s="4">
        <v>1806</v>
      </c>
      <c r="L2684" s="4">
        <v>1636</v>
      </c>
      <c r="M2684" s="4">
        <v>2901</v>
      </c>
      <c r="N2684" s="4">
        <v>2919</v>
      </c>
      <c r="O2684" s="5">
        <f t="shared" si="41"/>
        <v>0.15120020213930768</v>
      </c>
      <c r="P2684" s="2" t="s">
        <v>29</v>
      </c>
    </row>
    <row r="2685" spans="1:16" x14ac:dyDescent="0.25">
      <c r="A2685" s="6" t="s">
        <v>5439</v>
      </c>
      <c r="B2685" s="6" t="s">
        <v>5440</v>
      </c>
      <c r="C2685" s="6" t="s">
        <v>25</v>
      </c>
      <c r="D2685" s="7" t="s">
        <v>145</v>
      </c>
      <c r="E2685" s="7" t="s">
        <v>39</v>
      </c>
      <c r="F2685" s="6" t="s">
        <v>65</v>
      </c>
      <c r="G2685" s="8">
        <v>72805</v>
      </c>
      <c r="H2685" s="8">
        <v>13347</v>
      </c>
      <c r="I2685" s="8">
        <v>11489</v>
      </c>
      <c r="J2685" s="8">
        <v>855</v>
      </c>
      <c r="K2685" s="8">
        <v>134</v>
      </c>
      <c r="L2685" s="8">
        <v>62</v>
      </c>
      <c r="M2685" s="8">
        <v>111</v>
      </c>
      <c r="N2685" s="8">
        <v>159</v>
      </c>
      <c r="O2685" s="9">
        <f t="shared" si="41"/>
        <v>0.10114022108103403</v>
      </c>
      <c r="P2685" s="6" t="s">
        <v>22</v>
      </c>
    </row>
    <row r="2686" spans="1:16" x14ac:dyDescent="0.25">
      <c r="A2686" s="2" t="s">
        <v>5441</v>
      </c>
      <c r="B2686" s="2" t="s">
        <v>5442</v>
      </c>
      <c r="C2686" s="2" t="s">
        <v>43</v>
      </c>
      <c r="D2686" s="3" t="s">
        <v>81</v>
      </c>
      <c r="E2686" s="3" t="s">
        <v>20</v>
      </c>
      <c r="F2686" s="2" t="s">
        <v>70</v>
      </c>
      <c r="G2686" s="4">
        <v>209995</v>
      </c>
      <c r="H2686" s="4">
        <v>112482</v>
      </c>
      <c r="I2686" s="4">
        <v>86236</v>
      </c>
      <c r="J2686" s="4">
        <v>7778</v>
      </c>
      <c r="K2686" s="4">
        <v>835</v>
      </c>
      <c r="L2686" s="4">
        <v>462</v>
      </c>
      <c r="M2686" s="4">
        <v>39</v>
      </c>
      <c r="N2686" s="4">
        <v>1415</v>
      </c>
      <c r="O2686" s="5">
        <f t="shared" si="41"/>
        <v>0.10568672016327288</v>
      </c>
      <c r="P2686" s="2" t="s">
        <v>22</v>
      </c>
    </row>
    <row r="2687" spans="1:16" x14ac:dyDescent="0.25">
      <c r="A2687" s="6" t="s">
        <v>5443</v>
      </c>
      <c r="B2687" s="6" t="s">
        <v>5444</v>
      </c>
      <c r="C2687" s="6" t="s">
        <v>32</v>
      </c>
      <c r="D2687" s="7" t="s">
        <v>175</v>
      </c>
      <c r="E2687" s="7" t="s">
        <v>50</v>
      </c>
      <c r="F2687" s="6" t="s">
        <v>51</v>
      </c>
      <c r="G2687" s="8">
        <v>415793</v>
      </c>
      <c r="H2687" s="8">
        <v>261681</v>
      </c>
      <c r="I2687" s="8">
        <v>197479</v>
      </c>
      <c r="J2687" s="8">
        <v>9264</v>
      </c>
      <c r="K2687" s="8">
        <v>1060</v>
      </c>
      <c r="L2687" s="8">
        <v>590</v>
      </c>
      <c r="M2687" s="8">
        <v>6</v>
      </c>
      <c r="N2687" s="8">
        <v>2344</v>
      </c>
      <c r="O2687" s="9">
        <f t="shared" si="41"/>
        <v>5.5297018923531109E-2</v>
      </c>
      <c r="P2687" s="6" t="s">
        <v>29</v>
      </c>
    </row>
    <row r="2688" spans="1:16" x14ac:dyDescent="0.25">
      <c r="A2688" s="2" t="s">
        <v>5445</v>
      </c>
      <c r="B2688" s="2" t="s">
        <v>5446</v>
      </c>
      <c r="C2688" s="2" t="s">
        <v>43</v>
      </c>
      <c r="D2688" s="3" t="s">
        <v>81</v>
      </c>
      <c r="E2688" s="3" t="s">
        <v>34</v>
      </c>
      <c r="F2688" s="2" t="s">
        <v>107</v>
      </c>
      <c r="G2688" s="4">
        <v>187713</v>
      </c>
      <c r="H2688" s="4">
        <v>80899</v>
      </c>
      <c r="I2688" s="4">
        <v>72965</v>
      </c>
      <c r="J2688" s="4">
        <v>2411</v>
      </c>
      <c r="K2688" s="4">
        <v>75</v>
      </c>
      <c r="L2688" s="4">
        <v>55</v>
      </c>
      <c r="M2688" s="4">
        <v>43</v>
      </c>
      <c r="N2688" s="4">
        <v>1834</v>
      </c>
      <c r="O2688" s="5">
        <f t="shared" si="41"/>
        <v>3.5414239703967655E-2</v>
      </c>
      <c r="P2688" s="2" t="s">
        <v>29</v>
      </c>
    </row>
    <row r="2689" spans="1:16" x14ac:dyDescent="0.25">
      <c r="A2689" s="6" t="s">
        <v>5447</v>
      </c>
      <c r="B2689" s="6" t="s">
        <v>5448</v>
      </c>
      <c r="C2689" s="6" t="s">
        <v>18</v>
      </c>
      <c r="D2689" s="7" t="s">
        <v>226</v>
      </c>
      <c r="E2689" s="7" t="s">
        <v>50</v>
      </c>
      <c r="F2689" s="6" t="s">
        <v>73</v>
      </c>
      <c r="G2689" s="8">
        <v>374634</v>
      </c>
      <c r="H2689" s="8">
        <v>121006</v>
      </c>
      <c r="I2689" s="8">
        <v>100641</v>
      </c>
      <c r="J2689" s="8">
        <v>2698</v>
      </c>
      <c r="K2689" s="8">
        <v>113</v>
      </c>
      <c r="L2689" s="8">
        <v>113</v>
      </c>
      <c r="M2689" s="8">
        <v>252</v>
      </c>
      <c r="N2689" s="8">
        <v>929</v>
      </c>
      <c r="O2689" s="9">
        <f t="shared" si="41"/>
        <v>3.1557715046551603E-2</v>
      </c>
      <c r="P2689" s="6" t="s">
        <v>66</v>
      </c>
    </row>
    <row r="2690" spans="1:16" x14ac:dyDescent="0.25">
      <c r="A2690" s="2" t="s">
        <v>5449</v>
      </c>
      <c r="B2690" s="2" t="s">
        <v>5450</v>
      </c>
      <c r="C2690" s="2" t="s">
        <v>76</v>
      </c>
      <c r="D2690" s="3" t="s">
        <v>103</v>
      </c>
      <c r="E2690" s="3" t="s">
        <v>45</v>
      </c>
      <c r="F2690" s="2" t="s">
        <v>104</v>
      </c>
      <c r="G2690" s="4">
        <v>345441</v>
      </c>
      <c r="H2690" s="4">
        <v>80186</v>
      </c>
      <c r="I2690" s="4">
        <v>58695</v>
      </c>
      <c r="J2690" s="4">
        <v>3639</v>
      </c>
      <c r="K2690" s="4">
        <v>336</v>
      </c>
      <c r="L2690" s="4">
        <v>472</v>
      </c>
      <c r="M2690" s="4">
        <v>656</v>
      </c>
      <c r="N2690" s="4">
        <v>820</v>
      </c>
      <c r="O2690" s="5">
        <f t="shared" ref="O2690:O2753" si="42">IF(I2690&gt;0, (J2690+K2690+L2690+M2690)/I2690, 0)</f>
        <v>8.694096601073345E-2</v>
      </c>
      <c r="P2690" s="2" t="s">
        <v>22</v>
      </c>
    </row>
    <row r="2691" spans="1:16" x14ac:dyDescent="0.25">
      <c r="A2691" s="6" t="s">
        <v>5451</v>
      </c>
      <c r="B2691" s="6" t="s">
        <v>5452</v>
      </c>
      <c r="C2691" s="6" t="s">
        <v>25</v>
      </c>
      <c r="D2691" s="7" t="s">
        <v>64</v>
      </c>
      <c r="E2691" s="7" t="s">
        <v>20</v>
      </c>
      <c r="F2691" s="6" t="s">
        <v>146</v>
      </c>
      <c r="G2691" s="8">
        <v>347193</v>
      </c>
      <c r="H2691" s="8">
        <v>194294</v>
      </c>
      <c r="I2691" s="8">
        <v>174668</v>
      </c>
      <c r="J2691" s="8">
        <v>4118</v>
      </c>
      <c r="K2691" s="8">
        <v>464</v>
      </c>
      <c r="L2691" s="8">
        <v>219</v>
      </c>
      <c r="M2691" s="8">
        <v>469</v>
      </c>
      <c r="N2691" s="8">
        <v>3266</v>
      </c>
      <c r="O2691" s="9">
        <f t="shared" si="42"/>
        <v>3.017152540820299E-2</v>
      </c>
      <c r="P2691" s="6" t="s">
        <v>22</v>
      </c>
    </row>
    <row r="2692" spans="1:16" x14ac:dyDescent="0.25">
      <c r="A2692" s="2" t="s">
        <v>5453</v>
      </c>
      <c r="B2692" s="2" t="s">
        <v>5454</v>
      </c>
      <c r="C2692" s="2" t="s">
        <v>43</v>
      </c>
      <c r="D2692" s="3" t="s">
        <v>110</v>
      </c>
      <c r="E2692" s="3" t="s">
        <v>34</v>
      </c>
      <c r="F2692" s="2" t="s">
        <v>107</v>
      </c>
      <c r="G2692" s="4">
        <v>437048</v>
      </c>
      <c r="H2692" s="4">
        <v>38424</v>
      </c>
      <c r="I2692" s="4">
        <v>31416</v>
      </c>
      <c r="J2692" s="4">
        <v>913</v>
      </c>
      <c r="K2692" s="4">
        <v>116</v>
      </c>
      <c r="L2692" s="4">
        <v>122</v>
      </c>
      <c r="M2692" s="4">
        <v>31</v>
      </c>
      <c r="N2692" s="4">
        <v>1215</v>
      </c>
      <c r="O2692" s="5">
        <f t="shared" si="42"/>
        <v>3.7624140565317037E-2</v>
      </c>
      <c r="P2692" s="2" t="s">
        <v>29</v>
      </c>
    </row>
    <row r="2693" spans="1:16" x14ac:dyDescent="0.25">
      <c r="A2693" s="6" t="s">
        <v>5455</v>
      </c>
      <c r="B2693" s="6" t="s">
        <v>5456</v>
      </c>
      <c r="C2693" s="6" t="s">
        <v>25</v>
      </c>
      <c r="D2693" s="7" t="s">
        <v>64</v>
      </c>
      <c r="E2693" s="7" t="s">
        <v>50</v>
      </c>
      <c r="F2693" s="6" t="s">
        <v>65</v>
      </c>
      <c r="G2693" s="8">
        <v>389901</v>
      </c>
      <c r="H2693" s="8">
        <v>230653</v>
      </c>
      <c r="I2693" s="8">
        <v>183250</v>
      </c>
      <c r="J2693" s="8">
        <v>5492</v>
      </c>
      <c r="K2693" s="8">
        <v>838</v>
      </c>
      <c r="L2693" s="8">
        <v>681</v>
      </c>
      <c r="M2693" s="8">
        <v>516</v>
      </c>
      <c r="N2693" s="8">
        <v>6407</v>
      </c>
      <c r="O2693" s="9">
        <f t="shared" si="42"/>
        <v>4.1075034106412008E-2</v>
      </c>
      <c r="P2693" s="6" t="s">
        <v>22</v>
      </c>
    </row>
    <row r="2694" spans="1:16" x14ac:dyDescent="0.25">
      <c r="A2694" s="2" t="s">
        <v>5457</v>
      </c>
      <c r="B2694" s="2" t="s">
        <v>5458</v>
      </c>
      <c r="C2694" s="2" t="s">
        <v>32</v>
      </c>
      <c r="D2694" s="3" t="s">
        <v>38</v>
      </c>
      <c r="E2694" s="3" t="s">
        <v>50</v>
      </c>
      <c r="F2694" s="2" t="s">
        <v>128</v>
      </c>
      <c r="G2694" s="4">
        <v>82324</v>
      </c>
      <c r="H2694" s="4">
        <v>50856</v>
      </c>
      <c r="I2694" s="4">
        <v>41338</v>
      </c>
      <c r="J2694" s="4">
        <v>1544</v>
      </c>
      <c r="K2694" s="4">
        <v>274</v>
      </c>
      <c r="L2694" s="4">
        <v>211</v>
      </c>
      <c r="M2694" s="4">
        <v>7</v>
      </c>
      <c r="N2694" s="4">
        <v>1616</v>
      </c>
      <c r="O2694" s="5">
        <f t="shared" si="42"/>
        <v>4.9252503749576661E-2</v>
      </c>
      <c r="P2694" s="2" t="s">
        <v>29</v>
      </c>
    </row>
    <row r="2695" spans="1:16" x14ac:dyDescent="0.25">
      <c r="A2695" s="6" t="s">
        <v>5459</v>
      </c>
      <c r="B2695" s="6" t="s">
        <v>5460</v>
      </c>
      <c r="C2695" s="6" t="s">
        <v>18</v>
      </c>
      <c r="D2695" s="7" t="s">
        <v>19</v>
      </c>
      <c r="E2695" s="7" t="s">
        <v>50</v>
      </c>
      <c r="F2695" s="6" t="s">
        <v>73</v>
      </c>
      <c r="G2695" s="8">
        <v>752317</v>
      </c>
      <c r="H2695" s="8">
        <v>244482</v>
      </c>
      <c r="I2695" s="8">
        <v>224140</v>
      </c>
      <c r="J2695" s="8">
        <v>14693</v>
      </c>
      <c r="K2695" s="8">
        <v>1372</v>
      </c>
      <c r="L2695" s="8">
        <v>1722</v>
      </c>
      <c r="M2695" s="8">
        <v>741</v>
      </c>
      <c r="N2695" s="8">
        <v>6309</v>
      </c>
      <c r="O2695" s="9">
        <f t="shared" si="42"/>
        <v>8.2662621575800843E-2</v>
      </c>
      <c r="P2695" s="6" t="s">
        <v>22</v>
      </c>
    </row>
    <row r="2696" spans="1:16" x14ac:dyDescent="0.25">
      <c r="A2696" s="2" t="s">
        <v>5461</v>
      </c>
      <c r="B2696" s="2" t="s">
        <v>5462</v>
      </c>
      <c r="C2696" s="2" t="s">
        <v>18</v>
      </c>
      <c r="D2696" s="3" t="s">
        <v>57</v>
      </c>
      <c r="E2696" s="3" t="s">
        <v>50</v>
      </c>
      <c r="F2696" s="2" t="s">
        <v>21</v>
      </c>
      <c r="G2696" s="4">
        <v>259258</v>
      </c>
      <c r="H2696" s="4">
        <v>58765</v>
      </c>
      <c r="I2696" s="4">
        <v>47123</v>
      </c>
      <c r="J2696" s="4">
        <v>2138</v>
      </c>
      <c r="K2696" s="4">
        <v>92</v>
      </c>
      <c r="L2696" s="4">
        <v>284</v>
      </c>
      <c r="M2696" s="4">
        <v>242</v>
      </c>
      <c r="N2696" s="4">
        <v>953</v>
      </c>
      <c r="O2696" s="5">
        <f t="shared" si="42"/>
        <v>5.8485240752923204E-2</v>
      </c>
      <c r="P2696" s="2" t="s">
        <v>29</v>
      </c>
    </row>
    <row r="2697" spans="1:16" x14ac:dyDescent="0.25">
      <c r="A2697" s="6" t="s">
        <v>5463</v>
      </c>
      <c r="B2697" s="6" t="s">
        <v>5464</v>
      </c>
      <c r="C2697" s="6" t="s">
        <v>76</v>
      </c>
      <c r="D2697" s="7" t="s">
        <v>103</v>
      </c>
      <c r="E2697" s="7" t="s">
        <v>45</v>
      </c>
      <c r="F2697" s="6" t="s">
        <v>78</v>
      </c>
      <c r="G2697" s="8">
        <v>808689</v>
      </c>
      <c r="H2697" s="8">
        <v>393085</v>
      </c>
      <c r="I2697" s="8">
        <v>286500</v>
      </c>
      <c r="J2697" s="8">
        <v>17331</v>
      </c>
      <c r="K2697" s="8">
        <v>579</v>
      </c>
      <c r="L2697" s="8">
        <v>1760</v>
      </c>
      <c r="M2697" s="8">
        <v>2359</v>
      </c>
      <c r="N2697" s="8">
        <v>3094</v>
      </c>
      <c r="O2697" s="9">
        <f t="shared" si="42"/>
        <v>7.6890052356020949E-2</v>
      </c>
      <c r="P2697" s="6" t="s">
        <v>66</v>
      </c>
    </row>
    <row r="2698" spans="1:16" x14ac:dyDescent="0.25">
      <c r="A2698" s="2" t="s">
        <v>5465</v>
      </c>
      <c r="B2698" s="2" t="s">
        <v>5466</v>
      </c>
      <c r="C2698" s="2" t="s">
        <v>32</v>
      </c>
      <c r="D2698" s="3" t="s">
        <v>49</v>
      </c>
      <c r="E2698" s="3" t="s">
        <v>45</v>
      </c>
      <c r="F2698" s="2" t="s">
        <v>35</v>
      </c>
      <c r="G2698" s="4">
        <v>165589</v>
      </c>
      <c r="H2698" s="4">
        <v>87875</v>
      </c>
      <c r="I2698" s="4">
        <v>63809</v>
      </c>
      <c r="J2698" s="4">
        <v>4579</v>
      </c>
      <c r="K2698" s="4">
        <v>397</v>
      </c>
      <c r="L2698" s="4">
        <v>227</v>
      </c>
      <c r="M2698" s="4">
        <v>48</v>
      </c>
      <c r="N2698" s="4">
        <v>2010</v>
      </c>
      <c r="O2698" s="5">
        <f t="shared" si="42"/>
        <v>8.2292466579949541E-2</v>
      </c>
      <c r="P2698" s="2" t="s">
        <v>22</v>
      </c>
    </row>
    <row r="2699" spans="1:16" x14ac:dyDescent="0.25">
      <c r="A2699" s="6" t="s">
        <v>5467</v>
      </c>
      <c r="B2699" s="6" t="s">
        <v>5468</v>
      </c>
      <c r="C2699" s="6" t="s">
        <v>18</v>
      </c>
      <c r="D2699" s="7" t="s">
        <v>231</v>
      </c>
      <c r="E2699" s="7" t="s">
        <v>45</v>
      </c>
      <c r="F2699" s="6" t="s">
        <v>21</v>
      </c>
      <c r="G2699" s="8">
        <v>66653</v>
      </c>
      <c r="H2699" s="8">
        <v>11597</v>
      </c>
      <c r="I2699" s="8">
        <v>10042</v>
      </c>
      <c r="J2699" s="8">
        <v>306</v>
      </c>
      <c r="K2699" s="8">
        <v>25</v>
      </c>
      <c r="L2699" s="8">
        <v>42</v>
      </c>
      <c r="M2699" s="8">
        <v>73</v>
      </c>
      <c r="N2699" s="8">
        <v>252</v>
      </c>
      <c r="O2699" s="9">
        <f t="shared" si="42"/>
        <v>4.4413463453495318E-2</v>
      </c>
      <c r="P2699" s="6" t="s">
        <v>22</v>
      </c>
    </row>
    <row r="2700" spans="1:16" x14ac:dyDescent="0.25">
      <c r="A2700" s="2" t="s">
        <v>5469</v>
      </c>
      <c r="B2700" s="2" t="s">
        <v>5470</v>
      </c>
      <c r="C2700" s="2" t="s">
        <v>43</v>
      </c>
      <c r="D2700" s="3" t="s">
        <v>81</v>
      </c>
      <c r="E2700" s="3" t="s">
        <v>34</v>
      </c>
      <c r="F2700" s="2" t="s">
        <v>70</v>
      </c>
      <c r="G2700" s="4">
        <v>798375</v>
      </c>
      <c r="H2700" s="4">
        <v>396590</v>
      </c>
      <c r="I2700" s="4">
        <v>295862</v>
      </c>
      <c r="J2700" s="4">
        <v>12362</v>
      </c>
      <c r="K2700" s="4">
        <v>1525</v>
      </c>
      <c r="L2700" s="4">
        <v>1661</v>
      </c>
      <c r="M2700" s="4">
        <v>9</v>
      </c>
      <c r="N2700" s="4">
        <v>2281</v>
      </c>
      <c r="O2700" s="5">
        <f t="shared" si="42"/>
        <v>5.2581946988798832E-2</v>
      </c>
      <c r="P2700" s="2" t="s">
        <v>22</v>
      </c>
    </row>
    <row r="2701" spans="1:16" x14ac:dyDescent="0.25">
      <c r="A2701" s="6" t="s">
        <v>5471</v>
      </c>
      <c r="B2701" s="6" t="s">
        <v>5472</v>
      </c>
      <c r="C2701" s="6" t="s">
        <v>18</v>
      </c>
      <c r="D2701" s="7" t="s">
        <v>57</v>
      </c>
      <c r="E2701" s="7" t="s">
        <v>20</v>
      </c>
      <c r="F2701" s="6" t="s">
        <v>73</v>
      </c>
      <c r="G2701" s="8">
        <v>318680</v>
      </c>
      <c r="H2701" s="8">
        <v>92970</v>
      </c>
      <c r="I2701" s="8">
        <v>72137</v>
      </c>
      <c r="J2701" s="8">
        <v>7014</v>
      </c>
      <c r="K2701" s="8">
        <v>785</v>
      </c>
      <c r="L2701" s="8">
        <v>340</v>
      </c>
      <c r="M2701" s="8">
        <v>1731</v>
      </c>
      <c r="N2701" s="8">
        <v>1104</v>
      </c>
      <c r="O2701" s="9">
        <f t="shared" si="42"/>
        <v>0.13682298958925379</v>
      </c>
      <c r="P2701" s="6" t="s">
        <v>22</v>
      </c>
    </row>
    <row r="2702" spans="1:16" x14ac:dyDescent="0.25">
      <c r="A2702" s="2" t="s">
        <v>5473</v>
      </c>
      <c r="B2702" s="2" t="s">
        <v>5474</v>
      </c>
      <c r="C2702" s="2" t="s">
        <v>76</v>
      </c>
      <c r="D2702" s="3" t="s">
        <v>189</v>
      </c>
      <c r="E2702" s="3" t="s">
        <v>45</v>
      </c>
      <c r="F2702" s="2" t="s">
        <v>78</v>
      </c>
      <c r="G2702" s="4">
        <v>85806</v>
      </c>
      <c r="H2702" s="4">
        <v>31543</v>
      </c>
      <c r="I2702" s="4">
        <v>27366</v>
      </c>
      <c r="J2702" s="4">
        <v>1665</v>
      </c>
      <c r="K2702" s="4">
        <v>182</v>
      </c>
      <c r="L2702" s="4">
        <v>73</v>
      </c>
      <c r="M2702" s="4">
        <v>376</v>
      </c>
      <c r="N2702" s="4">
        <v>1047</v>
      </c>
      <c r="O2702" s="5">
        <f t="shared" si="42"/>
        <v>8.3899729591463856E-2</v>
      </c>
      <c r="P2702" s="2" t="s">
        <v>22</v>
      </c>
    </row>
    <row r="2703" spans="1:16" x14ac:dyDescent="0.25">
      <c r="A2703" s="6" t="s">
        <v>5475</v>
      </c>
      <c r="B2703" s="6" t="s">
        <v>5476</v>
      </c>
      <c r="C2703" s="6" t="s">
        <v>25</v>
      </c>
      <c r="D2703" s="7" t="s">
        <v>61</v>
      </c>
      <c r="E2703" s="7" t="s">
        <v>20</v>
      </c>
      <c r="F2703" s="6" t="s">
        <v>65</v>
      </c>
      <c r="G2703" s="8">
        <v>546115</v>
      </c>
      <c r="H2703" s="8">
        <v>256022</v>
      </c>
      <c r="I2703" s="8">
        <v>210805</v>
      </c>
      <c r="J2703" s="8">
        <v>13760</v>
      </c>
      <c r="K2703" s="8">
        <v>2092</v>
      </c>
      <c r="L2703" s="8">
        <v>1404</v>
      </c>
      <c r="M2703" s="8">
        <v>2307</v>
      </c>
      <c r="N2703" s="8">
        <v>7170</v>
      </c>
      <c r="O2703" s="9">
        <f t="shared" si="42"/>
        <v>9.2801404141268001E-2</v>
      </c>
      <c r="P2703" s="6" t="s">
        <v>22</v>
      </c>
    </row>
    <row r="2704" spans="1:16" x14ac:dyDescent="0.25">
      <c r="A2704" s="2" t="s">
        <v>5477</v>
      </c>
      <c r="B2704" s="2" t="s">
        <v>5478</v>
      </c>
      <c r="C2704" s="2" t="s">
        <v>76</v>
      </c>
      <c r="D2704" s="3" t="s">
        <v>182</v>
      </c>
      <c r="E2704" s="3" t="s">
        <v>50</v>
      </c>
      <c r="F2704" s="2" t="s">
        <v>78</v>
      </c>
      <c r="G2704" s="4">
        <v>442435</v>
      </c>
      <c r="H2704" s="4">
        <v>115939</v>
      </c>
      <c r="I2704" s="4">
        <v>90778</v>
      </c>
      <c r="J2704" s="4">
        <v>5572</v>
      </c>
      <c r="K2704" s="4">
        <v>916</v>
      </c>
      <c r="L2704" s="4">
        <v>772</v>
      </c>
      <c r="M2704" s="4">
        <v>777</v>
      </c>
      <c r="N2704" s="4">
        <v>3846</v>
      </c>
      <c r="O2704" s="5">
        <f t="shared" si="42"/>
        <v>8.8534666989799296E-2</v>
      </c>
      <c r="P2704" s="2" t="s">
        <v>29</v>
      </c>
    </row>
    <row r="2705" spans="1:16" x14ac:dyDescent="0.25">
      <c r="A2705" s="6" t="s">
        <v>5479</v>
      </c>
      <c r="B2705" s="6" t="s">
        <v>5480</v>
      </c>
      <c r="C2705" s="6" t="s">
        <v>32</v>
      </c>
      <c r="D2705" s="7" t="s">
        <v>38</v>
      </c>
      <c r="E2705" s="7" t="s">
        <v>34</v>
      </c>
      <c r="F2705" s="6" t="s">
        <v>128</v>
      </c>
      <c r="G2705" s="8">
        <v>699311</v>
      </c>
      <c r="H2705" s="8">
        <v>249523</v>
      </c>
      <c r="I2705" s="8">
        <v>224415</v>
      </c>
      <c r="J2705" s="8">
        <v>5673</v>
      </c>
      <c r="K2705" s="8">
        <v>510</v>
      </c>
      <c r="L2705" s="8">
        <v>772</v>
      </c>
      <c r="M2705" s="8">
        <v>3</v>
      </c>
      <c r="N2705" s="8">
        <v>7884</v>
      </c>
      <c r="O2705" s="9">
        <f t="shared" si="42"/>
        <v>3.1005057594189336E-2</v>
      </c>
      <c r="P2705" s="6" t="s">
        <v>66</v>
      </c>
    </row>
    <row r="2706" spans="1:16" x14ac:dyDescent="0.25">
      <c r="A2706" s="2" t="s">
        <v>5481</v>
      </c>
      <c r="B2706" s="2" t="s">
        <v>5482</v>
      </c>
      <c r="C2706" s="2" t="s">
        <v>32</v>
      </c>
      <c r="D2706" s="3" t="s">
        <v>38</v>
      </c>
      <c r="E2706" s="3" t="s">
        <v>27</v>
      </c>
      <c r="F2706" s="2" t="s">
        <v>40</v>
      </c>
      <c r="G2706" s="4">
        <v>505827</v>
      </c>
      <c r="H2706" s="4">
        <v>95288</v>
      </c>
      <c r="I2706" s="4">
        <v>67570</v>
      </c>
      <c r="J2706" s="4">
        <v>3608</v>
      </c>
      <c r="K2706" s="4">
        <v>538</v>
      </c>
      <c r="L2706" s="4">
        <v>458</v>
      </c>
      <c r="M2706" s="4">
        <v>49</v>
      </c>
      <c r="N2706" s="4">
        <v>1245</v>
      </c>
      <c r="O2706" s="5">
        <f t="shared" si="42"/>
        <v>6.886192097084505E-2</v>
      </c>
      <c r="P2706" s="2" t="s">
        <v>29</v>
      </c>
    </row>
    <row r="2707" spans="1:16" x14ac:dyDescent="0.25">
      <c r="A2707" s="6" t="s">
        <v>5483</v>
      </c>
      <c r="B2707" s="6" t="s">
        <v>5484</v>
      </c>
      <c r="C2707" s="6" t="s">
        <v>32</v>
      </c>
      <c r="D2707" s="7" t="s">
        <v>175</v>
      </c>
      <c r="E2707" s="7" t="s">
        <v>27</v>
      </c>
      <c r="F2707" s="6" t="s">
        <v>128</v>
      </c>
      <c r="G2707" s="8">
        <v>129160</v>
      </c>
      <c r="H2707" s="8">
        <v>14597</v>
      </c>
      <c r="I2707" s="8">
        <v>12649</v>
      </c>
      <c r="J2707" s="8">
        <v>719</v>
      </c>
      <c r="K2707" s="8">
        <v>40</v>
      </c>
      <c r="L2707" s="8">
        <v>78</v>
      </c>
      <c r="M2707" s="8">
        <v>41</v>
      </c>
      <c r="N2707" s="8">
        <v>104</v>
      </c>
      <c r="O2707" s="9">
        <f t="shared" si="42"/>
        <v>6.9412601786702513E-2</v>
      </c>
      <c r="P2707" s="6" t="s">
        <v>22</v>
      </c>
    </row>
    <row r="2708" spans="1:16" x14ac:dyDescent="0.25">
      <c r="A2708" s="2" t="s">
        <v>5485</v>
      </c>
      <c r="B2708" s="2" t="s">
        <v>5486</v>
      </c>
      <c r="C2708" s="2" t="s">
        <v>25</v>
      </c>
      <c r="D2708" s="3" t="s">
        <v>26</v>
      </c>
      <c r="E2708" s="3" t="s">
        <v>34</v>
      </c>
      <c r="F2708" s="2" t="s">
        <v>65</v>
      </c>
      <c r="G2708" s="4">
        <v>437773</v>
      </c>
      <c r="H2708" s="4">
        <v>103539</v>
      </c>
      <c r="I2708" s="4">
        <v>95051</v>
      </c>
      <c r="J2708" s="4">
        <v>5106</v>
      </c>
      <c r="K2708" s="4">
        <v>592</v>
      </c>
      <c r="L2708" s="4">
        <v>332</v>
      </c>
      <c r="M2708" s="4">
        <v>707</v>
      </c>
      <c r="N2708" s="4">
        <v>1823</v>
      </c>
      <c r="O2708" s="5">
        <f t="shared" si="42"/>
        <v>7.0877739318891964E-2</v>
      </c>
      <c r="P2708" s="2" t="s">
        <v>22</v>
      </c>
    </row>
    <row r="2709" spans="1:16" x14ac:dyDescent="0.25">
      <c r="A2709" s="6" t="s">
        <v>5487</v>
      </c>
      <c r="B2709" s="6" t="s">
        <v>5488</v>
      </c>
      <c r="C2709" s="6" t="s">
        <v>25</v>
      </c>
      <c r="D2709" s="7" t="s">
        <v>145</v>
      </c>
      <c r="E2709" s="7" t="s">
        <v>45</v>
      </c>
      <c r="F2709" s="6" t="s">
        <v>146</v>
      </c>
      <c r="G2709" s="8">
        <v>14491</v>
      </c>
      <c r="H2709" s="8">
        <v>1780</v>
      </c>
      <c r="I2709" s="8">
        <v>1277</v>
      </c>
      <c r="J2709" s="8">
        <v>128</v>
      </c>
      <c r="K2709" s="8">
        <v>8</v>
      </c>
      <c r="L2709" s="8">
        <v>4</v>
      </c>
      <c r="M2709" s="8">
        <v>10</v>
      </c>
      <c r="N2709" s="8">
        <v>39</v>
      </c>
      <c r="O2709" s="9">
        <f t="shared" si="42"/>
        <v>0.11746280344557557</v>
      </c>
      <c r="P2709" s="6" t="s">
        <v>22</v>
      </c>
    </row>
    <row r="2710" spans="1:16" x14ac:dyDescent="0.25">
      <c r="A2710" s="2" t="s">
        <v>5489</v>
      </c>
      <c r="B2710" s="2" t="s">
        <v>5490</v>
      </c>
      <c r="C2710" s="2" t="s">
        <v>32</v>
      </c>
      <c r="D2710" s="3" t="s">
        <v>121</v>
      </c>
      <c r="E2710" s="3" t="s">
        <v>45</v>
      </c>
      <c r="F2710" s="2" t="s">
        <v>40</v>
      </c>
      <c r="G2710" s="4">
        <v>223534</v>
      </c>
      <c r="H2710" s="4">
        <v>87940</v>
      </c>
      <c r="I2710" s="4">
        <v>77090</v>
      </c>
      <c r="J2710" s="4">
        <v>2541</v>
      </c>
      <c r="K2710" s="4">
        <v>403</v>
      </c>
      <c r="L2710" s="4">
        <v>128</v>
      </c>
      <c r="M2710" s="4">
        <v>25</v>
      </c>
      <c r="N2710" s="4">
        <v>1734</v>
      </c>
      <c r="O2710" s="5">
        <f t="shared" si="42"/>
        <v>4.0173822804514203E-2</v>
      </c>
      <c r="P2710" s="2" t="s">
        <v>22</v>
      </c>
    </row>
    <row r="2711" spans="1:16" x14ac:dyDescent="0.25">
      <c r="A2711" s="6" t="s">
        <v>5491</v>
      </c>
      <c r="B2711" s="6" t="s">
        <v>5492</v>
      </c>
      <c r="C2711" s="6" t="s">
        <v>18</v>
      </c>
      <c r="D2711" s="7" t="s">
        <v>231</v>
      </c>
      <c r="E2711" s="7" t="s">
        <v>39</v>
      </c>
      <c r="F2711" s="6" t="s">
        <v>21</v>
      </c>
      <c r="G2711" s="8">
        <v>42489</v>
      </c>
      <c r="H2711" s="8">
        <v>22549</v>
      </c>
      <c r="I2711" s="8">
        <v>17917</v>
      </c>
      <c r="J2711" s="8">
        <v>1748</v>
      </c>
      <c r="K2711" s="8">
        <v>114</v>
      </c>
      <c r="L2711" s="8">
        <v>241</v>
      </c>
      <c r="M2711" s="8">
        <v>272</v>
      </c>
      <c r="N2711" s="8">
        <v>711</v>
      </c>
      <c r="O2711" s="9">
        <f t="shared" si="42"/>
        <v>0.13255567338282079</v>
      </c>
      <c r="P2711" s="6" t="s">
        <v>22</v>
      </c>
    </row>
    <row r="2712" spans="1:16" x14ac:dyDescent="0.25">
      <c r="A2712" s="2" t="s">
        <v>5493</v>
      </c>
      <c r="B2712" s="2" t="s">
        <v>5494</v>
      </c>
      <c r="C2712" s="2" t="s">
        <v>76</v>
      </c>
      <c r="D2712" s="3" t="s">
        <v>77</v>
      </c>
      <c r="E2712" s="3" t="s">
        <v>39</v>
      </c>
      <c r="F2712" s="2" t="s">
        <v>155</v>
      </c>
      <c r="G2712" s="4">
        <v>847986</v>
      </c>
      <c r="H2712" s="4">
        <v>311343</v>
      </c>
      <c r="I2712" s="4">
        <v>250196</v>
      </c>
      <c r="J2712" s="4">
        <v>21357</v>
      </c>
      <c r="K2712" s="4">
        <v>3305</v>
      </c>
      <c r="L2712" s="4">
        <v>2426</v>
      </c>
      <c r="M2712" s="4">
        <v>4170</v>
      </c>
      <c r="N2712" s="4">
        <v>7677</v>
      </c>
      <c r="O2712" s="5">
        <f t="shared" si="42"/>
        <v>0.12493405170346449</v>
      </c>
      <c r="P2712" s="2" t="s">
        <v>22</v>
      </c>
    </row>
    <row r="2713" spans="1:16" x14ac:dyDescent="0.25">
      <c r="A2713" s="6" t="s">
        <v>5495</v>
      </c>
      <c r="B2713" s="6" t="s">
        <v>5496</v>
      </c>
      <c r="C2713" s="6" t="s">
        <v>18</v>
      </c>
      <c r="D2713" s="7" t="s">
        <v>57</v>
      </c>
      <c r="E2713" s="7" t="s">
        <v>45</v>
      </c>
      <c r="F2713" s="6" t="s">
        <v>73</v>
      </c>
      <c r="G2713" s="8">
        <v>451879</v>
      </c>
      <c r="H2713" s="8">
        <v>175071</v>
      </c>
      <c r="I2713" s="8">
        <v>140056</v>
      </c>
      <c r="J2713" s="8">
        <v>7331</v>
      </c>
      <c r="K2713" s="8">
        <v>871</v>
      </c>
      <c r="L2713" s="8">
        <v>991</v>
      </c>
      <c r="M2713" s="8">
        <v>1547</v>
      </c>
      <c r="N2713" s="8">
        <v>2056</v>
      </c>
      <c r="O2713" s="9">
        <f t="shared" si="42"/>
        <v>7.6683612269377963E-2</v>
      </c>
      <c r="P2713" s="6" t="s">
        <v>29</v>
      </c>
    </row>
    <row r="2714" spans="1:16" x14ac:dyDescent="0.25">
      <c r="A2714" s="2" t="s">
        <v>5497</v>
      </c>
      <c r="B2714" s="2" t="s">
        <v>5498</v>
      </c>
      <c r="C2714" s="2" t="s">
        <v>43</v>
      </c>
      <c r="D2714" s="3" t="s">
        <v>110</v>
      </c>
      <c r="E2714" s="3" t="s">
        <v>39</v>
      </c>
      <c r="F2714" s="2" t="s">
        <v>107</v>
      </c>
      <c r="G2714" s="4">
        <v>89654</v>
      </c>
      <c r="H2714" s="4">
        <v>8231</v>
      </c>
      <c r="I2714" s="4">
        <v>7139</v>
      </c>
      <c r="J2714" s="4">
        <v>518</v>
      </c>
      <c r="K2714" s="4">
        <v>60</v>
      </c>
      <c r="L2714" s="4">
        <v>52</v>
      </c>
      <c r="M2714" s="4">
        <v>47</v>
      </c>
      <c r="N2714" s="4">
        <v>244</v>
      </c>
      <c r="O2714" s="5">
        <f t="shared" si="42"/>
        <v>9.4831208852780499E-2</v>
      </c>
      <c r="P2714" s="2" t="s">
        <v>22</v>
      </c>
    </row>
    <row r="2715" spans="1:16" x14ac:dyDescent="0.25">
      <c r="A2715" s="6" t="s">
        <v>5499</v>
      </c>
      <c r="B2715" s="6" t="s">
        <v>5500</v>
      </c>
      <c r="C2715" s="6" t="s">
        <v>32</v>
      </c>
      <c r="D2715" s="7" t="s">
        <v>38</v>
      </c>
      <c r="E2715" s="7" t="s">
        <v>20</v>
      </c>
      <c r="F2715" s="6" t="s">
        <v>51</v>
      </c>
      <c r="G2715" s="8">
        <v>810860</v>
      </c>
      <c r="H2715" s="8">
        <v>66929</v>
      </c>
      <c r="I2715" s="8">
        <v>59210</v>
      </c>
      <c r="J2715" s="8">
        <v>2116</v>
      </c>
      <c r="K2715" s="8">
        <v>341</v>
      </c>
      <c r="L2715" s="8">
        <v>49</v>
      </c>
      <c r="M2715" s="8">
        <v>39</v>
      </c>
      <c r="N2715" s="8">
        <v>1976</v>
      </c>
      <c r="O2715" s="9">
        <f t="shared" si="42"/>
        <v>4.2982604289815908E-2</v>
      </c>
      <c r="P2715" s="6" t="s">
        <v>22</v>
      </c>
    </row>
    <row r="2716" spans="1:16" x14ac:dyDescent="0.25">
      <c r="A2716" s="2" t="s">
        <v>5501</v>
      </c>
      <c r="B2716" s="2" t="s">
        <v>5502</v>
      </c>
      <c r="C2716" s="2" t="s">
        <v>76</v>
      </c>
      <c r="D2716" s="3" t="s">
        <v>77</v>
      </c>
      <c r="E2716" s="3" t="s">
        <v>20</v>
      </c>
      <c r="F2716" s="2" t="s">
        <v>104</v>
      </c>
      <c r="G2716" s="4">
        <v>809121</v>
      </c>
      <c r="H2716" s="4">
        <v>220408</v>
      </c>
      <c r="I2716" s="4">
        <v>171122</v>
      </c>
      <c r="J2716" s="4">
        <v>15152</v>
      </c>
      <c r="K2716" s="4">
        <v>2217</v>
      </c>
      <c r="L2716" s="4">
        <v>1158</v>
      </c>
      <c r="M2716" s="4">
        <v>1638</v>
      </c>
      <c r="N2716" s="4">
        <v>5806</v>
      </c>
      <c r="O2716" s="5">
        <f t="shared" si="42"/>
        <v>0.11783990369444022</v>
      </c>
      <c r="P2716" s="2" t="s">
        <v>66</v>
      </c>
    </row>
    <row r="2717" spans="1:16" x14ac:dyDescent="0.25">
      <c r="A2717" s="6" t="s">
        <v>5503</v>
      </c>
      <c r="B2717" s="6" t="s">
        <v>5504</v>
      </c>
      <c r="C2717" s="6" t="s">
        <v>76</v>
      </c>
      <c r="D2717" s="7" t="s">
        <v>77</v>
      </c>
      <c r="E2717" s="7" t="s">
        <v>39</v>
      </c>
      <c r="F2717" s="6" t="s">
        <v>155</v>
      </c>
      <c r="G2717" s="8">
        <v>667984</v>
      </c>
      <c r="H2717" s="8">
        <v>126717</v>
      </c>
      <c r="I2717" s="8">
        <v>98430</v>
      </c>
      <c r="J2717" s="8">
        <v>3780</v>
      </c>
      <c r="K2717" s="8">
        <v>382</v>
      </c>
      <c r="L2717" s="8">
        <v>546</v>
      </c>
      <c r="M2717" s="8">
        <v>931</v>
      </c>
      <c r="N2717" s="8">
        <v>4270</v>
      </c>
      <c r="O2717" s="9">
        <f t="shared" si="42"/>
        <v>5.7289444275119374E-2</v>
      </c>
      <c r="P2717" s="6" t="s">
        <v>29</v>
      </c>
    </row>
    <row r="2718" spans="1:16" x14ac:dyDescent="0.25">
      <c r="A2718" s="2" t="s">
        <v>5505</v>
      </c>
      <c r="B2718" s="2" t="s">
        <v>5506</v>
      </c>
      <c r="C2718" s="2" t="s">
        <v>76</v>
      </c>
      <c r="D2718" s="3" t="s">
        <v>103</v>
      </c>
      <c r="E2718" s="3" t="s">
        <v>27</v>
      </c>
      <c r="F2718" s="2" t="s">
        <v>87</v>
      </c>
      <c r="G2718" s="4">
        <v>563767</v>
      </c>
      <c r="H2718" s="4">
        <v>210763</v>
      </c>
      <c r="I2718" s="4">
        <v>188362</v>
      </c>
      <c r="J2718" s="4">
        <v>5215</v>
      </c>
      <c r="K2718" s="4">
        <v>286</v>
      </c>
      <c r="L2718" s="4">
        <v>353</v>
      </c>
      <c r="M2718" s="4">
        <v>282</v>
      </c>
      <c r="N2718" s="4">
        <v>2979</v>
      </c>
      <c r="O2718" s="5">
        <f t="shared" si="42"/>
        <v>3.2575572567715358E-2</v>
      </c>
      <c r="P2718" s="2" t="s">
        <v>29</v>
      </c>
    </row>
    <row r="2719" spans="1:16" x14ac:dyDescent="0.25">
      <c r="A2719" s="6" t="s">
        <v>5507</v>
      </c>
      <c r="B2719" s="6" t="s">
        <v>5508</v>
      </c>
      <c r="C2719" s="6" t="s">
        <v>32</v>
      </c>
      <c r="D2719" s="7" t="s">
        <v>121</v>
      </c>
      <c r="E2719" s="7" t="s">
        <v>20</v>
      </c>
      <c r="F2719" s="6" t="s">
        <v>128</v>
      </c>
      <c r="G2719" s="8">
        <v>107277</v>
      </c>
      <c r="H2719" s="8">
        <v>15126</v>
      </c>
      <c r="I2719" s="8">
        <v>12307</v>
      </c>
      <c r="J2719" s="8">
        <v>303</v>
      </c>
      <c r="K2719" s="8">
        <v>33</v>
      </c>
      <c r="L2719" s="8">
        <v>9</v>
      </c>
      <c r="M2719" s="8">
        <v>42</v>
      </c>
      <c r="N2719" s="8">
        <v>471</v>
      </c>
      <c r="O2719" s="9">
        <f t="shared" si="42"/>
        <v>3.1445518810433087E-2</v>
      </c>
      <c r="P2719" s="6" t="s">
        <v>66</v>
      </c>
    </row>
    <row r="2720" spans="1:16" x14ac:dyDescent="0.25">
      <c r="A2720" s="2" t="s">
        <v>5509</v>
      </c>
      <c r="B2720" s="2" t="s">
        <v>5510</v>
      </c>
      <c r="C2720" s="2" t="s">
        <v>18</v>
      </c>
      <c r="D2720" s="3" t="s">
        <v>19</v>
      </c>
      <c r="E2720" s="3" t="s">
        <v>34</v>
      </c>
      <c r="F2720" s="2" t="s">
        <v>58</v>
      </c>
      <c r="G2720" s="4">
        <v>162136</v>
      </c>
      <c r="H2720" s="4">
        <v>57700</v>
      </c>
      <c r="I2720" s="4">
        <v>48684</v>
      </c>
      <c r="J2720" s="4">
        <v>1550</v>
      </c>
      <c r="K2720" s="4">
        <v>49</v>
      </c>
      <c r="L2720" s="4">
        <v>185</v>
      </c>
      <c r="M2720" s="4">
        <v>367</v>
      </c>
      <c r="N2720" s="4">
        <v>1213</v>
      </c>
      <c r="O2720" s="5">
        <f t="shared" si="42"/>
        <v>4.4182893763864924E-2</v>
      </c>
      <c r="P2720" s="2" t="s">
        <v>22</v>
      </c>
    </row>
    <row r="2721" spans="1:16" x14ac:dyDescent="0.25">
      <c r="A2721" s="6" t="s">
        <v>5511</v>
      </c>
      <c r="B2721" s="6" t="s">
        <v>5512</v>
      </c>
      <c r="C2721" s="6" t="s">
        <v>18</v>
      </c>
      <c r="D2721" s="7" t="s">
        <v>226</v>
      </c>
      <c r="E2721" s="7" t="s">
        <v>50</v>
      </c>
      <c r="F2721" s="6" t="s">
        <v>58</v>
      </c>
      <c r="G2721" s="8">
        <v>249155</v>
      </c>
      <c r="H2721" s="8">
        <v>106120</v>
      </c>
      <c r="I2721" s="8">
        <v>84269</v>
      </c>
      <c r="J2721" s="8">
        <v>5747</v>
      </c>
      <c r="K2721" s="8">
        <v>337</v>
      </c>
      <c r="L2721" s="8">
        <v>463</v>
      </c>
      <c r="M2721" s="8">
        <v>1410</v>
      </c>
      <c r="N2721" s="8">
        <v>1621</v>
      </c>
      <c r="O2721" s="9">
        <f t="shared" si="42"/>
        <v>9.442380946730114E-2</v>
      </c>
      <c r="P2721" s="6" t="s">
        <v>22</v>
      </c>
    </row>
    <row r="2722" spans="1:16" x14ac:dyDescent="0.25">
      <c r="A2722" s="2" t="s">
        <v>5513</v>
      </c>
      <c r="B2722" s="2" t="s">
        <v>5514</v>
      </c>
      <c r="C2722" s="2" t="s">
        <v>43</v>
      </c>
      <c r="D2722" s="3" t="s">
        <v>69</v>
      </c>
      <c r="E2722" s="3" t="s">
        <v>45</v>
      </c>
      <c r="F2722" s="2" t="s">
        <v>46</v>
      </c>
      <c r="G2722" s="4">
        <v>792492</v>
      </c>
      <c r="H2722" s="4">
        <v>438159</v>
      </c>
      <c r="I2722" s="4">
        <v>315236</v>
      </c>
      <c r="J2722" s="4">
        <v>25233</v>
      </c>
      <c r="K2722" s="4">
        <v>2217</v>
      </c>
      <c r="L2722" s="4">
        <v>1241</v>
      </c>
      <c r="M2722" s="4">
        <v>10</v>
      </c>
      <c r="N2722" s="4">
        <v>14995</v>
      </c>
      <c r="O2722" s="5">
        <f t="shared" si="42"/>
        <v>9.1046073418010631E-2</v>
      </c>
      <c r="P2722" s="2" t="s">
        <v>29</v>
      </c>
    </row>
    <row r="2723" spans="1:16" x14ac:dyDescent="0.25">
      <c r="A2723" s="6" t="s">
        <v>5515</v>
      </c>
      <c r="B2723" s="6" t="s">
        <v>5516</v>
      </c>
      <c r="C2723" s="6" t="s">
        <v>76</v>
      </c>
      <c r="D2723" s="7" t="s">
        <v>77</v>
      </c>
      <c r="E2723" s="7" t="s">
        <v>50</v>
      </c>
      <c r="F2723" s="6" t="s">
        <v>87</v>
      </c>
      <c r="G2723" s="8">
        <v>647410</v>
      </c>
      <c r="H2723" s="8">
        <v>290359</v>
      </c>
      <c r="I2723" s="8">
        <v>246617</v>
      </c>
      <c r="J2723" s="8">
        <v>19675</v>
      </c>
      <c r="K2723" s="8">
        <v>2982</v>
      </c>
      <c r="L2723" s="8">
        <v>1291</v>
      </c>
      <c r="M2723" s="8">
        <v>4901</v>
      </c>
      <c r="N2723" s="8">
        <v>2301</v>
      </c>
      <c r="O2723" s="9">
        <f t="shared" si="42"/>
        <v>0.1169789592769355</v>
      </c>
      <c r="P2723" s="6" t="s">
        <v>29</v>
      </c>
    </row>
    <row r="2724" spans="1:16" x14ac:dyDescent="0.25">
      <c r="A2724" s="2" t="s">
        <v>5517</v>
      </c>
      <c r="B2724" s="2" t="s">
        <v>5518</v>
      </c>
      <c r="C2724" s="2" t="s">
        <v>25</v>
      </c>
      <c r="D2724" s="3" t="s">
        <v>64</v>
      </c>
      <c r="E2724" s="3" t="s">
        <v>20</v>
      </c>
      <c r="F2724" s="2" t="s">
        <v>54</v>
      </c>
      <c r="G2724" s="4">
        <v>684598</v>
      </c>
      <c r="H2724" s="4">
        <v>410214</v>
      </c>
      <c r="I2724" s="4">
        <v>317544</v>
      </c>
      <c r="J2724" s="4">
        <v>22750</v>
      </c>
      <c r="K2724" s="4">
        <v>939</v>
      </c>
      <c r="L2724" s="4">
        <v>725</v>
      </c>
      <c r="M2724" s="4">
        <v>4043</v>
      </c>
      <c r="N2724" s="4">
        <v>9957</v>
      </c>
      <c r="O2724" s="5">
        <f t="shared" si="42"/>
        <v>8.9615927241579116E-2</v>
      </c>
      <c r="P2724" s="2" t="s">
        <v>66</v>
      </c>
    </row>
    <row r="2725" spans="1:16" x14ac:dyDescent="0.25">
      <c r="A2725" s="6" t="s">
        <v>5519</v>
      </c>
      <c r="B2725" s="6" t="s">
        <v>5520</v>
      </c>
      <c r="C2725" s="6" t="s">
        <v>25</v>
      </c>
      <c r="D2725" s="7" t="s">
        <v>64</v>
      </c>
      <c r="E2725" s="7" t="s">
        <v>27</v>
      </c>
      <c r="F2725" s="6" t="s">
        <v>28</v>
      </c>
      <c r="G2725" s="8">
        <v>98576</v>
      </c>
      <c r="H2725" s="8">
        <v>59807</v>
      </c>
      <c r="I2725" s="8">
        <v>52605</v>
      </c>
      <c r="J2725" s="8">
        <v>3648</v>
      </c>
      <c r="K2725" s="8">
        <v>606</v>
      </c>
      <c r="L2725" s="8">
        <v>440</v>
      </c>
      <c r="M2725" s="8">
        <v>499</v>
      </c>
      <c r="N2725" s="8">
        <v>1281</v>
      </c>
      <c r="O2725" s="9">
        <f t="shared" si="42"/>
        <v>9.8716852010265185E-2</v>
      </c>
      <c r="P2725" s="6" t="s">
        <v>29</v>
      </c>
    </row>
    <row r="2726" spans="1:16" x14ac:dyDescent="0.25">
      <c r="A2726" s="2" t="s">
        <v>5521</v>
      </c>
      <c r="B2726" s="2" t="s">
        <v>5522</v>
      </c>
      <c r="C2726" s="2" t="s">
        <v>32</v>
      </c>
      <c r="D2726" s="3" t="s">
        <v>121</v>
      </c>
      <c r="E2726" s="3" t="s">
        <v>34</v>
      </c>
      <c r="F2726" s="2" t="s">
        <v>51</v>
      </c>
      <c r="G2726" s="4">
        <v>30509</v>
      </c>
      <c r="H2726" s="4">
        <v>12452</v>
      </c>
      <c r="I2726" s="4">
        <v>9678</v>
      </c>
      <c r="J2726" s="4">
        <v>311</v>
      </c>
      <c r="K2726" s="4">
        <v>33</v>
      </c>
      <c r="L2726" s="4">
        <v>16</v>
      </c>
      <c r="M2726" s="4">
        <v>12</v>
      </c>
      <c r="N2726" s="4">
        <v>164</v>
      </c>
      <c r="O2726" s="5">
        <f t="shared" si="42"/>
        <v>3.8437693738375696E-2</v>
      </c>
      <c r="P2726" s="2" t="s">
        <v>22</v>
      </c>
    </row>
    <row r="2727" spans="1:16" x14ac:dyDescent="0.25">
      <c r="A2727" s="6" t="s">
        <v>5523</v>
      </c>
      <c r="B2727" s="6" t="s">
        <v>5524</v>
      </c>
      <c r="C2727" s="6" t="s">
        <v>43</v>
      </c>
      <c r="D2727" s="7" t="s">
        <v>81</v>
      </c>
      <c r="E2727" s="7" t="s">
        <v>45</v>
      </c>
      <c r="F2727" s="6" t="s">
        <v>107</v>
      </c>
      <c r="G2727" s="8">
        <v>525502</v>
      </c>
      <c r="H2727" s="8">
        <v>230447</v>
      </c>
      <c r="I2727" s="8">
        <v>210285</v>
      </c>
      <c r="J2727" s="8">
        <v>8049</v>
      </c>
      <c r="K2727" s="8">
        <v>829</v>
      </c>
      <c r="L2727" s="8">
        <v>469</v>
      </c>
      <c r="M2727" s="8">
        <v>44</v>
      </c>
      <c r="N2727" s="8">
        <v>2953</v>
      </c>
      <c r="O2727" s="9">
        <f t="shared" si="42"/>
        <v>4.4658439736548018E-2</v>
      </c>
      <c r="P2727" s="6" t="s">
        <v>29</v>
      </c>
    </row>
    <row r="2728" spans="1:16" x14ac:dyDescent="0.25">
      <c r="A2728" s="2" t="s">
        <v>5525</v>
      </c>
      <c r="B2728" s="2" t="s">
        <v>5526</v>
      </c>
      <c r="C2728" s="2" t="s">
        <v>43</v>
      </c>
      <c r="D2728" s="3" t="s">
        <v>69</v>
      </c>
      <c r="E2728" s="3" t="s">
        <v>45</v>
      </c>
      <c r="F2728" s="2" t="s">
        <v>46</v>
      </c>
      <c r="G2728" s="4">
        <v>255640</v>
      </c>
      <c r="H2728" s="4">
        <v>851752</v>
      </c>
      <c r="I2728" s="4">
        <v>652708</v>
      </c>
      <c r="J2728" s="4">
        <v>47836</v>
      </c>
      <c r="K2728" s="4">
        <v>2877</v>
      </c>
      <c r="L2728" s="4">
        <v>3387</v>
      </c>
      <c r="M2728" s="4">
        <v>15</v>
      </c>
      <c r="N2728" s="4">
        <v>22895</v>
      </c>
      <c r="O2728" s="5">
        <f t="shared" si="42"/>
        <v>8.2908436850781669E-2</v>
      </c>
      <c r="P2728" s="2" t="s">
        <v>22</v>
      </c>
    </row>
    <row r="2729" spans="1:16" x14ac:dyDescent="0.25">
      <c r="A2729" s="6" t="s">
        <v>5527</v>
      </c>
      <c r="B2729" s="6" t="s">
        <v>5528</v>
      </c>
      <c r="C2729" s="6" t="s">
        <v>25</v>
      </c>
      <c r="D2729" s="7" t="s">
        <v>61</v>
      </c>
      <c r="E2729" s="7" t="s">
        <v>50</v>
      </c>
      <c r="F2729" s="6" t="s">
        <v>54</v>
      </c>
      <c r="G2729" s="8">
        <v>443557</v>
      </c>
      <c r="H2729" s="8">
        <v>177106</v>
      </c>
      <c r="I2729" s="8">
        <v>125552</v>
      </c>
      <c r="J2729" s="8">
        <v>6859</v>
      </c>
      <c r="K2729" s="8">
        <v>478</v>
      </c>
      <c r="L2729" s="8">
        <v>841</v>
      </c>
      <c r="M2729" s="8">
        <v>860</v>
      </c>
      <c r="N2729" s="8">
        <v>3213</v>
      </c>
      <c r="O2729" s="9">
        <f t="shared" si="42"/>
        <v>7.198610934114949E-2</v>
      </c>
      <c r="P2729" s="6" t="s">
        <v>66</v>
      </c>
    </row>
    <row r="2730" spans="1:16" x14ac:dyDescent="0.25">
      <c r="A2730" s="2" t="s">
        <v>5529</v>
      </c>
      <c r="B2730" s="2" t="s">
        <v>5530</v>
      </c>
      <c r="C2730" s="2" t="s">
        <v>25</v>
      </c>
      <c r="D2730" s="3" t="s">
        <v>244</v>
      </c>
      <c r="E2730" s="3" t="s">
        <v>27</v>
      </c>
      <c r="F2730" s="2" t="s">
        <v>54</v>
      </c>
      <c r="G2730" s="4">
        <v>139480</v>
      </c>
      <c r="H2730" s="4">
        <v>86765</v>
      </c>
      <c r="I2730" s="4">
        <v>78135</v>
      </c>
      <c r="J2730" s="4">
        <v>3783</v>
      </c>
      <c r="K2730" s="4">
        <v>341</v>
      </c>
      <c r="L2730" s="4">
        <v>206</v>
      </c>
      <c r="M2730" s="4">
        <v>382</v>
      </c>
      <c r="N2730" s="4">
        <v>705</v>
      </c>
      <c r="O2730" s="5">
        <f t="shared" si="42"/>
        <v>6.0305880847251553E-2</v>
      </c>
      <c r="P2730" s="2" t="s">
        <v>22</v>
      </c>
    </row>
    <row r="2731" spans="1:16" x14ac:dyDescent="0.25">
      <c r="A2731" s="6" t="s">
        <v>5531</v>
      </c>
      <c r="B2731" s="6" t="s">
        <v>5532</v>
      </c>
      <c r="C2731" s="6" t="s">
        <v>32</v>
      </c>
      <c r="D2731" s="7" t="s">
        <v>121</v>
      </c>
      <c r="E2731" s="7" t="s">
        <v>50</v>
      </c>
      <c r="F2731" s="6" t="s">
        <v>51</v>
      </c>
      <c r="G2731" s="8">
        <v>809019</v>
      </c>
      <c r="H2731" s="8">
        <v>249609</v>
      </c>
      <c r="I2731" s="8">
        <v>196753</v>
      </c>
      <c r="J2731" s="8">
        <v>16947</v>
      </c>
      <c r="K2731" s="8">
        <v>2898</v>
      </c>
      <c r="L2731" s="8">
        <v>591</v>
      </c>
      <c r="M2731" s="8">
        <v>37</v>
      </c>
      <c r="N2731" s="8">
        <v>2580</v>
      </c>
      <c r="O2731" s="9">
        <f t="shared" si="42"/>
        <v>0.10405432191631131</v>
      </c>
      <c r="P2731" s="6" t="s">
        <v>22</v>
      </c>
    </row>
    <row r="2732" spans="1:16" x14ac:dyDescent="0.25">
      <c r="A2732" s="2" t="s">
        <v>5533</v>
      </c>
      <c r="B2732" s="2" t="s">
        <v>5534</v>
      </c>
      <c r="C2732" s="2" t="s">
        <v>18</v>
      </c>
      <c r="D2732" s="3" t="s">
        <v>19</v>
      </c>
      <c r="E2732" s="3" t="s">
        <v>45</v>
      </c>
      <c r="F2732" s="2" t="s">
        <v>73</v>
      </c>
      <c r="G2732" s="4">
        <v>314002</v>
      </c>
      <c r="H2732" s="4">
        <v>140097</v>
      </c>
      <c r="I2732" s="4">
        <v>120003</v>
      </c>
      <c r="J2732" s="4">
        <v>9812</v>
      </c>
      <c r="K2732" s="4">
        <v>304</v>
      </c>
      <c r="L2732" s="4">
        <v>225</v>
      </c>
      <c r="M2732" s="4">
        <v>2071</v>
      </c>
      <c r="N2732" s="4">
        <v>2548</v>
      </c>
      <c r="O2732" s="5">
        <f t="shared" si="42"/>
        <v>0.10343074756464422</v>
      </c>
      <c r="P2732" s="2" t="s">
        <v>29</v>
      </c>
    </row>
    <row r="2733" spans="1:16" x14ac:dyDescent="0.25">
      <c r="A2733" s="6" t="s">
        <v>5535</v>
      </c>
      <c r="B2733" s="6" t="s">
        <v>5536</v>
      </c>
      <c r="C2733" s="6" t="s">
        <v>32</v>
      </c>
      <c r="D2733" s="7" t="s">
        <v>121</v>
      </c>
      <c r="E2733" s="7" t="s">
        <v>50</v>
      </c>
      <c r="F2733" s="6" t="s">
        <v>35</v>
      </c>
      <c r="G2733" s="8">
        <v>545302</v>
      </c>
      <c r="H2733" s="8">
        <v>113821</v>
      </c>
      <c r="I2733" s="8">
        <v>85927</v>
      </c>
      <c r="J2733" s="8">
        <v>3497</v>
      </c>
      <c r="K2733" s="8">
        <v>333</v>
      </c>
      <c r="L2733" s="8">
        <v>295</v>
      </c>
      <c r="M2733" s="8">
        <v>49</v>
      </c>
      <c r="N2733" s="8">
        <v>1371</v>
      </c>
      <c r="O2733" s="9">
        <f t="shared" si="42"/>
        <v>4.8576116936469328E-2</v>
      </c>
      <c r="P2733" s="6" t="s">
        <v>22</v>
      </c>
    </row>
    <row r="2734" spans="1:16" x14ac:dyDescent="0.25">
      <c r="A2734" s="2" t="s">
        <v>5537</v>
      </c>
      <c r="B2734" s="2" t="s">
        <v>5538</v>
      </c>
      <c r="C2734" s="2" t="s">
        <v>25</v>
      </c>
      <c r="D2734" s="3" t="s">
        <v>244</v>
      </c>
      <c r="E2734" s="3" t="s">
        <v>50</v>
      </c>
      <c r="F2734" s="2" t="s">
        <v>146</v>
      </c>
      <c r="G2734" s="4">
        <v>303375</v>
      </c>
      <c r="H2734" s="4">
        <v>163209</v>
      </c>
      <c r="I2734" s="4">
        <v>133518</v>
      </c>
      <c r="J2734" s="4">
        <v>7052</v>
      </c>
      <c r="K2734" s="4">
        <v>227</v>
      </c>
      <c r="L2734" s="4">
        <v>314</v>
      </c>
      <c r="M2734" s="4">
        <v>866</v>
      </c>
      <c r="N2734" s="4">
        <v>2031</v>
      </c>
      <c r="O2734" s="5">
        <f t="shared" si="42"/>
        <v>6.3354753666172353E-2</v>
      </c>
      <c r="P2734" s="2" t="s">
        <v>22</v>
      </c>
    </row>
    <row r="2735" spans="1:16" x14ac:dyDescent="0.25">
      <c r="A2735" s="6" t="s">
        <v>5539</v>
      </c>
      <c r="B2735" s="6" t="s">
        <v>5540</v>
      </c>
      <c r="C2735" s="6" t="s">
        <v>18</v>
      </c>
      <c r="D2735" s="7" t="s">
        <v>57</v>
      </c>
      <c r="E2735" s="7" t="s">
        <v>34</v>
      </c>
      <c r="F2735" s="6" t="s">
        <v>58</v>
      </c>
      <c r="G2735" s="8">
        <v>106001</v>
      </c>
      <c r="H2735" s="8">
        <v>54740</v>
      </c>
      <c r="I2735" s="8">
        <v>39633</v>
      </c>
      <c r="J2735" s="8">
        <v>3243</v>
      </c>
      <c r="K2735" s="8">
        <v>239</v>
      </c>
      <c r="L2735" s="8">
        <v>391</v>
      </c>
      <c r="M2735" s="8">
        <v>722</v>
      </c>
      <c r="N2735" s="8">
        <v>1206</v>
      </c>
      <c r="O2735" s="9">
        <f t="shared" si="42"/>
        <v>0.11593873792041985</v>
      </c>
      <c r="P2735" s="6" t="s">
        <v>29</v>
      </c>
    </row>
    <row r="2736" spans="1:16" x14ac:dyDescent="0.25">
      <c r="A2736" s="2" t="s">
        <v>5541</v>
      </c>
      <c r="B2736" s="2" t="s">
        <v>5542</v>
      </c>
      <c r="C2736" s="2" t="s">
        <v>43</v>
      </c>
      <c r="D2736" s="3" t="s">
        <v>172</v>
      </c>
      <c r="E2736" s="3" t="s">
        <v>45</v>
      </c>
      <c r="F2736" s="2" t="s">
        <v>70</v>
      </c>
      <c r="G2736" s="4">
        <v>846609</v>
      </c>
      <c r="H2736" s="4">
        <v>188563</v>
      </c>
      <c r="I2736" s="4">
        <v>172782</v>
      </c>
      <c r="J2736" s="4">
        <v>11804</v>
      </c>
      <c r="K2736" s="4">
        <v>1547</v>
      </c>
      <c r="L2736" s="4">
        <v>442</v>
      </c>
      <c r="M2736" s="4">
        <v>30</v>
      </c>
      <c r="N2736" s="4">
        <v>1358</v>
      </c>
      <c r="O2736" s="5">
        <f t="shared" si="42"/>
        <v>8.0002546561563123E-2</v>
      </c>
      <c r="P2736" s="2" t="s">
        <v>66</v>
      </c>
    </row>
    <row r="2737" spans="1:16" x14ac:dyDescent="0.25">
      <c r="A2737" s="6" t="s">
        <v>5543</v>
      </c>
      <c r="B2737" s="6" t="s">
        <v>5544</v>
      </c>
      <c r="C2737" s="6" t="s">
        <v>18</v>
      </c>
      <c r="D2737" s="7" t="s">
        <v>57</v>
      </c>
      <c r="E2737" s="7" t="s">
        <v>45</v>
      </c>
      <c r="F2737" s="6" t="s">
        <v>73</v>
      </c>
      <c r="G2737" s="8">
        <v>357022</v>
      </c>
      <c r="H2737" s="8">
        <v>198242</v>
      </c>
      <c r="I2737" s="8">
        <v>175102</v>
      </c>
      <c r="J2737" s="8">
        <v>5108</v>
      </c>
      <c r="K2737" s="8">
        <v>498</v>
      </c>
      <c r="L2737" s="8">
        <v>282</v>
      </c>
      <c r="M2737" s="8">
        <v>837</v>
      </c>
      <c r="N2737" s="8">
        <v>6604</v>
      </c>
      <c r="O2737" s="9">
        <f t="shared" si="42"/>
        <v>3.840618610866809E-2</v>
      </c>
      <c r="P2737" s="6" t="s">
        <v>22</v>
      </c>
    </row>
    <row r="2738" spans="1:16" x14ac:dyDescent="0.25">
      <c r="A2738" s="2" t="s">
        <v>5545</v>
      </c>
      <c r="B2738" s="2" t="s">
        <v>5546</v>
      </c>
      <c r="C2738" s="2" t="s">
        <v>76</v>
      </c>
      <c r="D2738" s="3" t="s">
        <v>189</v>
      </c>
      <c r="E2738" s="3" t="s">
        <v>27</v>
      </c>
      <c r="F2738" s="2" t="s">
        <v>155</v>
      </c>
      <c r="G2738" s="4">
        <v>177165</v>
      </c>
      <c r="H2738" s="4">
        <v>18689</v>
      </c>
      <c r="I2738" s="4">
        <v>14157</v>
      </c>
      <c r="J2738" s="4">
        <v>482</v>
      </c>
      <c r="K2738" s="4">
        <v>59</v>
      </c>
      <c r="L2738" s="4">
        <v>34</v>
      </c>
      <c r="M2738" s="4">
        <v>77</v>
      </c>
      <c r="N2738" s="4">
        <v>259</v>
      </c>
      <c r="O2738" s="5">
        <f t="shared" si="42"/>
        <v>4.6054955145864239E-2</v>
      </c>
      <c r="P2738" s="2" t="s">
        <v>22</v>
      </c>
    </row>
    <row r="2739" spans="1:16" x14ac:dyDescent="0.25">
      <c r="A2739" s="6" t="s">
        <v>5547</v>
      </c>
      <c r="B2739" s="6" t="s">
        <v>5548</v>
      </c>
      <c r="C2739" s="6" t="s">
        <v>18</v>
      </c>
      <c r="D2739" s="7" t="s">
        <v>231</v>
      </c>
      <c r="E2739" s="7" t="s">
        <v>20</v>
      </c>
      <c r="F2739" s="6" t="s">
        <v>58</v>
      </c>
      <c r="G2739" s="8">
        <v>673541</v>
      </c>
      <c r="H2739" s="8">
        <v>227669</v>
      </c>
      <c r="I2739" s="8">
        <v>185647</v>
      </c>
      <c r="J2739" s="8">
        <v>17240</v>
      </c>
      <c r="K2739" s="8">
        <v>1132</v>
      </c>
      <c r="L2739" s="8">
        <v>2313</v>
      </c>
      <c r="M2739" s="8">
        <v>1966</v>
      </c>
      <c r="N2739" s="8">
        <v>2356</v>
      </c>
      <c r="O2739" s="9">
        <f t="shared" si="42"/>
        <v>0.12201112864737916</v>
      </c>
      <c r="P2739" s="6" t="s">
        <v>22</v>
      </c>
    </row>
    <row r="2740" spans="1:16" x14ac:dyDescent="0.25">
      <c r="A2740" s="2" t="s">
        <v>5549</v>
      </c>
      <c r="B2740" s="2" t="s">
        <v>5550</v>
      </c>
      <c r="C2740" s="2" t="s">
        <v>43</v>
      </c>
      <c r="D2740" s="3" t="s">
        <v>172</v>
      </c>
      <c r="E2740" s="3" t="s">
        <v>34</v>
      </c>
      <c r="F2740" s="2" t="s">
        <v>107</v>
      </c>
      <c r="G2740" s="4">
        <v>128459</v>
      </c>
      <c r="H2740" s="4">
        <v>66540</v>
      </c>
      <c r="I2740" s="4">
        <v>46775</v>
      </c>
      <c r="J2740" s="4">
        <v>4121</v>
      </c>
      <c r="K2740" s="4">
        <v>123</v>
      </c>
      <c r="L2740" s="4">
        <v>260</v>
      </c>
      <c r="M2740" s="4">
        <v>12</v>
      </c>
      <c r="N2740" s="4">
        <v>1243</v>
      </c>
      <c r="O2740" s="5">
        <f t="shared" si="42"/>
        <v>9.6547300908605027E-2</v>
      </c>
      <c r="P2740" s="2" t="s">
        <v>22</v>
      </c>
    </row>
    <row r="2741" spans="1:16" x14ac:dyDescent="0.25">
      <c r="A2741" s="6" t="s">
        <v>5551</v>
      </c>
      <c r="B2741" s="6" t="s">
        <v>5552</v>
      </c>
      <c r="C2741" s="6" t="s">
        <v>25</v>
      </c>
      <c r="D2741" s="7" t="s">
        <v>64</v>
      </c>
      <c r="E2741" s="7" t="s">
        <v>34</v>
      </c>
      <c r="F2741" s="6" t="s">
        <v>146</v>
      </c>
      <c r="G2741" s="8">
        <v>13070</v>
      </c>
      <c r="H2741" s="8">
        <v>1503</v>
      </c>
      <c r="I2741" s="8">
        <v>1072</v>
      </c>
      <c r="J2741" s="8">
        <v>98</v>
      </c>
      <c r="K2741" s="8">
        <v>11</v>
      </c>
      <c r="L2741" s="8">
        <v>4</v>
      </c>
      <c r="M2741" s="8">
        <v>8</v>
      </c>
      <c r="N2741" s="8">
        <v>46</v>
      </c>
      <c r="O2741" s="9">
        <f t="shared" si="42"/>
        <v>0.11287313432835822</v>
      </c>
      <c r="P2741" s="6" t="s">
        <v>22</v>
      </c>
    </row>
    <row r="2742" spans="1:16" x14ac:dyDescent="0.25">
      <c r="A2742" s="2" t="s">
        <v>5553</v>
      </c>
      <c r="B2742" s="2" t="s">
        <v>5554</v>
      </c>
      <c r="C2742" s="2" t="s">
        <v>76</v>
      </c>
      <c r="D2742" s="3" t="s">
        <v>103</v>
      </c>
      <c r="E2742" s="3" t="s">
        <v>50</v>
      </c>
      <c r="F2742" s="2" t="s">
        <v>87</v>
      </c>
      <c r="G2742" s="4">
        <v>367820</v>
      </c>
      <c r="H2742" s="4">
        <v>175519</v>
      </c>
      <c r="I2742" s="4">
        <v>161173</v>
      </c>
      <c r="J2742" s="4">
        <v>4137</v>
      </c>
      <c r="K2742" s="4">
        <v>125</v>
      </c>
      <c r="L2742" s="4">
        <v>501</v>
      </c>
      <c r="M2742" s="4">
        <v>947</v>
      </c>
      <c r="N2742" s="4">
        <v>3269</v>
      </c>
      <c r="O2742" s="5">
        <f t="shared" si="42"/>
        <v>3.5427770160014395E-2</v>
      </c>
      <c r="P2742" s="2" t="s">
        <v>22</v>
      </c>
    </row>
    <row r="2743" spans="1:16" x14ac:dyDescent="0.25">
      <c r="A2743" s="6" t="s">
        <v>5555</v>
      </c>
      <c r="B2743" s="6" t="s">
        <v>5556</v>
      </c>
      <c r="C2743" s="6" t="s">
        <v>43</v>
      </c>
      <c r="D2743" s="7" t="s">
        <v>110</v>
      </c>
      <c r="E2743" s="7" t="s">
        <v>20</v>
      </c>
      <c r="F2743" s="6" t="s">
        <v>107</v>
      </c>
      <c r="G2743" s="8">
        <v>588240</v>
      </c>
      <c r="H2743" s="8">
        <v>158422</v>
      </c>
      <c r="I2743" s="8">
        <v>140589</v>
      </c>
      <c r="J2743" s="8">
        <v>6080</v>
      </c>
      <c r="K2743" s="8">
        <v>335</v>
      </c>
      <c r="L2743" s="8">
        <v>818</v>
      </c>
      <c r="M2743" s="8">
        <v>12</v>
      </c>
      <c r="N2743" s="8">
        <v>3450</v>
      </c>
      <c r="O2743" s="9">
        <f t="shared" si="42"/>
        <v>5.1533192497279307E-2</v>
      </c>
      <c r="P2743" s="6" t="s">
        <v>29</v>
      </c>
    </row>
    <row r="2744" spans="1:16" x14ac:dyDescent="0.25">
      <c r="A2744" s="2" t="s">
        <v>5557</v>
      </c>
      <c r="B2744" s="2" t="s">
        <v>5558</v>
      </c>
      <c r="C2744" s="2" t="s">
        <v>18</v>
      </c>
      <c r="D2744" s="3" t="s">
        <v>92</v>
      </c>
      <c r="E2744" s="3" t="s">
        <v>50</v>
      </c>
      <c r="F2744" s="2" t="s">
        <v>58</v>
      </c>
      <c r="G2744" s="4">
        <v>641090</v>
      </c>
      <c r="H2744" s="4">
        <v>273965</v>
      </c>
      <c r="I2744" s="4">
        <v>238418</v>
      </c>
      <c r="J2744" s="4">
        <v>9255</v>
      </c>
      <c r="K2744" s="4">
        <v>610</v>
      </c>
      <c r="L2744" s="4">
        <v>622</v>
      </c>
      <c r="M2744" s="4">
        <v>1433</v>
      </c>
      <c r="N2744" s="4">
        <v>4233</v>
      </c>
      <c r="O2744" s="5">
        <f t="shared" si="42"/>
        <v>4.9996225117231084E-2</v>
      </c>
      <c r="P2744" s="2" t="s">
        <v>29</v>
      </c>
    </row>
    <row r="2745" spans="1:16" x14ac:dyDescent="0.25">
      <c r="A2745" s="6" t="s">
        <v>5559</v>
      </c>
      <c r="B2745" s="6" t="s">
        <v>5560</v>
      </c>
      <c r="C2745" s="6" t="s">
        <v>18</v>
      </c>
      <c r="D2745" s="7" t="s">
        <v>57</v>
      </c>
      <c r="E2745" s="7" t="s">
        <v>45</v>
      </c>
      <c r="F2745" s="6" t="s">
        <v>21</v>
      </c>
      <c r="G2745" s="8">
        <v>681599</v>
      </c>
      <c r="H2745" s="8">
        <v>291123</v>
      </c>
      <c r="I2745" s="8">
        <v>209015</v>
      </c>
      <c r="J2745" s="8">
        <v>16300</v>
      </c>
      <c r="K2745" s="8">
        <v>1345</v>
      </c>
      <c r="L2745" s="8">
        <v>2360</v>
      </c>
      <c r="M2745" s="8">
        <v>2624</v>
      </c>
      <c r="N2745" s="8">
        <v>4649</v>
      </c>
      <c r="O2745" s="9">
        <f t="shared" si="42"/>
        <v>0.10826495706049805</v>
      </c>
      <c r="P2745" s="6" t="s">
        <v>22</v>
      </c>
    </row>
    <row r="2746" spans="1:16" x14ac:dyDescent="0.25">
      <c r="A2746" s="2" t="s">
        <v>5561</v>
      </c>
      <c r="B2746" s="2" t="s">
        <v>5562</v>
      </c>
      <c r="C2746" s="2" t="s">
        <v>76</v>
      </c>
      <c r="D2746" s="3" t="s">
        <v>103</v>
      </c>
      <c r="E2746" s="3" t="s">
        <v>45</v>
      </c>
      <c r="F2746" s="2" t="s">
        <v>87</v>
      </c>
      <c r="G2746" s="4">
        <v>830343</v>
      </c>
      <c r="H2746" s="4">
        <v>472648</v>
      </c>
      <c r="I2746" s="4">
        <v>361804</v>
      </c>
      <c r="J2746" s="4">
        <v>21607</v>
      </c>
      <c r="K2746" s="4">
        <v>2483</v>
      </c>
      <c r="L2746" s="4">
        <v>2193</v>
      </c>
      <c r="M2746" s="4">
        <v>1758</v>
      </c>
      <c r="N2746" s="4">
        <v>2960</v>
      </c>
      <c r="O2746" s="5">
        <f t="shared" si="42"/>
        <v>7.7503289073642082E-2</v>
      </c>
      <c r="P2746" s="2" t="s">
        <v>22</v>
      </c>
    </row>
    <row r="2747" spans="1:16" x14ac:dyDescent="0.25">
      <c r="A2747" s="6" t="s">
        <v>5563</v>
      </c>
      <c r="B2747" s="6" t="s">
        <v>5564</v>
      </c>
      <c r="C2747" s="6" t="s">
        <v>76</v>
      </c>
      <c r="D2747" s="7" t="s">
        <v>103</v>
      </c>
      <c r="E2747" s="7" t="s">
        <v>50</v>
      </c>
      <c r="F2747" s="6" t="s">
        <v>78</v>
      </c>
      <c r="G2747" s="8">
        <v>570209</v>
      </c>
      <c r="H2747" s="8">
        <v>68703</v>
      </c>
      <c r="I2747" s="8">
        <v>62577</v>
      </c>
      <c r="J2747" s="8">
        <v>3324</v>
      </c>
      <c r="K2747" s="8">
        <v>180</v>
      </c>
      <c r="L2747" s="8">
        <v>187</v>
      </c>
      <c r="M2747" s="8">
        <v>686</v>
      </c>
      <c r="N2747" s="8">
        <v>963</v>
      </c>
      <c r="O2747" s="9">
        <f t="shared" si="42"/>
        <v>6.9945826741454525E-2</v>
      </c>
      <c r="P2747" s="6" t="s">
        <v>29</v>
      </c>
    </row>
    <row r="2748" spans="1:16" x14ac:dyDescent="0.25">
      <c r="A2748" s="2" t="s">
        <v>5565</v>
      </c>
      <c r="B2748" s="2" t="s">
        <v>5566</v>
      </c>
      <c r="C2748" s="2" t="s">
        <v>76</v>
      </c>
      <c r="D2748" s="3" t="s">
        <v>189</v>
      </c>
      <c r="E2748" s="3" t="s">
        <v>20</v>
      </c>
      <c r="F2748" s="2" t="s">
        <v>104</v>
      </c>
      <c r="G2748" s="4">
        <v>195279</v>
      </c>
      <c r="H2748" s="4">
        <v>102427</v>
      </c>
      <c r="I2748" s="4">
        <v>79509</v>
      </c>
      <c r="J2748" s="4">
        <v>5367</v>
      </c>
      <c r="K2748" s="4">
        <v>178</v>
      </c>
      <c r="L2748" s="4">
        <v>725</v>
      </c>
      <c r="M2748" s="4">
        <v>973</v>
      </c>
      <c r="N2748" s="4">
        <v>3545</v>
      </c>
      <c r="O2748" s="5">
        <f t="shared" si="42"/>
        <v>9.1096605415739093E-2</v>
      </c>
      <c r="P2748" s="2" t="s">
        <v>29</v>
      </c>
    </row>
    <row r="2749" spans="1:16" x14ac:dyDescent="0.25">
      <c r="A2749" s="6" t="s">
        <v>5567</v>
      </c>
      <c r="B2749" s="6" t="s">
        <v>5568</v>
      </c>
      <c r="C2749" s="6" t="s">
        <v>18</v>
      </c>
      <c r="D2749" s="7" t="s">
        <v>57</v>
      </c>
      <c r="E2749" s="7" t="s">
        <v>34</v>
      </c>
      <c r="F2749" s="6" t="s">
        <v>21</v>
      </c>
      <c r="G2749" s="8">
        <v>600025</v>
      </c>
      <c r="H2749" s="8">
        <v>145552</v>
      </c>
      <c r="I2749" s="8">
        <v>132768</v>
      </c>
      <c r="J2749" s="8">
        <v>8653</v>
      </c>
      <c r="K2749" s="8">
        <v>1550</v>
      </c>
      <c r="L2749" s="8">
        <v>675</v>
      </c>
      <c r="M2749" s="8">
        <v>1619</v>
      </c>
      <c r="N2749" s="8">
        <v>3599</v>
      </c>
      <c r="O2749" s="9">
        <f t="shared" si="42"/>
        <v>9.4126596770306104E-2</v>
      </c>
      <c r="P2749" s="6" t="s">
        <v>29</v>
      </c>
    </row>
    <row r="2750" spans="1:16" x14ac:dyDescent="0.25">
      <c r="A2750" s="2" t="s">
        <v>5569</v>
      </c>
      <c r="B2750" s="2" t="s">
        <v>5570</v>
      </c>
      <c r="C2750" s="2" t="s">
        <v>18</v>
      </c>
      <c r="D2750" s="3" t="s">
        <v>57</v>
      </c>
      <c r="E2750" s="3" t="s">
        <v>27</v>
      </c>
      <c r="F2750" s="2" t="s">
        <v>21</v>
      </c>
      <c r="G2750" s="4">
        <v>738812</v>
      </c>
      <c r="H2750" s="4">
        <v>172191</v>
      </c>
      <c r="I2750" s="4">
        <v>143255</v>
      </c>
      <c r="J2750" s="4">
        <v>3580</v>
      </c>
      <c r="K2750" s="4">
        <v>163</v>
      </c>
      <c r="L2750" s="4">
        <v>394</v>
      </c>
      <c r="M2750" s="4">
        <v>581</v>
      </c>
      <c r="N2750" s="4">
        <v>1520</v>
      </c>
      <c r="O2750" s="5">
        <f t="shared" si="42"/>
        <v>3.2934278035670658E-2</v>
      </c>
      <c r="P2750" s="2" t="s">
        <v>22</v>
      </c>
    </row>
    <row r="2751" spans="1:16" x14ac:dyDescent="0.25">
      <c r="A2751" s="6" t="s">
        <v>5571</v>
      </c>
      <c r="B2751" s="6" t="s">
        <v>5572</v>
      </c>
      <c r="C2751" s="6" t="s">
        <v>25</v>
      </c>
      <c r="D2751" s="7" t="s">
        <v>244</v>
      </c>
      <c r="E2751" s="7" t="s">
        <v>27</v>
      </c>
      <c r="F2751" s="6" t="s">
        <v>28</v>
      </c>
      <c r="G2751" s="8">
        <v>825340</v>
      </c>
      <c r="H2751" s="8">
        <v>83513</v>
      </c>
      <c r="I2751" s="8">
        <v>76337</v>
      </c>
      <c r="J2751" s="8">
        <v>3398</v>
      </c>
      <c r="K2751" s="8">
        <v>393</v>
      </c>
      <c r="L2751" s="8">
        <v>85</v>
      </c>
      <c r="M2751" s="8">
        <v>779</v>
      </c>
      <c r="N2751" s="8">
        <v>1541</v>
      </c>
      <c r="O2751" s="9">
        <f t="shared" si="42"/>
        <v>6.0979603599827084E-2</v>
      </c>
      <c r="P2751" s="6" t="s">
        <v>22</v>
      </c>
    </row>
    <row r="2752" spans="1:16" x14ac:dyDescent="0.25">
      <c r="A2752" s="2" t="s">
        <v>5573</v>
      </c>
      <c r="B2752" s="2" t="s">
        <v>5574</v>
      </c>
      <c r="C2752" s="2" t="s">
        <v>76</v>
      </c>
      <c r="D2752" s="3" t="s">
        <v>189</v>
      </c>
      <c r="E2752" s="3" t="s">
        <v>50</v>
      </c>
      <c r="F2752" s="2" t="s">
        <v>104</v>
      </c>
      <c r="G2752" s="4">
        <v>725069</v>
      </c>
      <c r="H2752" s="4">
        <v>123857</v>
      </c>
      <c r="I2752" s="4">
        <v>101214</v>
      </c>
      <c r="J2752" s="4">
        <v>6076</v>
      </c>
      <c r="K2752" s="4">
        <v>599</v>
      </c>
      <c r="L2752" s="4">
        <v>313</v>
      </c>
      <c r="M2752" s="4">
        <v>1394</v>
      </c>
      <c r="N2752" s="4">
        <v>821</v>
      </c>
      <c r="O2752" s="5">
        <f t="shared" si="42"/>
        <v>8.2814630387100602E-2</v>
      </c>
      <c r="P2752" s="2" t="s">
        <v>29</v>
      </c>
    </row>
    <row r="2753" spans="1:16" x14ac:dyDescent="0.25">
      <c r="A2753" s="6" t="s">
        <v>5575</v>
      </c>
      <c r="B2753" s="6" t="s">
        <v>5576</v>
      </c>
      <c r="C2753" s="6" t="s">
        <v>43</v>
      </c>
      <c r="D2753" s="7" t="s">
        <v>172</v>
      </c>
      <c r="E2753" s="7" t="s">
        <v>34</v>
      </c>
      <c r="F2753" s="6" t="s">
        <v>107</v>
      </c>
      <c r="G2753" s="8">
        <v>101580</v>
      </c>
      <c r="H2753" s="8">
        <v>47170</v>
      </c>
      <c r="I2753" s="8">
        <v>40450</v>
      </c>
      <c r="J2753" s="8">
        <v>3291</v>
      </c>
      <c r="K2753" s="8">
        <v>222</v>
      </c>
      <c r="L2753" s="8">
        <v>340</v>
      </c>
      <c r="M2753" s="8">
        <v>19</v>
      </c>
      <c r="N2753" s="8">
        <v>1123</v>
      </c>
      <c r="O2753" s="9">
        <f t="shared" si="42"/>
        <v>9.5723114956736716E-2</v>
      </c>
      <c r="P2753" s="6" t="s">
        <v>29</v>
      </c>
    </row>
    <row r="2754" spans="1:16" x14ac:dyDescent="0.25">
      <c r="A2754" s="2" t="s">
        <v>5577</v>
      </c>
      <c r="B2754" s="2" t="s">
        <v>5578</v>
      </c>
      <c r="C2754" s="2" t="s">
        <v>25</v>
      </c>
      <c r="D2754" s="3" t="s">
        <v>145</v>
      </c>
      <c r="E2754" s="3" t="s">
        <v>45</v>
      </c>
      <c r="F2754" s="2" t="s">
        <v>146</v>
      </c>
      <c r="G2754" s="4">
        <v>167009</v>
      </c>
      <c r="H2754" s="4">
        <v>43445</v>
      </c>
      <c r="I2754" s="4">
        <v>34968</v>
      </c>
      <c r="J2754" s="4">
        <v>1766</v>
      </c>
      <c r="K2754" s="4">
        <v>118</v>
      </c>
      <c r="L2754" s="4">
        <v>261</v>
      </c>
      <c r="M2754" s="4">
        <v>380</v>
      </c>
      <c r="N2754" s="4">
        <v>1511</v>
      </c>
      <c r="O2754" s="5">
        <f t="shared" ref="O2754:O2817" si="43">IF(I2754&gt;0, (J2754+K2754+L2754+M2754)/I2754, 0)</f>
        <v>7.2208876687256923E-2</v>
      </c>
      <c r="P2754" s="2" t="s">
        <v>29</v>
      </c>
    </row>
    <row r="2755" spans="1:16" x14ac:dyDescent="0.25">
      <c r="A2755" s="6" t="s">
        <v>5579</v>
      </c>
      <c r="B2755" s="6" t="s">
        <v>5580</v>
      </c>
      <c r="C2755" s="6" t="s">
        <v>32</v>
      </c>
      <c r="D2755" s="7" t="s">
        <v>121</v>
      </c>
      <c r="E2755" s="7" t="s">
        <v>50</v>
      </c>
      <c r="F2755" s="6" t="s">
        <v>35</v>
      </c>
      <c r="G2755" s="8">
        <v>379903</v>
      </c>
      <c r="H2755" s="8">
        <v>105543</v>
      </c>
      <c r="I2755" s="8">
        <v>85697</v>
      </c>
      <c r="J2755" s="8">
        <v>5640</v>
      </c>
      <c r="K2755" s="8">
        <v>965</v>
      </c>
      <c r="L2755" s="8">
        <v>755</v>
      </c>
      <c r="M2755" s="8">
        <v>23</v>
      </c>
      <c r="N2755" s="8">
        <v>605</v>
      </c>
      <c r="O2755" s="9">
        <f t="shared" si="43"/>
        <v>8.6152374062102521E-2</v>
      </c>
      <c r="P2755" s="6" t="s">
        <v>66</v>
      </c>
    </row>
    <row r="2756" spans="1:16" x14ac:dyDescent="0.25">
      <c r="A2756" s="2" t="s">
        <v>5581</v>
      </c>
      <c r="B2756" s="2" t="s">
        <v>5582</v>
      </c>
      <c r="C2756" s="2" t="s">
        <v>32</v>
      </c>
      <c r="D2756" s="3" t="s">
        <v>33</v>
      </c>
      <c r="E2756" s="3" t="s">
        <v>20</v>
      </c>
      <c r="F2756" s="2" t="s">
        <v>35</v>
      </c>
      <c r="G2756" s="4">
        <v>327432</v>
      </c>
      <c r="H2756" s="4">
        <v>121407</v>
      </c>
      <c r="I2756" s="4">
        <v>90972</v>
      </c>
      <c r="J2756" s="4">
        <v>2801</v>
      </c>
      <c r="K2756" s="4">
        <v>157</v>
      </c>
      <c r="L2756" s="4">
        <v>184</v>
      </c>
      <c r="M2756" s="4">
        <v>25</v>
      </c>
      <c r="N2756" s="4">
        <v>2941</v>
      </c>
      <c r="O2756" s="5">
        <f t="shared" si="43"/>
        <v>3.4812909466649077E-2</v>
      </c>
      <c r="P2756" s="2" t="s">
        <v>22</v>
      </c>
    </row>
    <row r="2757" spans="1:16" x14ac:dyDescent="0.25">
      <c r="A2757" s="6" t="s">
        <v>5583</v>
      </c>
      <c r="B2757" s="6" t="s">
        <v>5584</v>
      </c>
      <c r="C2757" s="6" t="s">
        <v>43</v>
      </c>
      <c r="D2757" s="7" t="s">
        <v>172</v>
      </c>
      <c r="E2757" s="7" t="s">
        <v>50</v>
      </c>
      <c r="F2757" s="6" t="s">
        <v>70</v>
      </c>
      <c r="G2757" s="8">
        <v>615880</v>
      </c>
      <c r="H2757" s="8">
        <v>269266</v>
      </c>
      <c r="I2757" s="8">
        <v>205437</v>
      </c>
      <c r="J2757" s="8">
        <v>12738</v>
      </c>
      <c r="K2757" s="8">
        <v>929</v>
      </c>
      <c r="L2757" s="8">
        <v>450</v>
      </c>
      <c r="M2757" s="8">
        <v>44</v>
      </c>
      <c r="N2757" s="8">
        <v>3861</v>
      </c>
      <c r="O2757" s="9">
        <f t="shared" si="43"/>
        <v>6.8931107833545072E-2</v>
      </c>
      <c r="P2757" s="6" t="s">
        <v>22</v>
      </c>
    </row>
    <row r="2758" spans="1:16" x14ac:dyDescent="0.25">
      <c r="A2758" s="2" t="s">
        <v>5585</v>
      </c>
      <c r="B2758" s="2" t="s">
        <v>5586</v>
      </c>
      <c r="C2758" s="2" t="s">
        <v>25</v>
      </c>
      <c r="D2758" s="3" t="s">
        <v>26</v>
      </c>
      <c r="E2758" s="3" t="s">
        <v>34</v>
      </c>
      <c r="F2758" s="2" t="s">
        <v>65</v>
      </c>
      <c r="G2758" s="4">
        <v>635166</v>
      </c>
      <c r="H2758" s="4">
        <v>285693</v>
      </c>
      <c r="I2758" s="4">
        <v>232830</v>
      </c>
      <c r="J2758" s="4">
        <v>15836</v>
      </c>
      <c r="K2758" s="4">
        <v>2015</v>
      </c>
      <c r="L2758" s="4">
        <v>723</v>
      </c>
      <c r="M2758" s="4">
        <v>2834</v>
      </c>
      <c r="N2758" s="4">
        <v>8760</v>
      </c>
      <c r="O2758" s="5">
        <f t="shared" si="43"/>
        <v>9.1946914057466828E-2</v>
      </c>
      <c r="P2758" s="2" t="s">
        <v>22</v>
      </c>
    </row>
    <row r="2759" spans="1:16" x14ac:dyDescent="0.25">
      <c r="A2759" s="6" t="s">
        <v>5587</v>
      </c>
      <c r="B2759" s="6" t="s">
        <v>5588</v>
      </c>
      <c r="C2759" s="6" t="s">
        <v>18</v>
      </c>
      <c r="D2759" s="7" t="s">
        <v>19</v>
      </c>
      <c r="E2759" s="7" t="s">
        <v>20</v>
      </c>
      <c r="F2759" s="6" t="s">
        <v>73</v>
      </c>
      <c r="G2759" s="8">
        <v>552468</v>
      </c>
      <c r="H2759" s="8">
        <v>253664</v>
      </c>
      <c r="I2759" s="8">
        <v>226925</v>
      </c>
      <c r="J2759" s="8">
        <v>14930</v>
      </c>
      <c r="K2759" s="8">
        <v>1094</v>
      </c>
      <c r="L2759" s="8">
        <v>1494</v>
      </c>
      <c r="M2759" s="8">
        <v>2581</v>
      </c>
      <c r="N2759" s="8">
        <v>7715</v>
      </c>
      <c r="O2759" s="9">
        <f t="shared" si="43"/>
        <v>8.8571113804120305E-2</v>
      </c>
      <c r="P2759" s="6" t="s">
        <v>66</v>
      </c>
    </row>
    <row r="2760" spans="1:16" x14ac:dyDescent="0.25">
      <c r="A2760" s="2" t="s">
        <v>5589</v>
      </c>
      <c r="B2760" s="2" t="s">
        <v>5590</v>
      </c>
      <c r="C2760" s="2" t="s">
        <v>76</v>
      </c>
      <c r="D2760" s="3" t="s">
        <v>77</v>
      </c>
      <c r="E2760" s="3" t="s">
        <v>45</v>
      </c>
      <c r="F2760" s="2" t="s">
        <v>104</v>
      </c>
      <c r="G2760" s="4">
        <v>465432</v>
      </c>
      <c r="H2760" s="4">
        <v>159478</v>
      </c>
      <c r="I2760" s="4">
        <v>118429</v>
      </c>
      <c r="J2760" s="4">
        <v>3683</v>
      </c>
      <c r="K2760" s="4">
        <v>256</v>
      </c>
      <c r="L2760" s="4">
        <v>372</v>
      </c>
      <c r="M2760" s="4">
        <v>186</v>
      </c>
      <c r="N2760" s="4">
        <v>3635</v>
      </c>
      <c r="O2760" s="5">
        <f t="shared" si="43"/>
        <v>3.7972118315615262E-2</v>
      </c>
      <c r="P2760" s="2" t="s">
        <v>22</v>
      </c>
    </row>
    <row r="2761" spans="1:16" x14ac:dyDescent="0.25">
      <c r="A2761" s="6" t="s">
        <v>5591</v>
      </c>
      <c r="B2761" s="6" t="s">
        <v>5592</v>
      </c>
      <c r="C2761" s="6" t="s">
        <v>25</v>
      </c>
      <c r="D2761" s="7" t="s">
        <v>26</v>
      </c>
      <c r="E2761" s="7" t="s">
        <v>27</v>
      </c>
      <c r="F2761" s="6" t="s">
        <v>28</v>
      </c>
      <c r="G2761" s="8">
        <v>495675</v>
      </c>
      <c r="H2761" s="8">
        <v>210434</v>
      </c>
      <c r="I2761" s="8">
        <v>161459</v>
      </c>
      <c r="J2761" s="8">
        <v>10268</v>
      </c>
      <c r="K2761" s="8">
        <v>1381</v>
      </c>
      <c r="L2761" s="8">
        <v>895</v>
      </c>
      <c r="M2761" s="8">
        <v>1709</v>
      </c>
      <c r="N2761" s="8">
        <v>5568</v>
      </c>
      <c r="O2761" s="9">
        <f t="shared" si="43"/>
        <v>8.8276280665679829E-2</v>
      </c>
      <c r="P2761" s="6" t="s">
        <v>22</v>
      </c>
    </row>
    <row r="2762" spans="1:16" x14ac:dyDescent="0.25">
      <c r="A2762" s="2" t="s">
        <v>5593</v>
      </c>
      <c r="B2762" s="2" t="s">
        <v>5594</v>
      </c>
      <c r="C2762" s="2" t="s">
        <v>43</v>
      </c>
      <c r="D2762" s="3" t="s">
        <v>69</v>
      </c>
      <c r="E2762" s="3" t="s">
        <v>39</v>
      </c>
      <c r="F2762" s="2" t="s">
        <v>46</v>
      </c>
      <c r="G2762" s="4">
        <v>324546</v>
      </c>
      <c r="H2762" s="4">
        <v>84493</v>
      </c>
      <c r="I2762" s="4">
        <v>60181</v>
      </c>
      <c r="J2762" s="4">
        <v>3174</v>
      </c>
      <c r="K2762" s="4">
        <v>133</v>
      </c>
      <c r="L2762" s="4">
        <v>318</v>
      </c>
      <c r="M2762" s="4">
        <v>40</v>
      </c>
      <c r="N2762" s="4">
        <v>1228</v>
      </c>
      <c r="O2762" s="5">
        <f t="shared" si="43"/>
        <v>6.0899619481231619E-2</v>
      </c>
      <c r="P2762" s="2" t="s">
        <v>29</v>
      </c>
    </row>
    <row r="2763" spans="1:16" x14ac:dyDescent="0.25">
      <c r="A2763" s="6" t="s">
        <v>5595</v>
      </c>
      <c r="B2763" s="6" t="s">
        <v>5596</v>
      </c>
      <c r="C2763" s="6" t="s">
        <v>76</v>
      </c>
      <c r="D2763" s="7" t="s">
        <v>77</v>
      </c>
      <c r="E2763" s="7" t="s">
        <v>50</v>
      </c>
      <c r="F2763" s="6" t="s">
        <v>155</v>
      </c>
      <c r="G2763" s="8">
        <v>697969</v>
      </c>
      <c r="H2763" s="8">
        <v>450826</v>
      </c>
      <c r="I2763" s="8">
        <v>352325</v>
      </c>
      <c r="J2763" s="8">
        <v>27867</v>
      </c>
      <c r="K2763" s="8">
        <v>2884</v>
      </c>
      <c r="L2763" s="8">
        <v>782</v>
      </c>
      <c r="M2763" s="8">
        <v>6446</v>
      </c>
      <c r="N2763" s="8">
        <v>15711</v>
      </c>
      <c r="O2763" s="9">
        <f t="shared" si="43"/>
        <v>0.10779535939828283</v>
      </c>
      <c r="P2763" s="6" t="s">
        <v>22</v>
      </c>
    </row>
    <row r="2764" spans="1:16" x14ac:dyDescent="0.25">
      <c r="A2764" s="2" t="s">
        <v>5597</v>
      </c>
      <c r="B2764" s="2" t="s">
        <v>5598</v>
      </c>
      <c r="C2764" s="2" t="s">
        <v>43</v>
      </c>
      <c r="D2764" s="3" t="s">
        <v>69</v>
      </c>
      <c r="E2764" s="3" t="s">
        <v>39</v>
      </c>
      <c r="F2764" s="2" t="s">
        <v>107</v>
      </c>
      <c r="G2764" s="4">
        <v>339089</v>
      </c>
      <c r="H2764" s="4">
        <v>195468</v>
      </c>
      <c r="I2764" s="4">
        <v>164365</v>
      </c>
      <c r="J2764" s="4">
        <v>8785</v>
      </c>
      <c r="K2764" s="4">
        <v>382</v>
      </c>
      <c r="L2764" s="4">
        <v>215</v>
      </c>
      <c r="M2764" s="4">
        <v>33</v>
      </c>
      <c r="N2764" s="4">
        <v>2395</v>
      </c>
      <c r="O2764" s="5">
        <f t="shared" si="43"/>
        <v>5.7281051318711404E-2</v>
      </c>
      <c r="P2764" s="2" t="s">
        <v>29</v>
      </c>
    </row>
    <row r="2765" spans="1:16" x14ac:dyDescent="0.25">
      <c r="A2765" s="6" t="s">
        <v>5599</v>
      </c>
      <c r="B2765" s="6" t="s">
        <v>5600</v>
      </c>
      <c r="C2765" s="6" t="s">
        <v>25</v>
      </c>
      <c r="D2765" s="7" t="s">
        <v>244</v>
      </c>
      <c r="E2765" s="7" t="s">
        <v>27</v>
      </c>
      <c r="F2765" s="6" t="s">
        <v>28</v>
      </c>
      <c r="G2765" s="8">
        <v>116913</v>
      </c>
      <c r="H2765" s="8">
        <v>25076</v>
      </c>
      <c r="I2765" s="8">
        <v>23009</v>
      </c>
      <c r="J2765" s="8">
        <v>994</v>
      </c>
      <c r="K2765" s="8">
        <v>136</v>
      </c>
      <c r="L2765" s="8">
        <v>45</v>
      </c>
      <c r="M2765" s="8">
        <v>210</v>
      </c>
      <c r="N2765" s="8">
        <v>646</v>
      </c>
      <c r="O2765" s="9">
        <f t="shared" si="43"/>
        <v>6.0193837194141425E-2</v>
      </c>
      <c r="P2765" s="6" t="s">
        <v>22</v>
      </c>
    </row>
    <row r="2766" spans="1:16" x14ac:dyDescent="0.25">
      <c r="A2766" s="2" t="s">
        <v>5601</v>
      </c>
      <c r="B2766" s="2" t="s">
        <v>5602</v>
      </c>
      <c r="C2766" s="2" t="s">
        <v>18</v>
      </c>
      <c r="D2766" s="3" t="s">
        <v>57</v>
      </c>
      <c r="E2766" s="3" t="s">
        <v>34</v>
      </c>
      <c r="F2766" s="2" t="s">
        <v>21</v>
      </c>
      <c r="G2766" s="4">
        <v>805558</v>
      </c>
      <c r="H2766" s="4">
        <v>146699</v>
      </c>
      <c r="I2766" s="4">
        <v>117704</v>
      </c>
      <c r="J2766" s="4">
        <v>9724</v>
      </c>
      <c r="K2766" s="4">
        <v>777</v>
      </c>
      <c r="L2766" s="4">
        <v>1345</v>
      </c>
      <c r="M2766" s="4">
        <v>1036</v>
      </c>
      <c r="N2766" s="4">
        <v>1286</v>
      </c>
      <c r="O2766" s="5">
        <f t="shared" si="43"/>
        <v>0.10944402908992047</v>
      </c>
      <c r="P2766" s="2" t="s">
        <v>29</v>
      </c>
    </row>
    <row r="2767" spans="1:16" x14ac:dyDescent="0.25">
      <c r="A2767" s="6" t="s">
        <v>5603</v>
      </c>
      <c r="B2767" s="6" t="s">
        <v>5604</v>
      </c>
      <c r="C2767" s="6" t="s">
        <v>76</v>
      </c>
      <c r="D2767" s="7" t="s">
        <v>86</v>
      </c>
      <c r="E2767" s="7" t="s">
        <v>20</v>
      </c>
      <c r="F2767" s="6" t="s">
        <v>87</v>
      </c>
      <c r="G2767" s="8">
        <v>489743</v>
      </c>
      <c r="H2767" s="8">
        <v>291192</v>
      </c>
      <c r="I2767" s="8">
        <v>212143</v>
      </c>
      <c r="J2767" s="8">
        <v>18815</v>
      </c>
      <c r="K2767" s="8">
        <v>689</v>
      </c>
      <c r="L2767" s="8">
        <v>1306</v>
      </c>
      <c r="M2767" s="8">
        <v>3880</v>
      </c>
      <c r="N2767" s="8">
        <v>8908</v>
      </c>
      <c r="O2767" s="9">
        <f t="shared" si="43"/>
        <v>0.11638376001093602</v>
      </c>
      <c r="P2767" s="6" t="s">
        <v>22</v>
      </c>
    </row>
    <row r="2768" spans="1:16" x14ac:dyDescent="0.25">
      <c r="A2768" s="2" t="s">
        <v>5605</v>
      </c>
      <c r="B2768" s="2" t="s">
        <v>5606</v>
      </c>
      <c r="C2768" s="2" t="s">
        <v>25</v>
      </c>
      <c r="D2768" s="3" t="s">
        <v>244</v>
      </c>
      <c r="E2768" s="3" t="s">
        <v>45</v>
      </c>
      <c r="F2768" s="2" t="s">
        <v>65</v>
      </c>
      <c r="G2768" s="4">
        <v>4659</v>
      </c>
      <c r="H2768" s="4">
        <v>3027</v>
      </c>
      <c r="I2768" s="4">
        <v>2368</v>
      </c>
      <c r="J2768" s="4">
        <v>234</v>
      </c>
      <c r="K2768" s="4">
        <v>15</v>
      </c>
      <c r="L2768" s="4">
        <v>15</v>
      </c>
      <c r="M2768" s="4">
        <v>24</v>
      </c>
      <c r="N2768" s="4">
        <v>79</v>
      </c>
      <c r="O2768" s="5">
        <f t="shared" si="43"/>
        <v>0.12162162162162163</v>
      </c>
      <c r="P2768" s="2" t="s">
        <v>29</v>
      </c>
    </row>
    <row r="2769" spans="1:16" x14ac:dyDescent="0.25">
      <c r="A2769" s="6" t="s">
        <v>5607</v>
      </c>
      <c r="B2769" s="6" t="s">
        <v>5608</v>
      </c>
      <c r="C2769" s="6" t="s">
        <v>76</v>
      </c>
      <c r="D2769" s="7" t="s">
        <v>86</v>
      </c>
      <c r="E2769" s="7" t="s">
        <v>50</v>
      </c>
      <c r="F2769" s="6" t="s">
        <v>155</v>
      </c>
      <c r="G2769" s="8">
        <v>101735</v>
      </c>
      <c r="H2769" s="8">
        <v>50010</v>
      </c>
      <c r="I2769" s="8">
        <v>37966</v>
      </c>
      <c r="J2769" s="8">
        <v>2920</v>
      </c>
      <c r="K2769" s="8">
        <v>406</v>
      </c>
      <c r="L2769" s="8">
        <v>417</v>
      </c>
      <c r="M2769" s="8">
        <v>645</v>
      </c>
      <c r="N2769" s="8">
        <v>393</v>
      </c>
      <c r="O2769" s="9">
        <f t="shared" si="43"/>
        <v>0.11557709529579097</v>
      </c>
      <c r="P2769" s="6" t="s">
        <v>22</v>
      </c>
    </row>
    <row r="2770" spans="1:16" x14ac:dyDescent="0.25">
      <c r="A2770" s="2" t="s">
        <v>5609</v>
      </c>
      <c r="B2770" s="2" t="s">
        <v>5610</v>
      </c>
      <c r="C2770" s="2" t="s">
        <v>43</v>
      </c>
      <c r="D2770" s="3" t="s">
        <v>110</v>
      </c>
      <c r="E2770" s="3" t="s">
        <v>34</v>
      </c>
      <c r="F2770" s="2" t="s">
        <v>46</v>
      </c>
      <c r="G2770" s="4">
        <v>768192</v>
      </c>
      <c r="H2770" s="4">
        <v>350058</v>
      </c>
      <c r="I2770" s="4">
        <v>273047</v>
      </c>
      <c r="J2770" s="4">
        <v>15160</v>
      </c>
      <c r="K2770" s="4">
        <v>1895</v>
      </c>
      <c r="L2770" s="4">
        <v>1783</v>
      </c>
      <c r="M2770" s="4">
        <v>46</v>
      </c>
      <c r="N2770" s="4">
        <v>12164</v>
      </c>
      <c r="O2770" s="5">
        <f t="shared" si="43"/>
        <v>6.9160254461686083E-2</v>
      </c>
      <c r="P2770" s="2" t="s">
        <v>22</v>
      </c>
    </row>
    <row r="2771" spans="1:16" x14ac:dyDescent="0.25">
      <c r="A2771" s="6" t="s">
        <v>5611</v>
      </c>
      <c r="B2771" s="6" t="s">
        <v>5612</v>
      </c>
      <c r="C2771" s="6" t="s">
        <v>25</v>
      </c>
      <c r="D2771" s="7" t="s">
        <v>244</v>
      </c>
      <c r="E2771" s="7" t="s">
        <v>34</v>
      </c>
      <c r="F2771" s="6" t="s">
        <v>28</v>
      </c>
      <c r="G2771" s="8">
        <v>761958</v>
      </c>
      <c r="H2771" s="8">
        <v>409610</v>
      </c>
      <c r="I2771" s="8">
        <v>290823</v>
      </c>
      <c r="J2771" s="8">
        <v>18160</v>
      </c>
      <c r="K2771" s="8">
        <v>754</v>
      </c>
      <c r="L2771" s="8">
        <v>636</v>
      </c>
      <c r="M2771" s="8">
        <v>1727</v>
      </c>
      <c r="N2771" s="8">
        <v>2257</v>
      </c>
      <c r="O2771" s="9">
        <f t="shared" si="43"/>
        <v>7.3161338683666699E-2</v>
      </c>
      <c r="P2771" s="6" t="s">
        <v>22</v>
      </c>
    </row>
    <row r="2772" spans="1:16" x14ac:dyDescent="0.25">
      <c r="A2772" s="2" t="s">
        <v>5613</v>
      </c>
      <c r="B2772" s="2" t="s">
        <v>5614</v>
      </c>
      <c r="C2772" s="2" t="s">
        <v>25</v>
      </c>
      <c r="D2772" s="3" t="s">
        <v>26</v>
      </c>
      <c r="E2772" s="3" t="s">
        <v>50</v>
      </c>
      <c r="F2772" s="2" t="s">
        <v>146</v>
      </c>
      <c r="G2772" s="4">
        <v>208357</v>
      </c>
      <c r="H2772" s="4">
        <v>76831</v>
      </c>
      <c r="I2772" s="4">
        <v>66492</v>
      </c>
      <c r="J2772" s="4">
        <v>3467</v>
      </c>
      <c r="K2772" s="4">
        <v>517</v>
      </c>
      <c r="L2772" s="4">
        <v>511</v>
      </c>
      <c r="M2772" s="4">
        <v>634</v>
      </c>
      <c r="N2772" s="4">
        <v>888</v>
      </c>
      <c r="O2772" s="5">
        <f t="shared" si="43"/>
        <v>7.7137099199903747E-2</v>
      </c>
      <c r="P2772" s="2" t="s">
        <v>22</v>
      </c>
    </row>
    <row r="2773" spans="1:16" x14ac:dyDescent="0.25">
      <c r="A2773" s="6" t="s">
        <v>5615</v>
      </c>
      <c r="B2773" s="6" t="s">
        <v>5616</v>
      </c>
      <c r="C2773" s="6" t="s">
        <v>18</v>
      </c>
      <c r="D2773" s="7" t="s">
        <v>92</v>
      </c>
      <c r="E2773" s="7" t="s">
        <v>27</v>
      </c>
      <c r="F2773" s="6" t="s">
        <v>21</v>
      </c>
      <c r="G2773" s="8">
        <v>553857</v>
      </c>
      <c r="H2773" s="8">
        <v>220008</v>
      </c>
      <c r="I2773" s="8">
        <v>183652</v>
      </c>
      <c r="J2773" s="8">
        <v>14668</v>
      </c>
      <c r="K2773" s="8">
        <v>1093</v>
      </c>
      <c r="L2773" s="8">
        <v>1800</v>
      </c>
      <c r="M2773" s="8">
        <v>2434</v>
      </c>
      <c r="N2773" s="8">
        <v>1379</v>
      </c>
      <c r="O2773" s="9">
        <f t="shared" si="43"/>
        <v>0.1088743928734781</v>
      </c>
      <c r="P2773" s="6" t="s">
        <v>29</v>
      </c>
    </row>
    <row r="2774" spans="1:16" x14ac:dyDescent="0.25">
      <c r="A2774" s="2" t="s">
        <v>5617</v>
      </c>
      <c r="B2774" s="2" t="s">
        <v>5618</v>
      </c>
      <c r="C2774" s="2" t="s">
        <v>25</v>
      </c>
      <c r="D2774" s="3" t="s">
        <v>64</v>
      </c>
      <c r="E2774" s="3" t="s">
        <v>27</v>
      </c>
      <c r="F2774" s="2" t="s">
        <v>54</v>
      </c>
      <c r="G2774" s="4">
        <v>485735</v>
      </c>
      <c r="H2774" s="4">
        <v>242188</v>
      </c>
      <c r="I2774" s="4">
        <v>191166</v>
      </c>
      <c r="J2774" s="4">
        <v>10486</v>
      </c>
      <c r="K2774" s="4">
        <v>1223</v>
      </c>
      <c r="L2774" s="4">
        <v>603</v>
      </c>
      <c r="M2774" s="4">
        <v>1161</v>
      </c>
      <c r="N2774" s="4">
        <v>4523</v>
      </c>
      <c r="O2774" s="5">
        <f t="shared" si="43"/>
        <v>7.0478013872759801E-2</v>
      </c>
      <c r="P2774" s="2" t="s">
        <v>66</v>
      </c>
    </row>
    <row r="2775" spans="1:16" x14ac:dyDescent="0.25">
      <c r="A2775" s="6" t="s">
        <v>5619</v>
      </c>
      <c r="B2775" s="6" t="s">
        <v>5620</v>
      </c>
      <c r="C2775" s="6" t="s">
        <v>18</v>
      </c>
      <c r="D2775" s="7" t="s">
        <v>226</v>
      </c>
      <c r="E2775" s="7" t="s">
        <v>50</v>
      </c>
      <c r="F2775" s="6" t="s">
        <v>58</v>
      </c>
      <c r="G2775" s="8">
        <v>714910</v>
      </c>
      <c r="H2775" s="8">
        <v>198598</v>
      </c>
      <c r="I2775" s="8">
        <v>161555</v>
      </c>
      <c r="J2775" s="8">
        <v>13091</v>
      </c>
      <c r="K2775" s="8">
        <v>1637</v>
      </c>
      <c r="L2775" s="8">
        <v>1534</v>
      </c>
      <c r="M2775" s="8">
        <v>2344</v>
      </c>
      <c r="N2775" s="8">
        <v>2917</v>
      </c>
      <c r="O2775" s="9">
        <f t="shared" si="43"/>
        <v>0.11516820896908174</v>
      </c>
      <c r="P2775" s="6" t="s">
        <v>66</v>
      </c>
    </row>
    <row r="2776" spans="1:16" x14ac:dyDescent="0.25">
      <c r="A2776" s="2" t="s">
        <v>5621</v>
      </c>
      <c r="B2776" s="2" t="s">
        <v>5622</v>
      </c>
      <c r="C2776" s="2" t="s">
        <v>25</v>
      </c>
      <c r="D2776" s="3" t="s">
        <v>64</v>
      </c>
      <c r="E2776" s="3" t="s">
        <v>20</v>
      </c>
      <c r="F2776" s="2" t="s">
        <v>146</v>
      </c>
      <c r="G2776" s="4">
        <v>306034</v>
      </c>
      <c r="H2776" s="4">
        <v>68451</v>
      </c>
      <c r="I2776" s="4">
        <v>48838</v>
      </c>
      <c r="J2776" s="4">
        <v>2350</v>
      </c>
      <c r="K2776" s="4">
        <v>93</v>
      </c>
      <c r="L2776" s="4">
        <v>79</v>
      </c>
      <c r="M2776" s="4">
        <v>134</v>
      </c>
      <c r="N2776" s="4">
        <v>1224</v>
      </c>
      <c r="O2776" s="5">
        <f t="shared" si="43"/>
        <v>5.4383881403824892E-2</v>
      </c>
      <c r="P2776" s="2" t="s">
        <v>22</v>
      </c>
    </row>
    <row r="2777" spans="1:16" x14ac:dyDescent="0.25">
      <c r="A2777" s="6" t="s">
        <v>5623</v>
      </c>
      <c r="B2777" s="6" t="s">
        <v>5624</v>
      </c>
      <c r="C2777" s="6" t="s">
        <v>25</v>
      </c>
      <c r="D2777" s="7" t="s">
        <v>26</v>
      </c>
      <c r="E2777" s="7" t="s">
        <v>20</v>
      </c>
      <c r="F2777" s="6" t="s">
        <v>28</v>
      </c>
      <c r="G2777" s="8">
        <v>622979</v>
      </c>
      <c r="H2777" s="8">
        <v>288341</v>
      </c>
      <c r="I2777" s="8">
        <v>207605</v>
      </c>
      <c r="J2777" s="8">
        <v>10978</v>
      </c>
      <c r="K2777" s="8">
        <v>1512</v>
      </c>
      <c r="L2777" s="8">
        <v>1408</v>
      </c>
      <c r="M2777" s="8">
        <v>2691</v>
      </c>
      <c r="N2777" s="8">
        <v>2773</v>
      </c>
      <c r="O2777" s="9">
        <f t="shared" si="43"/>
        <v>7.9906553310373066E-2</v>
      </c>
      <c r="P2777" s="6" t="s">
        <v>22</v>
      </c>
    </row>
    <row r="2778" spans="1:16" x14ac:dyDescent="0.25">
      <c r="A2778" s="2" t="s">
        <v>5625</v>
      </c>
      <c r="B2778" s="2" t="s">
        <v>5626</v>
      </c>
      <c r="C2778" s="2" t="s">
        <v>43</v>
      </c>
      <c r="D2778" s="3" t="s">
        <v>69</v>
      </c>
      <c r="E2778" s="3" t="s">
        <v>45</v>
      </c>
      <c r="F2778" s="2" t="s">
        <v>70</v>
      </c>
      <c r="G2778" s="4">
        <v>285163</v>
      </c>
      <c r="H2778" s="4">
        <v>1417713</v>
      </c>
      <c r="I2778" s="4">
        <v>1082089</v>
      </c>
      <c r="J2778" s="4">
        <v>56415</v>
      </c>
      <c r="K2778" s="4">
        <v>2846</v>
      </c>
      <c r="L2778" s="4">
        <v>3044</v>
      </c>
      <c r="M2778" s="4">
        <v>38</v>
      </c>
      <c r="N2778" s="4">
        <v>13731</v>
      </c>
      <c r="O2778" s="5">
        <f t="shared" si="43"/>
        <v>5.7613560437265329E-2</v>
      </c>
      <c r="P2778" s="2" t="s">
        <v>22</v>
      </c>
    </row>
    <row r="2779" spans="1:16" x14ac:dyDescent="0.25">
      <c r="A2779" s="6" t="s">
        <v>5627</v>
      </c>
      <c r="B2779" s="6" t="s">
        <v>5628</v>
      </c>
      <c r="C2779" s="6" t="s">
        <v>25</v>
      </c>
      <c r="D2779" s="7" t="s">
        <v>145</v>
      </c>
      <c r="E2779" s="7" t="s">
        <v>34</v>
      </c>
      <c r="F2779" s="6" t="s">
        <v>54</v>
      </c>
      <c r="G2779" s="8">
        <v>103697</v>
      </c>
      <c r="H2779" s="8">
        <v>34751</v>
      </c>
      <c r="I2779" s="8">
        <v>25635</v>
      </c>
      <c r="J2779" s="8">
        <v>2069</v>
      </c>
      <c r="K2779" s="8">
        <v>112</v>
      </c>
      <c r="L2779" s="8">
        <v>219</v>
      </c>
      <c r="M2779" s="8">
        <v>241</v>
      </c>
      <c r="N2779" s="8">
        <v>841</v>
      </c>
      <c r="O2779" s="9">
        <f t="shared" si="43"/>
        <v>0.1030232104544568</v>
      </c>
      <c r="P2779" s="6" t="s">
        <v>29</v>
      </c>
    </row>
    <row r="2780" spans="1:16" x14ac:dyDescent="0.25">
      <c r="A2780" s="2" t="s">
        <v>5629</v>
      </c>
      <c r="B2780" s="2" t="s">
        <v>5630</v>
      </c>
      <c r="C2780" s="2" t="s">
        <v>25</v>
      </c>
      <c r="D2780" s="3" t="s">
        <v>244</v>
      </c>
      <c r="E2780" s="3" t="s">
        <v>20</v>
      </c>
      <c r="F2780" s="2" t="s">
        <v>146</v>
      </c>
      <c r="G2780" s="4">
        <v>636014</v>
      </c>
      <c r="H2780" s="4">
        <v>188871</v>
      </c>
      <c r="I2780" s="4">
        <v>171308</v>
      </c>
      <c r="J2780" s="4">
        <v>15080</v>
      </c>
      <c r="K2780" s="4">
        <v>868</v>
      </c>
      <c r="L2780" s="4">
        <v>851</v>
      </c>
      <c r="M2780" s="4">
        <v>2975</v>
      </c>
      <c r="N2780" s="4">
        <v>3887</v>
      </c>
      <c r="O2780" s="5">
        <f t="shared" si="43"/>
        <v>0.11542951876152895</v>
      </c>
      <c r="P2780" s="2" t="s">
        <v>22</v>
      </c>
    </row>
    <row r="2781" spans="1:16" x14ac:dyDescent="0.25">
      <c r="A2781" s="6" t="s">
        <v>5631</v>
      </c>
      <c r="B2781" s="6" t="s">
        <v>5632</v>
      </c>
      <c r="C2781" s="6" t="s">
        <v>43</v>
      </c>
      <c r="D2781" s="7" t="s">
        <v>172</v>
      </c>
      <c r="E2781" s="7" t="s">
        <v>39</v>
      </c>
      <c r="F2781" s="6" t="s">
        <v>46</v>
      </c>
      <c r="G2781" s="8">
        <v>610696</v>
      </c>
      <c r="H2781" s="8">
        <v>123881</v>
      </c>
      <c r="I2781" s="8">
        <v>111384</v>
      </c>
      <c r="J2781" s="8">
        <v>2503</v>
      </c>
      <c r="K2781" s="8">
        <v>146</v>
      </c>
      <c r="L2781" s="8">
        <v>258</v>
      </c>
      <c r="M2781" s="8">
        <v>2</v>
      </c>
      <c r="N2781" s="8">
        <v>2839</v>
      </c>
      <c r="O2781" s="9">
        <f t="shared" si="43"/>
        <v>2.6116856999209941E-2</v>
      </c>
      <c r="P2781" s="6" t="s">
        <v>22</v>
      </c>
    </row>
    <row r="2782" spans="1:16" x14ac:dyDescent="0.25">
      <c r="A2782" s="2" t="s">
        <v>5633</v>
      </c>
      <c r="B2782" s="2" t="s">
        <v>5634</v>
      </c>
      <c r="C2782" s="2" t="s">
        <v>25</v>
      </c>
      <c r="D2782" s="3" t="s">
        <v>26</v>
      </c>
      <c r="E2782" s="3" t="s">
        <v>20</v>
      </c>
      <c r="F2782" s="2" t="s">
        <v>54</v>
      </c>
      <c r="G2782" s="4">
        <v>758859</v>
      </c>
      <c r="H2782" s="4">
        <v>243708</v>
      </c>
      <c r="I2782" s="4">
        <v>179381</v>
      </c>
      <c r="J2782" s="4">
        <v>5881</v>
      </c>
      <c r="K2782" s="4">
        <v>834</v>
      </c>
      <c r="L2782" s="4">
        <v>816</v>
      </c>
      <c r="M2782" s="4">
        <v>526</v>
      </c>
      <c r="N2782" s="4">
        <v>2585</v>
      </c>
      <c r="O2782" s="5">
        <f t="shared" si="43"/>
        <v>4.4915570768364541E-2</v>
      </c>
      <c r="P2782" s="2" t="s">
        <v>22</v>
      </c>
    </row>
    <row r="2783" spans="1:16" x14ac:dyDescent="0.25">
      <c r="A2783" s="6" t="s">
        <v>5635</v>
      </c>
      <c r="B2783" s="6" t="s">
        <v>5636</v>
      </c>
      <c r="C2783" s="6" t="s">
        <v>43</v>
      </c>
      <c r="D2783" s="7" t="s">
        <v>69</v>
      </c>
      <c r="E2783" s="7" t="s">
        <v>45</v>
      </c>
      <c r="F2783" s="6" t="s">
        <v>46</v>
      </c>
      <c r="G2783" s="8">
        <v>479479</v>
      </c>
      <c r="H2783" s="8">
        <v>236853</v>
      </c>
      <c r="I2783" s="8">
        <v>201814</v>
      </c>
      <c r="J2783" s="8">
        <v>7497</v>
      </c>
      <c r="K2783" s="8">
        <v>789</v>
      </c>
      <c r="L2783" s="8">
        <v>212</v>
      </c>
      <c r="M2783" s="8">
        <v>27</v>
      </c>
      <c r="N2783" s="8">
        <v>2365</v>
      </c>
      <c r="O2783" s="9">
        <f t="shared" si="43"/>
        <v>4.2241866272904757E-2</v>
      </c>
      <c r="P2783" s="6" t="s">
        <v>22</v>
      </c>
    </row>
    <row r="2784" spans="1:16" x14ac:dyDescent="0.25">
      <c r="A2784" s="2" t="s">
        <v>5637</v>
      </c>
      <c r="B2784" s="2" t="s">
        <v>5638</v>
      </c>
      <c r="C2784" s="2" t="s">
        <v>25</v>
      </c>
      <c r="D2784" s="3" t="s">
        <v>64</v>
      </c>
      <c r="E2784" s="3" t="s">
        <v>27</v>
      </c>
      <c r="F2784" s="2" t="s">
        <v>54</v>
      </c>
      <c r="G2784" s="4">
        <v>208910</v>
      </c>
      <c r="H2784" s="4">
        <v>127194</v>
      </c>
      <c r="I2784" s="4">
        <v>109235</v>
      </c>
      <c r="J2784" s="4">
        <v>4203</v>
      </c>
      <c r="K2784" s="4">
        <v>505</v>
      </c>
      <c r="L2784" s="4">
        <v>99</v>
      </c>
      <c r="M2784" s="4">
        <v>331</v>
      </c>
      <c r="N2784" s="4">
        <v>3236</v>
      </c>
      <c r="O2784" s="5">
        <f t="shared" si="43"/>
        <v>4.7036206344120472E-2</v>
      </c>
      <c r="P2784" s="2" t="s">
        <v>29</v>
      </c>
    </row>
    <row r="2785" spans="1:16" x14ac:dyDescent="0.25">
      <c r="A2785" s="6" t="s">
        <v>5639</v>
      </c>
      <c r="B2785" s="6" t="s">
        <v>5640</v>
      </c>
      <c r="C2785" s="6" t="s">
        <v>76</v>
      </c>
      <c r="D2785" s="7" t="s">
        <v>77</v>
      </c>
      <c r="E2785" s="7" t="s">
        <v>50</v>
      </c>
      <c r="F2785" s="6" t="s">
        <v>78</v>
      </c>
      <c r="G2785" s="8">
        <v>80524</v>
      </c>
      <c r="H2785" s="8">
        <v>21973</v>
      </c>
      <c r="I2785" s="8">
        <v>16277</v>
      </c>
      <c r="J2785" s="8">
        <v>1741</v>
      </c>
      <c r="K2785" s="8">
        <v>117</v>
      </c>
      <c r="L2785" s="8">
        <v>118</v>
      </c>
      <c r="M2785" s="8">
        <v>241</v>
      </c>
      <c r="N2785" s="8">
        <v>127</v>
      </c>
      <c r="O2785" s="9">
        <f t="shared" si="43"/>
        <v>0.13620446028137864</v>
      </c>
      <c r="P2785" s="6" t="s">
        <v>29</v>
      </c>
    </row>
    <row r="2786" spans="1:16" x14ac:dyDescent="0.25">
      <c r="A2786" s="2" t="s">
        <v>5641</v>
      </c>
      <c r="B2786" s="2" t="s">
        <v>5642</v>
      </c>
      <c r="C2786" s="2" t="s">
        <v>25</v>
      </c>
      <c r="D2786" s="3" t="s">
        <v>244</v>
      </c>
      <c r="E2786" s="3" t="s">
        <v>34</v>
      </c>
      <c r="F2786" s="2" t="s">
        <v>28</v>
      </c>
      <c r="G2786" s="4">
        <v>437641</v>
      </c>
      <c r="H2786" s="4">
        <v>208167</v>
      </c>
      <c r="I2786" s="4">
        <v>177388</v>
      </c>
      <c r="J2786" s="4">
        <v>6619</v>
      </c>
      <c r="K2786" s="4">
        <v>1146</v>
      </c>
      <c r="L2786" s="4">
        <v>371</v>
      </c>
      <c r="M2786" s="4">
        <v>797</v>
      </c>
      <c r="N2786" s="4">
        <v>2269</v>
      </c>
      <c r="O2786" s="5">
        <f t="shared" si="43"/>
        <v>5.0358536090378152E-2</v>
      </c>
      <c r="P2786" s="2" t="s">
        <v>22</v>
      </c>
    </row>
    <row r="2787" spans="1:16" x14ac:dyDescent="0.25">
      <c r="A2787" s="6" t="s">
        <v>5643</v>
      </c>
      <c r="B2787" s="6" t="s">
        <v>5644</v>
      </c>
      <c r="C2787" s="6" t="s">
        <v>25</v>
      </c>
      <c r="D2787" s="7" t="s">
        <v>64</v>
      </c>
      <c r="E2787" s="7" t="s">
        <v>45</v>
      </c>
      <c r="F2787" s="6" t="s">
        <v>65</v>
      </c>
      <c r="G2787" s="8">
        <v>535663</v>
      </c>
      <c r="H2787" s="8">
        <v>220709</v>
      </c>
      <c r="I2787" s="8">
        <v>184801</v>
      </c>
      <c r="J2787" s="8">
        <v>14099</v>
      </c>
      <c r="K2787" s="8">
        <v>2128</v>
      </c>
      <c r="L2787" s="8">
        <v>1398</v>
      </c>
      <c r="M2787" s="8">
        <v>1664</v>
      </c>
      <c r="N2787" s="8">
        <v>6151</v>
      </c>
      <c r="O2787" s="9">
        <f t="shared" si="43"/>
        <v>0.10437714081633757</v>
      </c>
      <c r="P2787" s="6" t="s">
        <v>22</v>
      </c>
    </row>
    <row r="2788" spans="1:16" x14ac:dyDescent="0.25">
      <c r="A2788" s="2" t="s">
        <v>5645</v>
      </c>
      <c r="B2788" s="2" t="s">
        <v>5646</v>
      </c>
      <c r="C2788" s="2" t="s">
        <v>32</v>
      </c>
      <c r="D2788" s="3" t="s">
        <v>38</v>
      </c>
      <c r="E2788" s="3" t="s">
        <v>27</v>
      </c>
      <c r="F2788" s="2" t="s">
        <v>40</v>
      </c>
      <c r="G2788" s="4">
        <v>64571</v>
      </c>
      <c r="H2788" s="4">
        <v>41650</v>
      </c>
      <c r="I2788" s="4">
        <v>36564</v>
      </c>
      <c r="J2788" s="4">
        <v>2025</v>
      </c>
      <c r="K2788" s="4">
        <v>129</v>
      </c>
      <c r="L2788" s="4">
        <v>235</v>
      </c>
      <c r="M2788" s="4">
        <v>43</v>
      </c>
      <c r="N2788" s="4">
        <v>447</v>
      </c>
      <c r="O2788" s="5">
        <f t="shared" si="43"/>
        <v>6.6513510556831856E-2</v>
      </c>
      <c r="P2788" s="2" t="s">
        <v>22</v>
      </c>
    </row>
    <row r="2789" spans="1:16" x14ac:dyDescent="0.25">
      <c r="A2789" s="6" t="s">
        <v>5647</v>
      </c>
      <c r="B2789" s="6" t="s">
        <v>5648</v>
      </c>
      <c r="C2789" s="6" t="s">
        <v>76</v>
      </c>
      <c r="D2789" s="7" t="s">
        <v>189</v>
      </c>
      <c r="E2789" s="7" t="s">
        <v>39</v>
      </c>
      <c r="F2789" s="6" t="s">
        <v>78</v>
      </c>
      <c r="G2789" s="8">
        <v>529886</v>
      </c>
      <c r="H2789" s="8">
        <v>161336</v>
      </c>
      <c r="I2789" s="8">
        <v>123055</v>
      </c>
      <c r="J2789" s="8">
        <v>10187</v>
      </c>
      <c r="K2789" s="8">
        <v>1456</v>
      </c>
      <c r="L2789" s="8">
        <v>426</v>
      </c>
      <c r="M2789" s="8">
        <v>1772</v>
      </c>
      <c r="N2789" s="8">
        <v>2108</v>
      </c>
      <c r="O2789" s="9">
        <f t="shared" si="43"/>
        <v>0.11247816017228068</v>
      </c>
      <c r="P2789" s="6" t="s">
        <v>22</v>
      </c>
    </row>
    <row r="2790" spans="1:16" x14ac:dyDescent="0.25">
      <c r="A2790" s="2" t="s">
        <v>5649</v>
      </c>
      <c r="B2790" s="2" t="s">
        <v>5650</v>
      </c>
      <c r="C2790" s="2" t="s">
        <v>18</v>
      </c>
      <c r="D2790" s="3" t="s">
        <v>226</v>
      </c>
      <c r="E2790" s="3" t="s">
        <v>27</v>
      </c>
      <c r="F2790" s="2" t="s">
        <v>73</v>
      </c>
      <c r="G2790" s="4">
        <v>811064</v>
      </c>
      <c r="H2790" s="4">
        <v>127933</v>
      </c>
      <c r="I2790" s="4">
        <v>102445</v>
      </c>
      <c r="J2790" s="4">
        <v>9764</v>
      </c>
      <c r="K2790" s="4">
        <v>1662</v>
      </c>
      <c r="L2790" s="4">
        <v>196</v>
      </c>
      <c r="M2790" s="4">
        <v>825</v>
      </c>
      <c r="N2790" s="4">
        <v>3782</v>
      </c>
      <c r="O2790" s="5">
        <f t="shared" si="43"/>
        <v>0.12149934110986382</v>
      </c>
      <c r="P2790" s="2" t="s">
        <v>29</v>
      </c>
    </row>
    <row r="2791" spans="1:16" x14ac:dyDescent="0.25">
      <c r="A2791" s="6" t="s">
        <v>5651</v>
      </c>
      <c r="B2791" s="6" t="s">
        <v>5652</v>
      </c>
      <c r="C2791" s="6" t="s">
        <v>18</v>
      </c>
      <c r="D2791" s="7" t="s">
        <v>226</v>
      </c>
      <c r="E2791" s="7" t="s">
        <v>34</v>
      </c>
      <c r="F2791" s="6" t="s">
        <v>73</v>
      </c>
      <c r="G2791" s="8">
        <v>702891</v>
      </c>
      <c r="H2791" s="8">
        <v>356891</v>
      </c>
      <c r="I2791" s="8">
        <v>277703</v>
      </c>
      <c r="J2791" s="8">
        <v>15927</v>
      </c>
      <c r="K2791" s="8">
        <v>2038</v>
      </c>
      <c r="L2791" s="8">
        <v>2344</v>
      </c>
      <c r="M2791" s="8">
        <v>1251</v>
      </c>
      <c r="N2791" s="8">
        <v>8847</v>
      </c>
      <c r="O2791" s="9">
        <f t="shared" si="43"/>
        <v>7.763689985344055E-2</v>
      </c>
      <c r="P2791" s="6" t="s">
        <v>22</v>
      </c>
    </row>
    <row r="2792" spans="1:16" x14ac:dyDescent="0.25">
      <c r="A2792" s="2" t="s">
        <v>5653</v>
      </c>
      <c r="B2792" s="2" t="s">
        <v>5654</v>
      </c>
      <c r="C2792" s="2" t="s">
        <v>43</v>
      </c>
      <c r="D2792" s="3" t="s">
        <v>110</v>
      </c>
      <c r="E2792" s="3" t="s">
        <v>34</v>
      </c>
      <c r="F2792" s="2" t="s">
        <v>107</v>
      </c>
      <c r="G2792" s="4">
        <v>330783</v>
      </c>
      <c r="H2792" s="4">
        <v>83444</v>
      </c>
      <c r="I2792" s="4">
        <v>62970</v>
      </c>
      <c r="J2792" s="4">
        <v>3793</v>
      </c>
      <c r="K2792" s="4">
        <v>265</v>
      </c>
      <c r="L2792" s="4">
        <v>490</v>
      </c>
      <c r="M2792" s="4">
        <v>49</v>
      </c>
      <c r="N2792" s="4">
        <v>1230</v>
      </c>
      <c r="O2792" s="5">
        <f t="shared" si="43"/>
        <v>7.3003017309830082E-2</v>
      </c>
      <c r="P2792" s="2" t="s">
        <v>22</v>
      </c>
    </row>
    <row r="2793" spans="1:16" x14ac:dyDescent="0.25">
      <c r="A2793" s="6" t="s">
        <v>5655</v>
      </c>
      <c r="B2793" s="6" t="s">
        <v>5656</v>
      </c>
      <c r="C2793" s="6" t="s">
        <v>18</v>
      </c>
      <c r="D2793" s="7" t="s">
        <v>231</v>
      </c>
      <c r="E2793" s="7" t="s">
        <v>45</v>
      </c>
      <c r="F2793" s="6" t="s">
        <v>73</v>
      </c>
      <c r="G2793" s="8">
        <v>238346</v>
      </c>
      <c r="H2793" s="8">
        <v>74494</v>
      </c>
      <c r="I2793" s="8">
        <v>56979</v>
      </c>
      <c r="J2793" s="8">
        <v>2476</v>
      </c>
      <c r="K2793" s="8">
        <v>396</v>
      </c>
      <c r="L2793" s="8">
        <v>273</v>
      </c>
      <c r="M2793" s="8">
        <v>572</v>
      </c>
      <c r="N2793" s="8">
        <v>2252</v>
      </c>
      <c r="O2793" s="9">
        <f t="shared" si="43"/>
        <v>6.523456010108987E-2</v>
      </c>
      <c r="P2793" s="6" t="s">
        <v>66</v>
      </c>
    </row>
    <row r="2794" spans="1:16" x14ac:dyDescent="0.25">
      <c r="A2794" s="2" t="s">
        <v>5657</v>
      </c>
      <c r="B2794" s="2" t="s">
        <v>5658</v>
      </c>
      <c r="C2794" s="2" t="s">
        <v>25</v>
      </c>
      <c r="D2794" s="3" t="s">
        <v>244</v>
      </c>
      <c r="E2794" s="3" t="s">
        <v>20</v>
      </c>
      <c r="F2794" s="2" t="s">
        <v>54</v>
      </c>
      <c r="G2794" s="4">
        <v>47599</v>
      </c>
      <c r="H2794" s="4">
        <v>12900</v>
      </c>
      <c r="I2794" s="4">
        <v>10544</v>
      </c>
      <c r="J2794" s="4">
        <v>761</v>
      </c>
      <c r="K2794" s="4">
        <v>26</v>
      </c>
      <c r="L2794" s="4">
        <v>105</v>
      </c>
      <c r="M2794" s="4">
        <v>150</v>
      </c>
      <c r="N2794" s="4">
        <v>157</v>
      </c>
      <c r="O2794" s="5">
        <f t="shared" si="43"/>
        <v>9.8823975720789076E-2</v>
      </c>
      <c r="P2794" s="2" t="s">
        <v>66</v>
      </c>
    </row>
    <row r="2795" spans="1:16" x14ac:dyDescent="0.25">
      <c r="A2795" s="6" t="s">
        <v>5659</v>
      </c>
      <c r="B2795" s="6" t="s">
        <v>5660</v>
      </c>
      <c r="C2795" s="6" t="s">
        <v>18</v>
      </c>
      <c r="D2795" s="7" t="s">
        <v>19</v>
      </c>
      <c r="E2795" s="7" t="s">
        <v>45</v>
      </c>
      <c r="F2795" s="6" t="s">
        <v>58</v>
      </c>
      <c r="G2795" s="8">
        <v>291524</v>
      </c>
      <c r="H2795" s="8">
        <v>70135</v>
      </c>
      <c r="I2795" s="8">
        <v>56246</v>
      </c>
      <c r="J2795" s="8">
        <v>3232</v>
      </c>
      <c r="K2795" s="8">
        <v>412</v>
      </c>
      <c r="L2795" s="8">
        <v>345</v>
      </c>
      <c r="M2795" s="8">
        <v>349</v>
      </c>
      <c r="N2795" s="8">
        <v>694</v>
      </c>
      <c r="O2795" s="9">
        <f t="shared" si="43"/>
        <v>7.7125484478896278E-2</v>
      </c>
      <c r="P2795" s="6" t="s">
        <v>22</v>
      </c>
    </row>
    <row r="2796" spans="1:16" x14ac:dyDescent="0.25">
      <c r="A2796" s="2" t="s">
        <v>5661</v>
      </c>
      <c r="B2796" s="2" t="s">
        <v>5662</v>
      </c>
      <c r="C2796" s="2" t="s">
        <v>76</v>
      </c>
      <c r="D2796" s="3" t="s">
        <v>182</v>
      </c>
      <c r="E2796" s="3" t="s">
        <v>27</v>
      </c>
      <c r="F2796" s="2" t="s">
        <v>87</v>
      </c>
      <c r="G2796" s="4">
        <v>772722</v>
      </c>
      <c r="H2796" s="4">
        <v>1399658</v>
      </c>
      <c r="I2796" s="4">
        <v>1013366</v>
      </c>
      <c r="J2796" s="4">
        <v>52710</v>
      </c>
      <c r="K2796" s="4">
        <v>8217</v>
      </c>
      <c r="L2796" s="4">
        <v>3041</v>
      </c>
      <c r="M2796" s="4">
        <v>10767</v>
      </c>
      <c r="N2796" s="4">
        <v>22615</v>
      </c>
      <c r="O2796" s="5">
        <f t="shared" si="43"/>
        <v>7.3749267293356985E-2</v>
      </c>
      <c r="P2796" s="2" t="s">
        <v>29</v>
      </c>
    </row>
    <row r="2797" spans="1:16" x14ac:dyDescent="0.25">
      <c r="A2797" s="6" t="s">
        <v>5663</v>
      </c>
      <c r="B2797" s="6" t="s">
        <v>5664</v>
      </c>
      <c r="C2797" s="6" t="s">
        <v>43</v>
      </c>
      <c r="D2797" s="7" t="s">
        <v>69</v>
      </c>
      <c r="E2797" s="7" t="s">
        <v>50</v>
      </c>
      <c r="F2797" s="6" t="s">
        <v>107</v>
      </c>
      <c r="G2797" s="8">
        <v>617397</v>
      </c>
      <c r="H2797" s="8">
        <v>58372</v>
      </c>
      <c r="I2797" s="8">
        <v>48362</v>
      </c>
      <c r="J2797" s="8">
        <v>4062</v>
      </c>
      <c r="K2797" s="8">
        <v>522</v>
      </c>
      <c r="L2797" s="8">
        <v>492</v>
      </c>
      <c r="M2797" s="8">
        <v>3</v>
      </c>
      <c r="N2797" s="8">
        <v>1061</v>
      </c>
      <c r="O2797" s="9">
        <f t="shared" si="43"/>
        <v>0.10502047061742691</v>
      </c>
      <c r="P2797" s="6" t="s">
        <v>29</v>
      </c>
    </row>
    <row r="2798" spans="1:16" x14ac:dyDescent="0.25">
      <c r="A2798" s="2" t="s">
        <v>5665</v>
      </c>
      <c r="B2798" s="2" t="s">
        <v>5666</v>
      </c>
      <c r="C2798" s="2" t="s">
        <v>18</v>
      </c>
      <c r="D2798" s="3" t="s">
        <v>92</v>
      </c>
      <c r="E2798" s="3" t="s">
        <v>20</v>
      </c>
      <c r="F2798" s="2" t="s">
        <v>21</v>
      </c>
      <c r="G2798" s="4">
        <v>299487</v>
      </c>
      <c r="H2798" s="4">
        <v>59466</v>
      </c>
      <c r="I2798" s="4">
        <v>54154</v>
      </c>
      <c r="J2798" s="4">
        <v>2221</v>
      </c>
      <c r="K2798" s="4">
        <v>362</v>
      </c>
      <c r="L2798" s="4">
        <v>69</v>
      </c>
      <c r="M2798" s="4">
        <v>143</v>
      </c>
      <c r="N2798" s="4">
        <v>1115</v>
      </c>
      <c r="O2798" s="5">
        <f t="shared" si="43"/>
        <v>5.1612069283894078E-2</v>
      </c>
      <c r="P2798" s="2" t="s">
        <v>29</v>
      </c>
    </row>
    <row r="2799" spans="1:16" x14ac:dyDescent="0.25">
      <c r="A2799" s="6" t="s">
        <v>5667</v>
      </c>
      <c r="B2799" s="6" t="s">
        <v>5668</v>
      </c>
      <c r="C2799" s="6" t="s">
        <v>76</v>
      </c>
      <c r="D2799" s="7" t="s">
        <v>103</v>
      </c>
      <c r="E2799" s="7" t="s">
        <v>50</v>
      </c>
      <c r="F2799" s="6" t="s">
        <v>87</v>
      </c>
      <c r="G2799" s="8">
        <v>230069</v>
      </c>
      <c r="H2799" s="8">
        <v>113867</v>
      </c>
      <c r="I2799" s="8">
        <v>91122</v>
      </c>
      <c r="J2799" s="8">
        <v>4439</v>
      </c>
      <c r="K2799" s="8">
        <v>390</v>
      </c>
      <c r="L2799" s="8">
        <v>97</v>
      </c>
      <c r="M2799" s="8">
        <v>604</v>
      </c>
      <c r="N2799" s="8">
        <v>3871</v>
      </c>
      <c r="O2799" s="9">
        <f t="shared" si="43"/>
        <v>6.068786901077676E-2</v>
      </c>
      <c r="P2799" s="6" t="s">
        <v>22</v>
      </c>
    </row>
    <row r="2800" spans="1:16" x14ac:dyDescent="0.25">
      <c r="A2800" s="2" t="s">
        <v>5669</v>
      </c>
      <c r="B2800" s="2" t="s">
        <v>5670</v>
      </c>
      <c r="C2800" s="2" t="s">
        <v>43</v>
      </c>
      <c r="D2800" s="3" t="s">
        <v>44</v>
      </c>
      <c r="E2800" s="3" t="s">
        <v>50</v>
      </c>
      <c r="F2800" s="2" t="s">
        <v>70</v>
      </c>
      <c r="G2800" s="4">
        <v>350764</v>
      </c>
      <c r="H2800" s="4">
        <v>141386</v>
      </c>
      <c r="I2800" s="4">
        <v>107238</v>
      </c>
      <c r="J2800" s="4">
        <v>3944</v>
      </c>
      <c r="K2800" s="4">
        <v>389</v>
      </c>
      <c r="L2800" s="4">
        <v>105</v>
      </c>
      <c r="M2800" s="4">
        <v>9</v>
      </c>
      <c r="N2800" s="4">
        <v>982</v>
      </c>
      <c r="O2800" s="5">
        <f t="shared" si="43"/>
        <v>4.146850929707753E-2</v>
      </c>
      <c r="P2800" s="2" t="s">
        <v>29</v>
      </c>
    </row>
    <row r="2801" spans="1:16" x14ac:dyDescent="0.25">
      <c r="A2801" s="6" t="s">
        <v>5671</v>
      </c>
      <c r="B2801" s="6" t="s">
        <v>5672</v>
      </c>
      <c r="C2801" s="6" t="s">
        <v>18</v>
      </c>
      <c r="D2801" s="7" t="s">
        <v>226</v>
      </c>
      <c r="E2801" s="7" t="s">
        <v>34</v>
      </c>
      <c r="F2801" s="6" t="s">
        <v>21</v>
      </c>
      <c r="G2801" s="8">
        <v>746310</v>
      </c>
      <c r="H2801" s="8">
        <v>427681</v>
      </c>
      <c r="I2801" s="8">
        <v>378983</v>
      </c>
      <c r="J2801" s="8">
        <v>15124</v>
      </c>
      <c r="K2801" s="8">
        <v>2158</v>
      </c>
      <c r="L2801" s="8">
        <v>1514</v>
      </c>
      <c r="M2801" s="8">
        <v>1552</v>
      </c>
      <c r="N2801" s="8">
        <v>2597</v>
      </c>
      <c r="O2801" s="9">
        <f t="shared" si="43"/>
        <v>5.3691062659802682E-2</v>
      </c>
      <c r="P2801" s="6" t="s">
        <v>22</v>
      </c>
    </row>
    <row r="2802" spans="1:16" x14ac:dyDescent="0.25">
      <c r="A2802" s="2" t="s">
        <v>5673</v>
      </c>
      <c r="B2802" s="2" t="s">
        <v>5674</v>
      </c>
      <c r="C2802" s="2" t="s">
        <v>18</v>
      </c>
      <c r="D2802" s="3" t="s">
        <v>57</v>
      </c>
      <c r="E2802" s="3" t="s">
        <v>20</v>
      </c>
      <c r="F2802" s="2" t="s">
        <v>58</v>
      </c>
      <c r="G2802" s="4">
        <v>367155</v>
      </c>
      <c r="H2802" s="4">
        <v>207124</v>
      </c>
      <c r="I2802" s="4">
        <v>167623</v>
      </c>
      <c r="J2802" s="4">
        <v>10347</v>
      </c>
      <c r="K2802" s="4">
        <v>425</v>
      </c>
      <c r="L2802" s="4">
        <v>402</v>
      </c>
      <c r="M2802" s="4">
        <v>1425</v>
      </c>
      <c r="N2802" s="4">
        <v>3035</v>
      </c>
      <c r="O2802" s="5">
        <f t="shared" si="43"/>
        <v>7.5162716333677354E-2</v>
      </c>
      <c r="P2802" s="2" t="s">
        <v>22</v>
      </c>
    </row>
    <row r="2803" spans="1:16" x14ac:dyDescent="0.25">
      <c r="A2803" s="6" t="s">
        <v>5675</v>
      </c>
      <c r="B2803" s="6" t="s">
        <v>5676</v>
      </c>
      <c r="C2803" s="6" t="s">
        <v>25</v>
      </c>
      <c r="D2803" s="7" t="s">
        <v>244</v>
      </c>
      <c r="E2803" s="7" t="s">
        <v>34</v>
      </c>
      <c r="F2803" s="6" t="s">
        <v>65</v>
      </c>
      <c r="G2803" s="8">
        <v>756646</v>
      </c>
      <c r="H2803" s="8">
        <v>379551</v>
      </c>
      <c r="I2803" s="8">
        <v>321986</v>
      </c>
      <c r="J2803" s="8">
        <v>10513</v>
      </c>
      <c r="K2803" s="8">
        <v>1522</v>
      </c>
      <c r="L2803" s="8">
        <v>524</v>
      </c>
      <c r="M2803" s="8">
        <v>1019</v>
      </c>
      <c r="N2803" s="8">
        <v>2341</v>
      </c>
      <c r="O2803" s="9">
        <f t="shared" si="43"/>
        <v>4.2169535321411489E-2</v>
      </c>
      <c r="P2803" s="6" t="s">
        <v>29</v>
      </c>
    </row>
    <row r="2804" spans="1:16" x14ac:dyDescent="0.25">
      <c r="A2804" s="2" t="s">
        <v>5677</v>
      </c>
      <c r="B2804" s="2" t="s">
        <v>5678</v>
      </c>
      <c r="C2804" s="2" t="s">
        <v>43</v>
      </c>
      <c r="D2804" s="3" t="s">
        <v>44</v>
      </c>
      <c r="E2804" s="3" t="s">
        <v>34</v>
      </c>
      <c r="F2804" s="2" t="s">
        <v>107</v>
      </c>
      <c r="G2804" s="4">
        <v>105666</v>
      </c>
      <c r="H2804" s="4">
        <v>50926</v>
      </c>
      <c r="I2804" s="4">
        <v>44304</v>
      </c>
      <c r="J2804" s="4">
        <v>1097</v>
      </c>
      <c r="K2804" s="4">
        <v>130</v>
      </c>
      <c r="L2804" s="4">
        <v>119</v>
      </c>
      <c r="M2804" s="4">
        <v>7</v>
      </c>
      <c r="N2804" s="4">
        <v>506</v>
      </c>
      <c r="O2804" s="5">
        <f t="shared" si="43"/>
        <v>3.0539003250270855E-2</v>
      </c>
      <c r="P2804" s="2" t="s">
        <v>29</v>
      </c>
    </row>
    <row r="2805" spans="1:16" x14ac:dyDescent="0.25">
      <c r="A2805" s="6" t="s">
        <v>5679</v>
      </c>
      <c r="B2805" s="6" t="s">
        <v>5680</v>
      </c>
      <c r="C2805" s="6" t="s">
        <v>43</v>
      </c>
      <c r="D2805" s="7" t="s">
        <v>44</v>
      </c>
      <c r="E2805" s="7" t="s">
        <v>45</v>
      </c>
      <c r="F2805" s="6" t="s">
        <v>107</v>
      </c>
      <c r="G2805" s="8">
        <v>833448</v>
      </c>
      <c r="H2805" s="8">
        <v>311974</v>
      </c>
      <c r="I2805" s="8">
        <v>277243</v>
      </c>
      <c r="J2805" s="8">
        <v>11965</v>
      </c>
      <c r="K2805" s="8">
        <v>496</v>
      </c>
      <c r="L2805" s="8">
        <v>1343</v>
      </c>
      <c r="M2805" s="8">
        <v>16</v>
      </c>
      <c r="N2805" s="8">
        <v>7387</v>
      </c>
      <c r="O2805" s="9">
        <f t="shared" si="43"/>
        <v>4.9847967306658782E-2</v>
      </c>
      <c r="P2805" s="6" t="s">
        <v>29</v>
      </c>
    </row>
    <row r="2806" spans="1:16" x14ac:dyDescent="0.25">
      <c r="A2806" s="2" t="s">
        <v>5681</v>
      </c>
      <c r="B2806" s="2" t="s">
        <v>5682</v>
      </c>
      <c r="C2806" s="2" t="s">
        <v>18</v>
      </c>
      <c r="D2806" s="3" t="s">
        <v>226</v>
      </c>
      <c r="E2806" s="3" t="s">
        <v>20</v>
      </c>
      <c r="F2806" s="2" t="s">
        <v>58</v>
      </c>
      <c r="G2806" s="4">
        <v>449584</v>
      </c>
      <c r="H2806" s="4">
        <v>80482</v>
      </c>
      <c r="I2806" s="4">
        <v>65766</v>
      </c>
      <c r="J2806" s="4">
        <v>5037</v>
      </c>
      <c r="K2806" s="4">
        <v>623</v>
      </c>
      <c r="L2806" s="4">
        <v>660</v>
      </c>
      <c r="M2806" s="4">
        <v>1097</v>
      </c>
      <c r="N2806" s="4">
        <v>2561</v>
      </c>
      <c r="O2806" s="5">
        <f t="shared" si="43"/>
        <v>0.11277863941854453</v>
      </c>
      <c r="P2806" s="2" t="s">
        <v>22</v>
      </c>
    </row>
    <row r="2807" spans="1:16" x14ac:dyDescent="0.25">
      <c r="A2807" s="6" t="s">
        <v>5683</v>
      </c>
      <c r="B2807" s="6" t="s">
        <v>5684</v>
      </c>
      <c r="C2807" s="6" t="s">
        <v>76</v>
      </c>
      <c r="D2807" s="7" t="s">
        <v>86</v>
      </c>
      <c r="E2807" s="7" t="s">
        <v>27</v>
      </c>
      <c r="F2807" s="6" t="s">
        <v>155</v>
      </c>
      <c r="G2807" s="8">
        <v>735285</v>
      </c>
      <c r="H2807" s="8">
        <v>121024</v>
      </c>
      <c r="I2807" s="8">
        <v>89749</v>
      </c>
      <c r="J2807" s="8">
        <v>7764</v>
      </c>
      <c r="K2807" s="8">
        <v>806</v>
      </c>
      <c r="L2807" s="8">
        <v>657</v>
      </c>
      <c r="M2807" s="8">
        <v>1190</v>
      </c>
      <c r="N2807" s="8">
        <v>3013</v>
      </c>
      <c r="O2807" s="9">
        <f t="shared" si="43"/>
        <v>0.11606814560607917</v>
      </c>
      <c r="P2807" s="6" t="s">
        <v>22</v>
      </c>
    </row>
    <row r="2808" spans="1:16" x14ac:dyDescent="0.25">
      <c r="A2808" s="2" t="s">
        <v>5685</v>
      </c>
      <c r="B2808" s="2" t="s">
        <v>5686</v>
      </c>
      <c r="C2808" s="2" t="s">
        <v>76</v>
      </c>
      <c r="D2808" s="3" t="s">
        <v>189</v>
      </c>
      <c r="E2808" s="3" t="s">
        <v>45</v>
      </c>
      <c r="F2808" s="2" t="s">
        <v>155</v>
      </c>
      <c r="G2808" s="4">
        <v>266158</v>
      </c>
      <c r="H2808" s="4">
        <v>97650</v>
      </c>
      <c r="I2808" s="4">
        <v>73147</v>
      </c>
      <c r="J2808" s="4">
        <v>4053</v>
      </c>
      <c r="K2808" s="4">
        <v>556</v>
      </c>
      <c r="L2808" s="4">
        <v>534</v>
      </c>
      <c r="M2808" s="4">
        <v>380</v>
      </c>
      <c r="N2808" s="4">
        <v>2663</v>
      </c>
      <c r="O2808" s="5">
        <f t="shared" si="43"/>
        <v>7.5505488946915111E-2</v>
      </c>
      <c r="P2808" s="2" t="s">
        <v>22</v>
      </c>
    </row>
    <row r="2809" spans="1:16" x14ac:dyDescent="0.25">
      <c r="A2809" s="6" t="s">
        <v>5687</v>
      </c>
      <c r="B2809" s="6" t="s">
        <v>5688</v>
      </c>
      <c r="C2809" s="6" t="s">
        <v>76</v>
      </c>
      <c r="D2809" s="7" t="s">
        <v>189</v>
      </c>
      <c r="E2809" s="7" t="s">
        <v>20</v>
      </c>
      <c r="F2809" s="6" t="s">
        <v>155</v>
      </c>
      <c r="G2809" s="8">
        <v>832398</v>
      </c>
      <c r="H2809" s="8">
        <v>106398</v>
      </c>
      <c r="I2809" s="8">
        <v>83546</v>
      </c>
      <c r="J2809" s="8">
        <v>3174</v>
      </c>
      <c r="K2809" s="8">
        <v>134</v>
      </c>
      <c r="L2809" s="8">
        <v>404</v>
      </c>
      <c r="M2809" s="8">
        <v>740</v>
      </c>
      <c r="N2809" s="8">
        <v>2414</v>
      </c>
      <c r="O2809" s="9">
        <f t="shared" si="43"/>
        <v>5.3288009001029375E-2</v>
      </c>
      <c r="P2809" s="6" t="s">
        <v>66</v>
      </c>
    </row>
    <row r="2810" spans="1:16" x14ac:dyDescent="0.25">
      <c r="A2810" s="2" t="s">
        <v>5689</v>
      </c>
      <c r="B2810" s="2" t="s">
        <v>5690</v>
      </c>
      <c r="C2810" s="2" t="s">
        <v>32</v>
      </c>
      <c r="D2810" s="3" t="s">
        <v>121</v>
      </c>
      <c r="E2810" s="3" t="s">
        <v>34</v>
      </c>
      <c r="F2810" s="2" t="s">
        <v>35</v>
      </c>
      <c r="G2810" s="4">
        <v>617414</v>
      </c>
      <c r="H2810" s="4">
        <v>88229</v>
      </c>
      <c r="I2810" s="4">
        <v>78275</v>
      </c>
      <c r="J2810" s="4">
        <v>1869</v>
      </c>
      <c r="K2810" s="4">
        <v>132</v>
      </c>
      <c r="L2810" s="4">
        <v>200</v>
      </c>
      <c r="M2810" s="4">
        <v>39</v>
      </c>
      <c r="N2810" s="4">
        <v>512</v>
      </c>
      <c r="O2810" s="5">
        <f t="shared" si="43"/>
        <v>2.8617055253912487E-2</v>
      </c>
      <c r="P2810" s="2" t="s">
        <v>22</v>
      </c>
    </row>
    <row r="2811" spans="1:16" x14ac:dyDescent="0.25">
      <c r="A2811" s="6" t="s">
        <v>5691</v>
      </c>
      <c r="B2811" s="6" t="s">
        <v>5692</v>
      </c>
      <c r="C2811" s="6" t="s">
        <v>32</v>
      </c>
      <c r="D2811" s="7" t="s">
        <v>121</v>
      </c>
      <c r="E2811" s="7" t="s">
        <v>20</v>
      </c>
      <c r="F2811" s="6" t="s">
        <v>35</v>
      </c>
      <c r="G2811" s="8">
        <v>24140</v>
      </c>
      <c r="H2811" s="8">
        <v>7674</v>
      </c>
      <c r="I2811" s="8">
        <v>5720</v>
      </c>
      <c r="J2811" s="8">
        <v>529</v>
      </c>
      <c r="K2811" s="8">
        <v>63</v>
      </c>
      <c r="L2811" s="8">
        <v>77</v>
      </c>
      <c r="M2811" s="8">
        <v>2</v>
      </c>
      <c r="N2811" s="8">
        <v>128</v>
      </c>
      <c r="O2811" s="9">
        <f t="shared" si="43"/>
        <v>0.11730769230769231</v>
      </c>
      <c r="P2811" s="6" t="s">
        <v>29</v>
      </c>
    </row>
    <row r="2812" spans="1:16" x14ac:dyDescent="0.25">
      <c r="A2812" s="2" t="s">
        <v>5693</v>
      </c>
      <c r="B2812" s="2" t="s">
        <v>5694</v>
      </c>
      <c r="C2812" s="2" t="s">
        <v>18</v>
      </c>
      <c r="D2812" s="3" t="s">
        <v>231</v>
      </c>
      <c r="E2812" s="3" t="s">
        <v>34</v>
      </c>
      <c r="F2812" s="2" t="s">
        <v>73</v>
      </c>
      <c r="G2812" s="4">
        <v>679451</v>
      </c>
      <c r="H2812" s="4">
        <v>1132054</v>
      </c>
      <c r="I2812" s="4">
        <v>961488</v>
      </c>
      <c r="J2812" s="4">
        <v>26264</v>
      </c>
      <c r="K2812" s="4">
        <v>1647</v>
      </c>
      <c r="L2812" s="4">
        <v>1945</v>
      </c>
      <c r="M2812" s="4">
        <v>4579</v>
      </c>
      <c r="N2812" s="4">
        <v>17910</v>
      </c>
      <c r="O2812" s="5">
        <f t="shared" si="43"/>
        <v>3.5814279533389913E-2</v>
      </c>
      <c r="P2812" s="2" t="s">
        <v>29</v>
      </c>
    </row>
    <row r="2813" spans="1:16" x14ac:dyDescent="0.25">
      <c r="A2813" s="6" t="s">
        <v>5695</v>
      </c>
      <c r="B2813" s="6" t="s">
        <v>5696</v>
      </c>
      <c r="C2813" s="6" t="s">
        <v>18</v>
      </c>
      <c r="D2813" s="7" t="s">
        <v>231</v>
      </c>
      <c r="E2813" s="7" t="s">
        <v>39</v>
      </c>
      <c r="F2813" s="6" t="s">
        <v>58</v>
      </c>
      <c r="G2813" s="8">
        <v>329267</v>
      </c>
      <c r="H2813" s="8">
        <v>136142</v>
      </c>
      <c r="I2813" s="8">
        <v>103923</v>
      </c>
      <c r="J2813" s="8">
        <v>3274</v>
      </c>
      <c r="K2813" s="8">
        <v>160</v>
      </c>
      <c r="L2813" s="8">
        <v>155</v>
      </c>
      <c r="M2813" s="8">
        <v>206</v>
      </c>
      <c r="N2813" s="8">
        <v>877</v>
      </c>
      <c r="O2813" s="9">
        <f t="shared" si="43"/>
        <v>3.6517421552495599E-2</v>
      </c>
      <c r="P2813" s="6" t="s">
        <v>22</v>
      </c>
    </row>
    <row r="2814" spans="1:16" x14ac:dyDescent="0.25">
      <c r="A2814" s="2" t="s">
        <v>5697</v>
      </c>
      <c r="B2814" s="2" t="s">
        <v>5698</v>
      </c>
      <c r="C2814" s="2" t="s">
        <v>43</v>
      </c>
      <c r="D2814" s="3" t="s">
        <v>172</v>
      </c>
      <c r="E2814" s="3" t="s">
        <v>34</v>
      </c>
      <c r="F2814" s="2" t="s">
        <v>46</v>
      </c>
      <c r="G2814" s="4">
        <v>420806</v>
      </c>
      <c r="H2814" s="4">
        <v>61884</v>
      </c>
      <c r="I2814" s="4">
        <v>50190</v>
      </c>
      <c r="J2814" s="4">
        <v>3992</v>
      </c>
      <c r="K2814" s="4">
        <v>658</v>
      </c>
      <c r="L2814" s="4">
        <v>397</v>
      </c>
      <c r="M2814" s="4">
        <v>34</v>
      </c>
      <c r="N2814" s="4">
        <v>700</v>
      </c>
      <c r="O2814" s="5">
        <f t="shared" si="43"/>
        <v>0.1012353058378163</v>
      </c>
      <c r="P2814" s="2" t="s">
        <v>22</v>
      </c>
    </row>
    <row r="2815" spans="1:16" x14ac:dyDescent="0.25">
      <c r="A2815" s="6" t="s">
        <v>5699</v>
      </c>
      <c r="B2815" s="6" t="s">
        <v>5700</v>
      </c>
      <c r="C2815" s="6" t="s">
        <v>25</v>
      </c>
      <c r="D2815" s="7" t="s">
        <v>145</v>
      </c>
      <c r="E2815" s="7" t="s">
        <v>39</v>
      </c>
      <c r="F2815" s="6" t="s">
        <v>65</v>
      </c>
      <c r="G2815" s="8">
        <v>295139</v>
      </c>
      <c r="H2815" s="8">
        <v>184381</v>
      </c>
      <c r="I2815" s="8">
        <v>168579</v>
      </c>
      <c r="J2815" s="8">
        <v>12170</v>
      </c>
      <c r="K2815" s="8">
        <v>1160</v>
      </c>
      <c r="L2815" s="8">
        <v>769</v>
      </c>
      <c r="M2815" s="8">
        <v>665</v>
      </c>
      <c r="N2815" s="8">
        <v>4755</v>
      </c>
      <c r="O2815" s="9">
        <f t="shared" si="43"/>
        <v>8.7579117209142299E-2</v>
      </c>
      <c r="P2815" s="6" t="s">
        <v>29</v>
      </c>
    </row>
    <row r="2816" spans="1:16" x14ac:dyDescent="0.25">
      <c r="A2816" s="2" t="s">
        <v>5701</v>
      </c>
      <c r="B2816" s="2" t="s">
        <v>5702</v>
      </c>
      <c r="C2816" s="2" t="s">
        <v>32</v>
      </c>
      <c r="D2816" s="3" t="s">
        <v>38</v>
      </c>
      <c r="E2816" s="3" t="s">
        <v>45</v>
      </c>
      <c r="F2816" s="2" t="s">
        <v>51</v>
      </c>
      <c r="G2816" s="4">
        <v>776150</v>
      </c>
      <c r="H2816" s="4">
        <v>209149</v>
      </c>
      <c r="I2816" s="4">
        <v>162711</v>
      </c>
      <c r="J2816" s="4">
        <v>15974</v>
      </c>
      <c r="K2816" s="4">
        <v>2539</v>
      </c>
      <c r="L2816" s="4">
        <v>2174</v>
      </c>
      <c r="M2816" s="4">
        <v>39</v>
      </c>
      <c r="N2816" s="4">
        <v>3067</v>
      </c>
      <c r="O2816" s="5">
        <f t="shared" si="43"/>
        <v>0.12737921836876426</v>
      </c>
      <c r="P2816" s="2" t="s">
        <v>29</v>
      </c>
    </row>
    <row r="2817" spans="1:16" x14ac:dyDescent="0.25">
      <c r="A2817" s="6" t="s">
        <v>5703</v>
      </c>
      <c r="B2817" s="6" t="s">
        <v>5704</v>
      </c>
      <c r="C2817" s="6" t="s">
        <v>25</v>
      </c>
      <c r="D2817" s="7" t="s">
        <v>61</v>
      </c>
      <c r="E2817" s="7" t="s">
        <v>34</v>
      </c>
      <c r="F2817" s="6" t="s">
        <v>146</v>
      </c>
      <c r="G2817" s="8">
        <v>447621</v>
      </c>
      <c r="H2817" s="8">
        <v>177469</v>
      </c>
      <c r="I2817" s="8">
        <v>157427</v>
      </c>
      <c r="J2817" s="8">
        <v>12946</v>
      </c>
      <c r="K2817" s="8">
        <v>1304</v>
      </c>
      <c r="L2817" s="8">
        <v>876</v>
      </c>
      <c r="M2817" s="8">
        <v>1173</v>
      </c>
      <c r="N2817" s="8">
        <v>5118</v>
      </c>
      <c r="O2817" s="9">
        <f t="shared" si="43"/>
        <v>0.10353370133458682</v>
      </c>
      <c r="P2817" s="6" t="s">
        <v>66</v>
      </c>
    </row>
    <row r="2818" spans="1:16" x14ac:dyDescent="0.25">
      <c r="A2818" s="2" t="s">
        <v>5705</v>
      </c>
      <c r="B2818" s="2" t="s">
        <v>5706</v>
      </c>
      <c r="C2818" s="2" t="s">
        <v>32</v>
      </c>
      <c r="D2818" s="3" t="s">
        <v>38</v>
      </c>
      <c r="E2818" s="3" t="s">
        <v>20</v>
      </c>
      <c r="F2818" s="2" t="s">
        <v>51</v>
      </c>
      <c r="G2818" s="4">
        <v>523085</v>
      </c>
      <c r="H2818" s="4">
        <v>1030969</v>
      </c>
      <c r="I2818" s="4">
        <v>825602</v>
      </c>
      <c r="J2818" s="4">
        <v>23388</v>
      </c>
      <c r="K2818" s="4">
        <v>3601</v>
      </c>
      <c r="L2818" s="4">
        <v>546</v>
      </c>
      <c r="M2818" s="4">
        <v>31</v>
      </c>
      <c r="N2818" s="4">
        <v>21849</v>
      </c>
      <c r="O2818" s="5">
        <f t="shared" ref="O2818:O2881" si="44">IF(I2818&gt;0, (J2818+K2818+L2818+M2818)/I2818, 0)</f>
        <v>3.338896950346535E-2</v>
      </c>
      <c r="P2818" s="2" t="s">
        <v>29</v>
      </c>
    </row>
    <row r="2819" spans="1:16" x14ac:dyDescent="0.25">
      <c r="A2819" s="6" t="s">
        <v>5707</v>
      </c>
      <c r="B2819" s="6" t="s">
        <v>5708</v>
      </c>
      <c r="C2819" s="6" t="s">
        <v>25</v>
      </c>
      <c r="D2819" s="7" t="s">
        <v>145</v>
      </c>
      <c r="E2819" s="7" t="s">
        <v>27</v>
      </c>
      <c r="F2819" s="6" t="s">
        <v>146</v>
      </c>
      <c r="G2819" s="8">
        <v>253459</v>
      </c>
      <c r="H2819" s="8">
        <v>34266</v>
      </c>
      <c r="I2819" s="8">
        <v>27039</v>
      </c>
      <c r="J2819" s="8">
        <v>1913</v>
      </c>
      <c r="K2819" s="8">
        <v>233</v>
      </c>
      <c r="L2819" s="8">
        <v>181</v>
      </c>
      <c r="M2819" s="8">
        <v>228</v>
      </c>
      <c r="N2819" s="8">
        <v>895</v>
      </c>
      <c r="O2819" s="9">
        <f t="shared" si="44"/>
        <v>9.4493139539184146E-2</v>
      </c>
      <c r="P2819" s="6" t="s">
        <v>22</v>
      </c>
    </row>
    <row r="2820" spans="1:16" x14ac:dyDescent="0.25">
      <c r="A2820" s="2" t="s">
        <v>5709</v>
      </c>
      <c r="B2820" s="2" t="s">
        <v>5710</v>
      </c>
      <c r="C2820" s="2" t="s">
        <v>32</v>
      </c>
      <c r="D2820" s="3" t="s">
        <v>121</v>
      </c>
      <c r="E2820" s="3" t="s">
        <v>34</v>
      </c>
      <c r="F2820" s="2" t="s">
        <v>128</v>
      </c>
      <c r="G2820" s="4">
        <v>525406</v>
      </c>
      <c r="H2820" s="4">
        <v>120116</v>
      </c>
      <c r="I2820" s="4">
        <v>107753</v>
      </c>
      <c r="J2820" s="4">
        <v>2748</v>
      </c>
      <c r="K2820" s="4">
        <v>174</v>
      </c>
      <c r="L2820" s="4">
        <v>265</v>
      </c>
      <c r="M2820" s="4">
        <v>47</v>
      </c>
      <c r="N2820" s="4">
        <v>3019</v>
      </c>
      <c r="O2820" s="5">
        <f t="shared" si="44"/>
        <v>3.0013085482538768E-2</v>
      </c>
      <c r="P2820" s="2" t="s">
        <v>66</v>
      </c>
    </row>
    <row r="2821" spans="1:16" x14ac:dyDescent="0.25">
      <c r="A2821" s="6" t="s">
        <v>5711</v>
      </c>
      <c r="B2821" s="6" t="s">
        <v>5712</v>
      </c>
      <c r="C2821" s="6" t="s">
        <v>25</v>
      </c>
      <c r="D2821" s="7" t="s">
        <v>64</v>
      </c>
      <c r="E2821" s="7" t="s">
        <v>45</v>
      </c>
      <c r="F2821" s="6" t="s">
        <v>146</v>
      </c>
      <c r="G2821" s="8">
        <v>491386</v>
      </c>
      <c r="H2821" s="8">
        <v>286223</v>
      </c>
      <c r="I2821" s="8">
        <v>227528</v>
      </c>
      <c r="J2821" s="8">
        <v>6044</v>
      </c>
      <c r="K2821" s="8">
        <v>424</v>
      </c>
      <c r="L2821" s="8">
        <v>630</v>
      </c>
      <c r="M2821" s="8">
        <v>1338</v>
      </c>
      <c r="N2821" s="8">
        <v>1754</v>
      </c>
      <c r="O2821" s="9">
        <f t="shared" si="44"/>
        <v>3.7076755388347808E-2</v>
      </c>
      <c r="P2821" s="6" t="s">
        <v>29</v>
      </c>
    </row>
    <row r="2822" spans="1:16" x14ac:dyDescent="0.25">
      <c r="A2822" s="2" t="s">
        <v>5713</v>
      </c>
      <c r="B2822" s="2" t="s">
        <v>5714</v>
      </c>
      <c r="C2822" s="2" t="s">
        <v>43</v>
      </c>
      <c r="D2822" s="3" t="s">
        <v>110</v>
      </c>
      <c r="E2822" s="3" t="s">
        <v>39</v>
      </c>
      <c r="F2822" s="2" t="s">
        <v>46</v>
      </c>
      <c r="G2822" s="4">
        <v>758555</v>
      </c>
      <c r="H2822" s="4">
        <v>122131</v>
      </c>
      <c r="I2822" s="4">
        <v>104495</v>
      </c>
      <c r="J2822" s="4">
        <v>6749</v>
      </c>
      <c r="K2822" s="4">
        <v>590</v>
      </c>
      <c r="L2822" s="4">
        <v>579</v>
      </c>
      <c r="M2822" s="4">
        <v>25</v>
      </c>
      <c r="N2822" s="4">
        <v>3920</v>
      </c>
      <c r="O2822" s="5">
        <f t="shared" si="44"/>
        <v>7.6013206373510694E-2</v>
      </c>
      <c r="P2822" s="2" t="s">
        <v>29</v>
      </c>
    </row>
    <row r="2823" spans="1:16" x14ac:dyDescent="0.25">
      <c r="A2823" s="6" t="s">
        <v>5715</v>
      </c>
      <c r="B2823" s="6" t="s">
        <v>5716</v>
      </c>
      <c r="C2823" s="6" t="s">
        <v>25</v>
      </c>
      <c r="D2823" s="7" t="s">
        <v>61</v>
      </c>
      <c r="E2823" s="7" t="s">
        <v>39</v>
      </c>
      <c r="F2823" s="6" t="s">
        <v>28</v>
      </c>
      <c r="G2823" s="8">
        <v>371889</v>
      </c>
      <c r="H2823" s="8">
        <v>158312</v>
      </c>
      <c r="I2823" s="8">
        <v>129355</v>
      </c>
      <c r="J2823" s="8">
        <v>4840</v>
      </c>
      <c r="K2823" s="8">
        <v>538</v>
      </c>
      <c r="L2823" s="8">
        <v>446</v>
      </c>
      <c r="M2823" s="8">
        <v>639</v>
      </c>
      <c r="N2823" s="8">
        <v>4519</v>
      </c>
      <c r="O2823" s="9">
        <f t="shared" si="44"/>
        <v>4.9963279347531989E-2</v>
      </c>
      <c r="P2823" s="6" t="s">
        <v>22</v>
      </c>
    </row>
    <row r="2824" spans="1:16" x14ac:dyDescent="0.25">
      <c r="A2824" s="2" t="s">
        <v>5717</v>
      </c>
      <c r="B2824" s="2" t="s">
        <v>5718</v>
      </c>
      <c r="C2824" s="2" t="s">
        <v>25</v>
      </c>
      <c r="D2824" s="3" t="s">
        <v>26</v>
      </c>
      <c r="E2824" s="3" t="s">
        <v>20</v>
      </c>
      <c r="F2824" s="2" t="s">
        <v>65</v>
      </c>
      <c r="G2824" s="4">
        <v>811095</v>
      </c>
      <c r="H2824" s="4">
        <v>81991</v>
      </c>
      <c r="I2824" s="4">
        <v>66630</v>
      </c>
      <c r="J2824" s="4">
        <v>3796</v>
      </c>
      <c r="K2824" s="4">
        <v>240</v>
      </c>
      <c r="L2824" s="4">
        <v>440</v>
      </c>
      <c r="M2824" s="4">
        <v>647</v>
      </c>
      <c r="N2824" s="4">
        <v>1499</v>
      </c>
      <c r="O2824" s="5">
        <f t="shared" si="44"/>
        <v>7.6887288008404622E-2</v>
      </c>
      <c r="P2824" s="2" t="s">
        <v>29</v>
      </c>
    </row>
    <row r="2825" spans="1:16" x14ac:dyDescent="0.25">
      <c r="A2825" s="6" t="s">
        <v>5719</v>
      </c>
      <c r="B2825" s="6" t="s">
        <v>5720</v>
      </c>
      <c r="C2825" s="6" t="s">
        <v>18</v>
      </c>
      <c r="D2825" s="7" t="s">
        <v>19</v>
      </c>
      <c r="E2825" s="7" t="s">
        <v>45</v>
      </c>
      <c r="F2825" s="6" t="s">
        <v>73</v>
      </c>
      <c r="G2825" s="8">
        <v>19316</v>
      </c>
      <c r="H2825" s="8">
        <v>53791</v>
      </c>
      <c r="I2825" s="8">
        <v>39617</v>
      </c>
      <c r="J2825" s="8">
        <v>2648</v>
      </c>
      <c r="K2825" s="8">
        <v>451</v>
      </c>
      <c r="L2825" s="8">
        <v>170</v>
      </c>
      <c r="M2825" s="8">
        <v>580</v>
      </c>
      <c r="N2825" s="8">
        <v>745</v>
      </c>
      <c r="O2825" s="9">
        <f t="shared" si="44"/>
        <v>9.7155261630108292E-2</v>
      </c>
      <c r="P2825" s="6" t="s">
        <v>29</v>
      </c>
    </row>
    <row r="2826" spans="1:16" x14ac:dyDescent="0.25">
      <c r="A2826" s="2" t="s">
        <v>5721</v>
      </c>
      <c r="B2826" s="2" t="s">
        <v>5722</v>
      </c>
      <c r="C2826" s="2" t="s">
        <v>25</v>
      </c>
      <c r="D2826" s="3" t="s">
        <v>145</v>
      </c>
      <c r="E2826" s="3" t="s">
        <v>39</v>
      </c>
      <c r="F2826" s="2" t="s">
        <v>65</v>
      </c>
      <c r="G2826" s="4">
        <v>425329</v>
      </c>
      <c r="H2826" s="4">
        <v>232972</v>
      </c>
      <c r="I2826" s="4">
        <v>184038</v>
      </c>
      <c r="J2826" s="4">
        <v>5898</v>
      </c>
      <c r="K2826" s="4">
        <v>511</v>
      </c>
      <c r="L2826" s="4">
        <v>802</v>
      </c>
      <c r="M2826" s="4">
        <v>1325</v>
      </c>
      <c r="N2826" s="4">
        <v>4699</v>
      </c>
      <c r="O2826" s="5">
        <f t="shared" si="44"/>
        <v>4.6381725513209231E-2</v>
      </c>
      <c r="P2826" s="2" t="s">
        <v>29</v>
      </c>
    </row>
    <row r="2827" spans="1:16" x14ac:dyDescent="0.25">
      <c r="A2827" s="6" t="s">
        <v>5723</v>
      </c>
      <c r="B2827" s="6" t="s">
        <v>5724</v>
      </c>
      <c r="C2827" s="6" t="s">
        <v>18</v>
      </c>
      <c r="D2827" s="7" t="s">
        <v>19</v>
      </c>
      <c r="E2827" s="7" t="s">
        <v>45</v>
      </c>
      <c r="F2827" s="6" t="s">
        <v>58</v>
      </c>
      <c r="G2827" s="8">
        <v>444521</v>
      </c>
      <c r="H2827" s="8">
        <v>68702</v>
      </c>
      <c r="I2827" s="8">
        <v>51394</v>
      </c>
      <c r="J2827" s="8">
        <v>4745</v>
      </c>
      <c r="K2827" s="8">
        <v>320</v>
      </c>
      <c r="L2827" s="8">
        <v>488</v>
      </c>
      <c r="M2827" s="8">
        <v>276</v>
      </c>
      <c r="N2827" s="8">
        <v>1701</v>
      </c>
      <c r="O2827" s="9">
        <f t="shared" si="44"/>
        <v>0.11341790870529633</v>
      </c>
      <c r="P2827" s="6" t="s">
        <v>29</v>
      </c>
    </row>
    <row r="2828" spans="1:16" x14ac:dyDescent="0.25">
      <c r="A2828" s="2" t="s">
        <v>5725</v>
      </c>
      <c r="B2828" s="2" t="s">
        <v>5726</v>
      </c>
      <c r="C2828" s="2" t="s">
        <v>25</v>
      </c>
      <c r="D2828" s="3" t="s">
        <v>61</v>
      </c>
      <c r="E2828" s="3" t="s">
        <v>27</v>
      </c>
      <c r="F2828" s="2" t="s">
        <v>65</v>
      </c>
      <c r="G2828" s="4">
        <v>205544</v>
      </c>
      <c r="H2828" s="4">
        <v>122492</v>
      </c>
      <c r="I2828" s="4">
        <v>92582</v>
      </c>
      <c r="J2828" s="4">
        <v>9653</v>
      </c>
      <c r="K2828" s="4">
        <v>1723</v>
      </c>
      <c r="L2828" s="4">
        <v>949</v>
      </c>
      <c r="M2828" s="4">
        <v>526</v>
      </c>
      <c r="N2828" s="4">
        <v>1052</v>
      </c>
      <c r="O2828" s="5">
        <f t="shared" si="44"/>
        <v>0.13880667948413297</v>
      </c>
      <c r="P2828" s="2" t="s">
        <v>22</v>
      </c>
    </row>
    <row r="2829" spans="1:16" x14ac:dyDescent="0.25">
      <c r="A2829" s="6" t="s">
        <v>5727</v>
      </c>
      <c r="B2829" s="6" t="s">
        <v>5728</v>
      </c>
      <c r="C2829" s="6" t="s">
        <v>25</v>
      </c>
      <c r="D2829" s="7" t="s">
        <v>61</v>
      </c>
      <c r="E2829" s="7" t="s">
        <v>45</v>
      </c>
      <c r="F2829" s="6" t="s">
        <v>65</v>
      </c>
      <c r="G2829" s="8">
        <v>834708</v>
      </c>
      <c r="H2829" s="8">
        <v>173889</v>
      </c>
      <c r="I2829" s="8">
        <v>142988</v>
      </c>
      <c r="J2829" s="8">
        <v>12786</v>
      </c>
      <c r="K2829" s="8">
        <v>2044</v>
      </c>
      <c r="L2829" s="8">
        <v>828</v>
      </c>
      <c r="M2829" s="8">
        <v>3031</v>
      </c>
      <c r="N2829" s="8">
        <v>985</v>
      </c>
      <c r="O2829" s="9">
        <f t="shared" si="44"/>
        <v>0.13070327579936777</v>
      </c>
      <c r="P2829" s="6" t="s">
        <v>22</v>
      </c>
    </row>
    <row r="2830" spans="1:16" x14ac:dyDescent="0.25">
      <c r="A2830" s="2" t="s">
        <v>5729</v>
      </c>
      <c r="B2830" s="2" t="s">
        <v>5730</v>
      </c>
      <c r="C2830" s="2" t="s">
        <v>43</v>
      </c>
      <c r="D2830" s="3" t="s">
        <v>81</v>
      </c>
      <c r="E2830" s="3" t="s">
        <v>50</v>
      </c>
      <c r="F2830" s="2" t="s">
        <v>107</v>
      </c>
      <c r="G2830" s="4">
        <v>554950</v>
      </c>
      <c r="H2830" s="4">
        <v>207739</v>
      </c>
      <c r="I2830" s="4">
        <v>148877</v>
      </c>
      <c r="J2830" s="4">
        <v>4929</v>
      </c>
      <c r="K2830" s="4">
        <v>673</v>
      </c>
      <c r="L2830" s="4">
        <v>506</v>
      </c>
      <c r="M2830" s="4">
        <v>14</v>
      </c>
      <c r="N2830" s="4">
        <v>6722</v>
      </c>
      <c r="O2830" s="5">
        <f t="shared" si="44"/>
        <v>4.1121194005790014E-2</v>
      </c>
      <c r="P2830" s="2" t="s">
        <v>22</v>
      </c>
    </row>
    <row r="2831" spans="1:16" x14ac:dyDescent="0.25">
      <c r="A2831" s="6" t="s">
        <v>5731</v>
      </c>
      <c r="B2831" s="6" t="s">
        <v>5732</v>
      </c>
      <c r="C2831" s="6" t="s">
        <v>43</v>
      </c>
      <c r="D2831" s="7" t="s">
        <v>172</v>
      </c>
      <c r="E2831" s="7" t="s">
        <v>20</v>
      </c>
      <c r="F2831" s="6" t="s">
        <v>107</v>
      </c>
      <c r="G2831" s="8">
        <v>679454</v>
      </c>
      <c r="H2831" s="8">
        <v>188769</v>
      </c>
      <c r="I2831" s="8">
        <v>135749</v>
      </c>
      <c r="J2831" s="8">
        <v>6139</v>
      </c>
      <c r="K2831" s="8">
        <v>901</v>
      </c>
      <c r="L2831" s="8">
        <v>569</v>
      </c>
      <c r="M2831" s="8">
        <v>6</v>
      </c>
      <c r="N2831" s="8">
        <v>2667</v>
      </c>
      <c r="O2831" s="9">
        <f t="shared" si="44"/>
        <v>5.6096177504070012E-2</v>
      </c>
      <c r="P2831" s="6" t="s">
        <v>22</v>
      </c>
    </row>
    <row r="2832" spans="1:16" x14ac:dyDescent="0.25">
      <c r="A2832" s="2" t="s">
        <v>5733</v>
      </c>
      <c r="B2832" s="2" t="s">
        <v>5734</v>
      </c>
      <c r="C2832" s="2" t="s">
        <v>18</v>
      </c>
      <c r="D2832" s="3" t="s">
        <v>226</v>
      </c>
      <c r="E2832" s="3" t="s">
        <v>39</v>
      </c>
      <c r="F2832" s="2" t="s">
        <v>58</v>
      </c>
      <c r="G2832" s="4">
        <v>235675</v>
      </c>
      <c r="H2832" s="4">
        <v>36704</v>
      </c>
      <c r="I2832" s="4">
        <v>27307</v>
      </c>
      <c r="J2832" s="4">
        <v>1517</v>
      </c>
      <c r="K2832" s="4">
        <v>198</v>
      </c>
      <c r="L2832" s="4">
        <v>158</v>
      </c>
      <c r="M2832" s="4">
        <v>319</v>
      </c>
      <c r="N2832" s="4">
        <v>671</v>
      </c>
      <c r="O2832" s="5">
        <f t="shared" si="44"/>
        <v>8.0272457611601428E-2</v>
      </c>
      <c r="P2832" s="2" t="s">
        <v>22</v>
      </c>
    </row>
    <row r="2833" spans="1:16" x14ac:dyDescent="0.25">
      <c r="A2833" s="6" t="s">
        <v>5735</v>
      </c>
      <c r="B2833" s="6" t="s">
        <v>5736</v>
      </c>
      <c r="C2833" s="6" t="s">
        <v>76</v>
      </c>
      <c r="D2833" s="7" t="s">
        <v>103</v>
      </c>
      <c r="E2833" s="7" t="s">
        <v>20</v>
      </c>
      <c r="F2833" s="6" t="s">
        <v>78</v>
      </c>
      <c r="G2833" s="8">
        <v>510180</v>
      </c>
      <c r="H2833" s="8">
        <v>288082</v>
      </c>
      <c r="I2833" s="8">
        <v>258236</v>
      </c>
      <c r="J2833" s="8">
        <v>12395</v>
      </c>
      <c r="K2833" s="8">
        <v>482</v>
      </c>
      <c r="L2833" s="8">
        <v>602</v>
      </c>
      <c r="M2833" s="8">
        <v>2748</v>
      </c>
      <c r="N2833" s="8">
        <v>3246</v>
      </c>
      <c r="O2833" s="9">
        <f t="shared" si="44"/>
        <v>6.2837869235892754E-2</v>
      </c>
      <c r="P2833" s="6" t="s">
        <v>66</v>
      </c>
    </row>
    <row r="2834" spans="1:16" x14ac:dyDescent="0.25">
      <c r="A2834" s="2" t="s">
        <v>5737</v>
      </c>
      <c r="B2834" s="2" t="s">
        <v>5738</v>
      </c>
      <c r="C2834" s="2" t="s">
        <v>32</v>
      </c>
      <c r="D2834" s="3" t="s">
        <v>38</v>
      </c>
      <c r="E2834" s="3" t="s">
        <v>34</v>
      </c>
      <c r="F2834" s="2" t="s">
        <v>40</v>
      </c>
      <c r="G2834" s="4">
        <v>804116</v>
      </c>
      <c r="H2834" s="4">
        <v>445203</v>
      </c>
      <c r="I2834" s="4">
        <v>333571</v>
      </c>
      <c r="J2834" s="4">
        <v>25353</v>
      </c>
      <c r="K2834" s="4">
        <v>2421</v>
      </c>
      <c r="L2834" s="4">
        <v>2843</v>
      </c>
      <c r="M2834" s="4">
        <v>41</v>
      </c>
      <c r="N2834" s="4">
        <v>5902</v>
      </c>
      <c r="O2834" s="5">
        <f t="shared" si="44"/>
        <v>9.1908469261416603E-2</v>
      </c>
      <c r="P2834" s="2" t="s">
        <v>66</v>
      </c>
    </row>
    <row r="2835" spans="1:16" x14ac:dyDescent="0.25">
      <c r="A2835" s="6" t="s">
        <v>5739</v>
      </c>
      <c r="B2835" s="6" t="s">
        <v>5740</v>
      </c>
      <c r="C2835" s="6" t="s">
        <v>18</v>
      </c>
      <c r="D2835" s="7" t="s">
        <v>19</v>
      </c>
      <c r="E2835" s="7" t="s">
        <v>39</v>
      </c>
      <c r="F2835" s="6" t="s">
        <v>58</v>
      </c>
      <c r="G2835" s="8">
        <v>574683</v>
      </c>
      <c r="H2835" s="8">
        <v>191289</v>
      </c>
      <c r="I2835" s="8">
        <v>163166</v>
      </c>
      <c r="J2835" s="8">
        <v>11644</v>
      </c>
      <c r="K2835" s="8">
        <v>1649</v>
      </c>
      <c r="L2835" s="8">
        <v>950</v>
      </c>
      <c r="M2835" s="8">
        <v>722</v>
      </c>
      <c r="N2835" s="8">
        <v>3176</v>
      </c>
      <c r="O2835" s="9">
        <f t="shared" si="44"/>
        <v>9.1716411507299311E-2</v>
      </c>
      <c r="P2835" s="6" t="s">
        <v>22</v>
      </c>
    </row>
    <row r="2836" spans="1:16" x14ac:dyDescent="0.25">
      <c r="A2836" s="2" t="s">
        <v>5741</v>
      </c>
      <c r="B2836" s="2" t="s">
        <v>5742</v>
      </c>
      <c r="C2836" s="2" t="s">
        <v>18</v>
      </c>
      <c r="D2836" s="3" t="s">
        <v>226</v>
      </c>
      <c r="E2836" s="3" t="s">
        <v>27</v>
      </c>
      <c r="F2836" s="2" t="s">
        <v>58</v>
      </c>
      <c r="G2836" s="4">
        <v>323966</v>
      </c>
      <c r="H2836" s="4">
        <v>1543905</v>
      </c>
      <c r="I2836" s="4">
        <v>1361022</v>
      </c>
      <c r="J2836" s="4">
        <v>85362</v>
      </c>
      <c r="K2836" s="4">
        <v>6753</v>
      </c>
      <c r="L2836" s="4">
        <v>9215</v>
      </c>
      <c r="M2836" s="4">
        <v>17756</v>
      </c>
      <c r="N2836" s="4">
        <v>49633</v>
      </c>
      <c r="O2836" s="5">
        <f t="shared" si="44"/>
        <v>8.7497483508716251E-2</v>
      </c>
      <c r="P2836" s="2" t="s">
        <v>29</v>
      </c>
    </row>
    <row r="2837" spans="1:16" x14ac:dyDescent="0.25">
      <c r="A2837" s="6" t="s">
        <v>5743</v>
      </c>
      <c r="B2837" s="6" t="s">
        <v>5744</v>
      </c>
      <c r="C2837" s="6" t="s">
        <v>25</v>
      </c>
      <c r="D2837" s="7" t="s">
        <v>26</v>
      </c>
      <c r="E2837" s="7" t="s">
        <v>27</v>
      </c>
      <c r="F2837" s="6" t="s">
        <v>146</v>
      </c>
      <c r="G2837" s="8">
        <v>658773</v>
      </c>
      <c r="H2837" s="8">
        <v>261803</v>
      </c>
      <c r="I2837" s="8">
        <v>210824</v>
      </c>
      <c r="J2837" s="8">
        <v>10395</v>
      </c>
      <c r="K2837" s="8">
        <v>312</v>
      </c>
      <c r="L2837" s="8">
        <v>511</v>
      </c>
      <c r="M2837" s="8">
        <v>2471</v>
      </c>
      <c r="N2837" s="8">
        <v>5009</v>
      </c>
      <c r="O2837" s="9">
        <f t="shared" si="44"/>
        <v>6.4930937654157028E-2</v>
      </c>
      <c r="P2837" s="6" t="s">
        <v>22</v>
      </c>
    </row>
    <row r="2838" spans="1:16" x14ac:dyDescent="0.25">
      <c r="A2838" s="2" t="s">
        <v>5745</v>
      </c>
      <c r="B2838" s="2" t="s">
        <v>5746</v>
      </c>
      <c r="C2838" s="2" t="s">
        <v>32</v>
      </c>
      <c r="D2838" s="3" t="s">
        <v>38</v>
      </c>
      <c r="E2838" s="3" t="s">
        <v>45</v>
      </c>
      <c r="F2838" s="2" t="s">
        <v>128</v>
      </c>
      <c r="G2838" s="4">
        <v>819923</v>
      </c>
      <c r="H2838" s="4">
        <v>368203</v>
      </c>
      <c r="I2838" s="4">
        <v>291614</v>
      </c>
      <c r="J2838" s="4">
        <v>15230</v>
      </c>
      <c r="K2838" s="4">
        <v>2314</v>
      </c>
      <c r="L2838" s="4">
        <v>1832</v>
      </c>
      <c r="M2838" s="4">
        <v>21</v>
      </c>
      <c r="N2838" s="4">
        <v>3838</v>
      </c>
      <c r="O2838" s="5">
        <f t="shared" si="44"/>
        <v>6.6516010891109478E-2</v>
      </c>
      <c r="P2838" s="2" t="s">
        <v>22</v>
      </c>
    </row>
    <row r="2839" spans="1:16" x14ac:dyDescent="0.25">
      <c r="A2839" s="6" t="s">
        <v>5747</v>
      </c>
      <c r="B2839" s="6" t="s">
        <v>5748</v>
      </c>
      <c r="C2839" s="6" t="s">
        <v>32</v>
      </c>
      <c r="D2839" s="7" t="s">
        <v>49</v>
      </c>
      <c r="E2839" s="7" t="s">
        <v>39</v>
      </c>
      <c r="F2839" s="6" t="s">
        <v>40</v>
      </c>
      <c r="G2839" s="8">
        <v>801140</v>
      </c>
      <c r="H2839" s="8">
        <v>371968</v>
      </c>
      <c r="I2839" s="8">
        <v>261513</v>
      </c>
      <c r="J2839" s="8">
        <v>24826</v>
      </c>
      <c r="K2839" s="8">
        <v>2920</v>
      </c>
      <c r="L2839" s="8">
        <v>3622</v>
      </c>
      <c r="M2839" s="8">
        <v>48</v>
      </c>
      <c r="N2839" s="8">
        <v>12876</v>
      </c>
      <c r="O2839" s="9">
        <f t="shared" si="44"/>
        <v>0.12013169517385369</v>
      </c>
      <c r="P2839" s="6" t="s">
        <v>22</v>
      </c>
    </row>
    <row r="2840" spans="1:16" x14ac:dyDescent="0.25">
      <c r="A2840" s="2" t="s">
        <v>5749</v>
      </c>
      <c r="B2840" s="2" t="s">
        <v>5750</v>
      </c>
      <c r="C2840" s="2" t="s">
        <v>18</v>
      </c>
      <c r="D2840" s="3" t="s">
        <v>231</v>
      </c>
      <c r="E2840" s="3" t="s">
        <v>20</v>
      </c>
      <c r="F2840" s="2" t="s">
        <v>58</v>
      </c>
      <c r="G2840" s="4">
        <v>691102</v>
      </c>
      <c r="H2840" s="4">
        <v>425226</v>
      </c>
      <c r="I2840" s="4">
        <v>361818</v>
      </c>
      <c r="J2840" s="4">
        <v>30345</v>
      </c>
      <c r="K2840" s="4">
        <v>2102</v>
      </c>
      <c r="L2840" s="4">
        <v>739</v>
      </c>
      <c r="M2840" s="4">
        <v>3077</v>
      </c>
      <c r="N2840" s="4">
        <v>5442</v>
      </c>
      <c r="O2840" s="5">
        <f t="shared" si="44"/>
        <v>0.10022442222332775</v>
      </c>
      <c r="P2840" s="2" t="s">
        <v>29</v>
      </c>
    </row>
    <row r="2841" spans="1:16" x14ac:dyDescent="0.25">
      <c r="A2841" s="6" t="s">
        <v>5751</v>
      </c>
      <c r="B2841" s="6" t="s">
        <v>5752</v>
      </c>
      <c r="C2841" s="6" t="s">
        <v>25</v>
      </c>
      <c r="D2841" s="7" t="s">
        <v>61</v>
      </c>
      <c r="E2841" s="7" t="s">
        <v>45</v>
      </c>
      <c r="F2841" s="6" t="s">
        <v>54</v>
      </c>
      <c r="G2841" s="8">
        <v>73868</v>
      </c>
      <c r="H2841" s="8">
        <v>36585</v>
      </c>
      <c r="I2841" s="8">
        <v>28708</v>
      </c>
      <c r="J2841" s="8">
        <v>2249</v>
      </c>
      <c r="K2841" s="8">
        <v>272</v>
      </c>
      <c r="L2841" s="8">
        <v>289</v>
      </c>
      <c r="M2841" s="8">
        <v>140</v>
      </c>
      <c r="N2841" s="8">
        <v>1124</v>
      </c>
      <c r="O2841" s="9">
        <f t="shared" si="44"/>
        <v>0.10275881287446008</v>
      </c>
      <c r="P2841" s="6" t="s">
        <v>22</v>
      </c>
    </row>
    <row r="2842" spans="1:16" x14ac:dyDescent="0.25">
      <c r="A2842" s="2" t="s">
        <v>5753</v>
      </c>
      <c r="B2842" s="2" t="s">
        <v>5754</v>
      </c>
      <c r="C2842" s="2" t="s">
        <v>43</v>
      </c>
      <c r="D2842" s="3" t="s">
        <v>69</v>
      </c>
      <c r="E2842" s="3" t="s">
        <v>34</v>
      </c>
      <c r="F2842" s="2" t="s">
        <v>46</v>
      </c>
      <c r="G2842" s="4">
        <v>809180</v>
      </c>
      <c r="H2842" s="4">
        <v>172360</v>
      </c>
      <c r="I2842" s="4">
        <v>157524</v>
      </c>
      <c r="J2842" s="4">
        <v>11495</v>
      </c>
      <c r="K2842" s="4">
        <v>732</v>
      </c>
      <c r="L2842" s="4">
        <v>426</v>
      </c>
      <c r="M2842" s="4">
        <v>37</v>
      </c>
      <c r="N2842" s="4">
        <v>4067</v>
      </c>
      <c r="O2842" s="5">
        <f t="shared" si="44"/>
        <v>8.0559152890988042E-2</v>
      </c>
      <c r="P2842" s="2" t="s">
        <v>29</v>
      </c>
    </row>
    <row r="2843" spans="1:16" x14ac:dyDescent="0.25">
      <c r="A2843" s="6" t="s">
        <v>5755</v>
      </c>
      <c r="B2843" s="6" t="s">
        <v>5756</v>
      </c>
      <c r="C2843" s="6" t="s">
        <v>18</v>
      </c>
      <c r="D2843" s="7" t="s">
        <v>231</v>
      </c>
      <c r="E2843" s="7" t="s">
        <v>50</v>
      </c>
      <c r="F2843" s="6" t="s">
        <v>21</v>
      </c>
      <c r="G2843" s="8">
        <v>844637</v>
      </c>
      <c r="H2843" s="8">
        <v>142597</v>
      </c>
      <c r="I2843" s="8">
        <v>107959</v>
      </c>
      <c r="J2843" s="8">
        <v>10446</v>
      </c>
      <c r="K2843" s="8">
        <v>1511</v>
      </c>
      <c r="L2843" s="8">
        <v>618</v>
      </c>
      <c r="M2843" s="8">
        <v>1408</v>
      </c>
      <c r="N2843" s="8">
        <v>2959</v>
      </c>
      <c r="O2843" s="9">
        <f t="shared" si="44"/>
        <v>0.12952139238044072</v>
      </c>
      <c r="P2843" s="6" t="s">
        <v>29</v>
      </c>
    </row>
    <row r="2844" spans="1:16" x14ac:dyDescent="0.25">
      <c r="A2844" s="2" t="s">
        <v>5757</v>
      </c>
      <c r="B2844" s="2" t="s">
        <v>5758</v>
      </c>
      <c r="C2844" s="2" t="s">
        <v>43</v>
      </c>
      <c r="D2844" s="3" t="s">
        <v>172</v>
      </c>
      <c r="E2844" s="3" t="s">
        <v>34</v>
      </c>
      <c r="F2844" s="2" t="s">
        <v>107</v>
      </c>
      <c r="G2844" s="4">
        <v>749269</v>
      </c>
      <c r="H2844" s="4">
        <v>145086</v>
      </c>
      <c r="I2844" s="4">
        <v>131503</v>
      </c>
      <c r="J2844" s="4">
        <v>4417</v>
      </c>
      <c r="K2844" s="4">
        <v>242</v>
      </c>
      <c r="L2844" s="4">
        <v>340</v>
      </c>
      <c r="M2844" s="4">
        <v>29</v>
      </c>
      <c r="N2844" s="4">
        <v>1176</v>
      </c>
      <c r="O2844" s="5">
        <f t="shared" si="44"/>
        <v>3.8234869166482895E-2</v>
      </c>
      <c r="P2844" s="2" t="s">
        <v>22</v>
      </c>
    </row>
    <row r="2845" spans="1:16" x14ac:dyDescent="0.25">
      <c r="A2845" s="6" t="s">
        <v>5759</v>
      </c>
      <c r="B2845" s="6" t="s">
        <v>5760</v>
      </c>
      <c r="C2845" s="6" t="s">
        <v>43</v>
      </c>
      <c r="D2845" s="7" t="s">
        <v>81</v>
      </c>
      <c r="E2845" s="7" t="s">
        <v>50</v>
      </c>
      <c r="F2845" s="6" t="s">
        <v>46</v>
      </c>
      <c r="G2845" s="8">
        <v>131049</v>
      </c>
      <c r="H2845" s="8">
        <v>40636</v>
      </c>
      <c r="I2845" s="8">
        <v>35065</v>
      </c>
      <c r="J2845" s="8">
        <v>1328</v>
      </c>
      <c r="K2845" s="8">
        <v>225</v>
      </c>
      <c r="L2845" s="8">
        <v>172</v>
      </c>
      <c r="M2845" s="8">
        <v>15</v>
      </c>
      <c r="N2845" s="8">
        <v>1107</v>
      </c>
      <c r="O2845" s="9">
        <f t="shared" si="44"/>
        <v>4.9622130329388281E-2</v>
      </c>
      <c r="P2845" s="6" t="s">
        <v>29</v>
      </c>
    </row>
    <row r="2846" spans="1:16" x14ac:dyDescent="0.25">
      <c r="A2846" s="2" t="s">
        <v>5761</v>
      </c>
      <c r="B2846" s="2" t="s">
        <v>5762</v>
      </c>
      <c r="C2846" s="2" t="s">
        <v>25</v>
      </c>
      <c r="D2846" s="3" t="s">
        <v>145</v>
      </c>
      <c r="E2846" s="3" t="s">
        <v>27</v>
      </c>
      <c r="F2846" s="2" t="s">
        <v>54</v>
      </c>
      <c r="G2846" s="4">
        <v>419625</v>
      </c>
      <c r="H2846" s="4">
        <v>240976</v>
      </c>
      <c r="I2846" s="4">
        <v>175060</v>
      </c>
      <c r="J2846" s="4">
        <v>7271</v>
      </c>
      <c r="K2846" s="4">
        <v>1032</v>
      </c>
      <c r="L2846" s="4">
        <v>770</v>
      </c>
      <c r="M2846" s="4">
        <v>1261</v>
      </c>
      <c r="N2846" s="4">
        <v>5148</v>
      </c>
      <c r="O2846" s="5">
        <f t="shared" si="44"/>
        <v>5.9031189306523478E-2</v>
      </c>
      <c r="P2846" s="2" t="s">
        <v>29</v>
      </c>
    </row>
    <row r="2847" spans="1:16" x14ac:dyDescent="0.25">
      <c r="A2847" s="6" t="s">
        <v>5763</v>
      </c>
      <c r="B2847" s="6" t="s">
        <v>5764</v>
      </c>
      <c r="C2847" s="6" t="s">
        <v>32</v>
      </c>
      <c r="D2847" s="7" t="s">
        <v>49</v>
      </c>
      <c r="E2847" s="7" t="s">
        <v>45</v>
      </c>
      <c r="F2847" s="6" t="s">
        <v>128</v>
      </c>
      <c r="G2847" s="8">
        <v>529103</v>
      </c>
      <c r="H2847" s="8">
        <v>136430</v>
      </c>
      <c r="I2847" s="8">
        <v>124724</v>
      </c>
      <c r="J2847" s="8">
        <v>7885</v>
      </c>
      <c r="K2847" s="8">
        <v>385</v>
      </c>
      <c r="L2847" s="8">
        <v>664</v>
      </c>
      <c r="M2847" s="8">
        <v>41</v>
      </c>
      <c r="N2847" s="8">
        <v>4673</v>
      </c>
      <c r="O2847" s="9">
        <f t="shared" si="44"/>
        <v>7.1958885218562585E-2</v>
      </c>
      <c r="P2847" s="6" t="s">
        <v>66</v>
      </c>
    </row>
    <row r="2848" spans="1:16" x14ac:dyDescent="0.25">
      <c r="A2848" s="2" t="s">
        <v>5765</v>
      </c>
      <c r="B2848" s="2" t="s">
        <v>5766</v>
      </c>
      <c r="C2848" s="2" t="s">
        <v>32</v>
      </c>
      <c r="D2848" s="3" t="s">
        <v>175</v>
      </c>
      <c r="E2848" s="3" t="s">
        <v>39</v>
      </c>
      <c r="F2848" s="2" t="s">
        <v>35</v>
      </c>
      <c r="G2848" s="4">
        <v>98971</v>
      </c>
      <c r="H2848" s="4">
        <v>37185</v>
      </c>
      <c r="I2848" s="4">
        <v>28968</v>
      </c>
      <c r="J2848" s="4">
        <v>2103</v>
      </c>
      <c r="K2848" s="4">
        <v>168</v>
      </c>
      <c r="L2848" s="4">
        <v>188</v>
      </c>
      <c r="M2848" s="4">
        <v>44</v>
      </c>
      <c r="N2848" s="4">
        <v>378</v>
      </c>
      <c r="O2848" s="5">
        <f t="shared" si="44"/>
        <v>8.6405689036177846E-2</v>
      </c>
      <c r="P2848" s="2" t="s">
        <v>66</v>
      </c>
    </row>
    <row r="2849" spans="1:16" x14ac:dyDescent="0.25">
      <c r="A2849" s="6" t="s">
        <v>5767</v>
      </c>
      <c r="B2849" s="6" t="s">
        <v>5768</v>
      </c>
      <c r="C2849" s="6" t="s">
        <v>76</v>
      </c>
      <c r="D2849" s="7" t="s">
        <v>189</v>
      </c>
      <c r="E2849" s="7" t="s">
        <v>20</v>
      </c>
      <c r="F2849" s="6" t="s">
        <v>78</v>
      </c>
      <c r="G2849" s="8">
        <v>797808</v>
      </c>
      <c r="H2849" s="8">
        <v>417308</v>
      </c>
      <c r="I2849" s="8">
        <v>315171</v>
      </c>
      <c r="J2849" s="8">
        <v>15091</v>
      </c>
      <c r="K2849" s="8">
        <v>2706</v>
      </c>
      <c r="L2849" s="8">
        <v>1240</v>
      </c>
      <c r="M2849" s="8">
        <v>3386</v>
      </c>
      <c r="N2849" s="8">
        <v>11552</v>
      </c>
      <c r="O2849" s="9">
        <f t="shared" si="44"/>
        <v>7.1145505138480378E-2</v>
      </c>
      <c r="P2849" s="6" t="s">
        <v>66</v>
      </c>
    </row>
    <row r="2850" spans="1:16" x14ac:dyDescent="0.25">
      <c r="A2850" s="2" t="s">
        <v>5769</v>
      </c>
      <c r="B2850" s="2" t="s">
        <v>5770</v>
      </c>
      <c r="C2850" s="2" t="s">
        <v>25</v>
      </c>
      <c r="D2850" s="3" t="s">
        <v>145</v>
      </c>
      <c r="E2850" s="3" t="s">
        <v>27</v>
      </c>
      <c r="F2850" s="2" t="s">
        <v>54</v>
      </c>
      <c r="G2850" s="4">
        <v>595773</v>
      </c>
      <c r="H2850" s="4">
        <v>198649</v>
      </c>
      <c r="I2850" s="4">
        <v>165435</v>
      </c>
      <c r="J2850" s="4">
        <v>3995</v>
      </c>
      <c r="K2850" s="4">
        <v>612</v>
      </c>
      <c r="L2850" s="4">
        <v>305</v>
      </c>
      <c r="M2850" s="4">
        <v>577</v>
      </c>
      <c r="N2850" s="4">
        <v>3540</v>
      </c>
      <c r="O2850" s="5">
        <f t="shared" si="44"/>
        <v>3.3179194245474053E-2</v>
      </c>
      <c r="P2850" s="2" t="s">
        <v>29</v>
      </c>
    </row>
    <row r="2851" spans="1:16" x14ac:dyDescent="0.25">
      <c r="A2851" s="6" t="s">
        <v>5771</v>
      </c>
      <c r="B2851" s="6" t="s">
        <v>5772</v>
      </c>
      <c r="C2851" s="6" t="s">
        <v>32</v>
      </c>
      <c r="D2851" s="7" t="s">
        <v>38</v>
      </c>
      <c r="E2851" s="7" t="s">
        <v>50</v>
      </c>
      <c r="F2851" s="6" t="s">
        <v>51</v>
      </c>
      <c r="G2851" s="8">
        <v>582925</v>
      </c>
      <c r="H2851" s="8">
        <v>179623</v>
      </c>
      <c r="I2851" s="8">
        <v>132112</v>
      </c>
      <c r="J2851" s="8">
        <v>7067</v>
      </c>
      <c r="K2851" s="8">
        <v>220</v>
      </c>
      <c r="L2851" s="8">
        <v>346</v>
      </c>
      <c r="M2851" s="8">
        <v>23</v>
      </c>
      <c r="N2851" s="8">
        <v>2217</v>
      </c>
      <c r="O2851" s="9">
        <f t="shared" si="44"/>
        <v>5.7950829599128013E-2</v>
      </c>
      <c r="P2851" s="6" t="s">
        <v>29</v>
      </c>
    </row>
    <row r="2852" spans="1:16" x14ac:dyDescent="0.25">
      <c r="A2852" s="2" t="s">
        <v>5773</v>
      </c>
      <c r="B2852" s="2" t="s">
        <v>5774</v>
      </c>
      <c r="C2852" s="2" t="s">
        <v>76</v>
      </c>
      <c r="D2852" s="3" t="s">
        <v>77</v>
      </c>
      <c r="E2852" s="3" t="s">
        <v>34</v>
      </c>
      <c r="F2852" s="2" t="s">
        <v>155</v>
      </c>
      <c r="G2852" s="4">
        <v>356183</v>
      </c>
      <c r="H2852" s="4">
        <v>170227</v>
      </c>
      <c r="I2852" s="4">
        <v>131423</v>
      </c>
      <c r="J2852" s="4">
        <v>12145</v>
      </c>
      <c r="K2852" s="4">
        <v>490</v>
      </c>
      <c r="L2852" s="4">
        <v>1157</v>
      </c>
      <c r="M2852" s="4">
        <v>2231</v>
      </c>
      <c r="N2852" s="4">
        <v>2680</v>
      </c>
      <c r="O2852" s="5">
        <f t="shared" si="44"/>
        <v>0.12191929875288192</v>
      </c>
      <c r="P2852" s="2" t="s">
        <v>22</v>
      </c>
    </row>
    <row r="2853" spans="1:16" x14ac:dyDescent="0.25">
      <c r="A2853" s="6" t="s">
        <v>5775</v>
      </c>
      <c r="B2853" s="6" t="s">
        <v>5776</v>
      </c>
      <c r="C2853" s="6" t="s">
        <v>25</v>
      </c>
      <c r="D2853" s="7" t="s">
        <v>145</v>
      </c>
      <c r="E2853" s="7" t="s">
        <v>45</v>
      </c>
      <c r="F2853" s="6" t="s">
        <v>65</v>
      </c>
      <c r="G2853" s="8">
        <v>4453</v>
      </c>
      <c r="H2853" s="8">
        <v>1708</v>
      </c>
      <c r="I2853" s="8">
        <v>1242</v>
      </c>
      <c r="J2853" s="8">
        <v>90</v>
      </c>
      <c r="K2853" s="8">
        <v>5</v>
      </c>
      <c r="L2853" s="8">
        <v>2</v>
      </c>
      <c r="M2853" s="8">
        <v>9</v>
      </c>
      <c r="N2853" s="8">
        <v>55</v>
      </c>
      <c r="O2853" s="9">
        <f t="shared" si="44"/>
        <v>8.5346215780998394E-2</v>
      </c>
      <c r="P2853" s="6" t="s">
        <v>22</v>
      </c>
    </row>
    <row r="2854" spans="1:16" x14ac:dyDescent="0.25">
      <c r="A2854" s="2" t="s">
        <v>5777</v>
      </c>
      <c r="B2854" s="2" t="s">
        <v>5778</v>
      </c>
      <c r="C2854" s="2" t="s">
        <v>25</v>
      </c>
      <c r="D2854" s="3" t="s">
        <v>26</v>
      </c>
      <c r="E2854" s="3" t="s">
        <v>39</v>
      </c>
      <c r="F2854" s="2" t="s">
        <v>146</v>
      </c>
      <c r="G2854" s="4">
        <v>460672</v>
      </c>
      <c r="H2854" s="4">
        <v>98632</v>
      </c>
      <c r="I2854" s="4">
        <v>87523</v>
      </c>
      <c r="J2854" s="4">
        <v>3749</v>
      </c>
      <c r="K2854" s="4">
        <v>488</v>
      </c>
      <c r="L2854" s="4">
        <v>425</v>
      </c>
      <c r="M2854" s="4">
        <v>860</v>
      </c>
      <c r="N2854" s="4">
        <v>1995</v>
      </c>
      <c r="O2854" s="5">
        <f t="shared" si="44"/>
        <v>6.3091987249065964E-2</v>
      </c>
      <c r="P2854" s="2" t="s">
        <v>22</v>
      </c>
    </row>
    <row r="2855" spans="1:16" x14ac:dyDescent="0.25">
      <c r="A2855" s="6" t="s">
        <v>5779</v>
      </c>
      <c r="B2855" s="6" t="s">
        <v>5780</v>
      </c>
      <c r="C2855" s="6" t="s">
        <v>25</v>
      </c>
      <c r="D2855" s="7" t="s">
        <v>26</v>
      </c>
      <c r="E2855" s="7" t="s">
        <v>39</v>
      </c>
      <c r="F2855" s="6" t="s">
        <v>146</v>
      </c>
      <c r="G2855" s="8">
        <v>594460</v>
      </c>
      <c r="H2855" s="8">
        <v>56746</v>
      </c>
      <c r="I2855" s="8">
        <v>48582</v>
      </c>
      <c r="J2855" s="8">
        <v>1213</v>
      </c>
      <c r="K2855" s="8">
        <v>61</v>
      </c>
      <c r="L2855" s="8">
        <v>180</v>
      </c>
      <c r="M2855" s="8">
        <v>132</v>
      </c>
      <c r="N2855" s="8">
        <v>1332</v>
      </c>
      <c r="O2855" s="9">
        <f t="shared" si="44"/>
        <v>3.2645835906302746E-2</v>
      </c>
      <c r="P2855" s="6" t="s">
        <v>29</v>
      </c>
    </row>
    <row r="2856" spans="1:16" x14ac:dyDescent="0.25">
      <c r="A2856" s="2" t="s">
        <v>5781</v>
      </c>
      <c r="B2856" s="2" t="s">
        <v>5782</v>
      </c>
      <c r="C2856" s="2" t="s">
        <v>25</v>
      </c>
      <c r="D2856" s="3" t="s">
        <v>244</v>
      </c>
      <c r="E2856" s="3" t="s">
        <v>39</v>
      </c>
      <c r="F2856" s="2" t="s">
        <v>28</v>
      </c>
      <c r="G2856" s="4">
        <v>225299</v>
      </c>
      <c r="H2856" s="4">
        <v>119684</v>
      </c>
      <c r="I2856" s="4">
        <v>85098</v>
      </c>
      <c r="J2856" s="4">
        <v>6717</v>
      </c>
      <c r="K2856" s="4">
        <v>688</v>
      </c>
      <c r="L2856" s="4">
        <v>919</v>
      </c>
      <c r="M2856" s="4">
        <v>416</v>
      </c>
      <c r="N2856" s="4">
        <v>2677</v>
      </c>
      <c r="O2856" s="5">
        <f t="shared" si="44"/>
        <v>0.10270511645397072</v>
      </c>
      <c r="P2856" s="2" t="s">
        <v>22</v>
      </c>
    </row>
    <row r="2857" spans="1:16" x14ac:dyDescent="0.25">
      <c r="A2857" s="6" t="s">
        <v>5783</v>
      </c>
      <c r="B2857" s="6" t="s">
        <v>5784</v>
      </c>
      <c r="C2857" s="6" t="s">
        <v>76</v>
      </c>
      <c r="D2857" s="7" t="s">
        <v>86</v>
      </c>
      <c r="E2857" s="7" t="s">
        <v>34</v>
      </c>
      <c r="F2857" s="6" t="s">
        <v>155</v>
      </c>
      <c r="G2857" s="8">
        <v>538953</v>
      </c>
      <c r="H2857" s="8">
        <v>224994</v>
      </c>
      <c r="I2857" s="8">
        <v>166998</v>
      </c>
      <c r="J2857" s="8">
        <v>14715</v>
      </c>
      <c r="K2857" s="8">
        <v>2586</v>
      </c>
      <c r="L2857" s="8">
        <v>1978</v>
      </c>
      <c r="M2857" s="8">
        <v>3433</v>
      </c>
      <c r="N2857" s="8">
        <v>1832</v>
      </c>
      <c r="O2857" s="9">
        <f t="shared" si="44"/>
        <v>0.1360016287620211</v>
      </c>
      <c r="P2857" s="6" t="s">
        <v>66</v>
      </c>
    </row>
    <row r="2858" spans="1:16" x14ac:dyDescent="0.25">
      <c r="A2858" s="2" t="s">
        <v>5785</v>
      </c>
      <c r="B2858" s="2" t="s">
        <v>5786</v>
      </c>
      <c r="C2858" s="2" t="s">
        <v>18</v>
      </c>
      <c r="D2858" s="3" t="s">
        <v>92</v>
      </c>
      <c r="E2858" s="3" t="s">
        <v>50</v>
      </c>
      <c r="F2858" s="2" t="s">
        <v>58</v>
      </c>
      <c r="G2858" s="4">
        <v>516376</v>
      </c>
      <c r="H2858" s="4">
        <v>64452</v>
      </c>
      <c r="I2858" s="4">
        <v>59120</v>
      </c>
      <c r="J2858" s="4">
        <v>1524</v>
      </c>
      <c r="K2858" s="4">
        <v>189</v>
      </c>
      <c r="L2858" s="4">
        <v>107</v>
      </c>
      <c r="M2858" s="4">
        <v>86</v>
      </c>
      <c r="N2858" s="4">
        <v>781</v>
      </c>
      <c r="O2858" s="5">
        <f t="shared" si="44"/>
        <v>3.2239512855209741E-2</v>
      </c>
      <c r="P2858" s="2" t="s">
        <v>22</v>
      </c>
    </row>
    <row r="2859" spans="1:16" x14ac:dyDescent="0.25">
      <c r="A2859" s="6" t="s">
        <v>5787</v>
      </c>
      <c r="B2859" s="6" t="s">
        <v>5788</v>
      </c>
      <c r="C2859" s="6" t="s">
        <v>18</v>
      </c>
      <c r="D2859" s="7" t="s">
        <v>231</v>
      </c>
      <c r="E2859" s="7" t="s">
        <v>39</v>
      </c>
      <c r="F2859" s="6" t="s">
        <v>73</v>
      </c>
      <c r="G2859" s="8">
        <v>20268</v>
      </c>
      <c r="H2859" s="8">
        <v>9716</v>
      </c>
      <c r="I2859" s="8">
        <v>7054</v>
      </c>
      <c r="J2859" s="8">
        <v>701</v>
      </c>
      <c r="K2859" s="8">
        <v>49</v>
      </c>
      <c r="L2859" s="8">
        <v>97</v>
      </c>
      <c r="M2859" s="8">
        <v>93</v>
      </c>
      <c r="N2859" s="8">
        <v>315</v>
      </c>
      <c r="O2859" s="9">
        <f t="shared" si="44"/>
        <v>0.13325772611284378</v>
      </c>
      <c r="P2859" s="6" t="s">
        <v>22</v>
      </c>
    </row>
    <row r="2860" spans="1:16" x14ac:dyDescent="0.25">
      <c r="A2860" s="2" t="s">
        <v>5789</v>
      </c>
      <c r="B2860" s="2" t="s">
        <v>5790</v>
      </c>
      <c r="C2860" s="2" t="s">
        <v>76</v>
      </c>
      <c r="D2860" s="3" t="s">
        <v>77</v>
      </c>
      <c r="E2860" s="3" t="s">
        <v>50</v>
      </c>
      <c r="F2860" s="2" t="s">
        <v>78</v>
      </c>
      <c r="G2860" s="4">
        <v>604714</v>
      </c>
      <c r="H2860" s="4">
        <v>265998</v>
      </c>
      <c r="I2860" s="4">
        <v>224038</v>
      </c>
      <c r="J2860" s="4">
        <v>7395</v>
      </c>
      <c r="K2860" s="4">
        <v>312</v>
      </c>
      <c r="L2860" s="4">
        <v>804</v>
      </c>
      <c r="M2860" s="4">
        <v>1250</v>
      </c>
      <c r="N2860" s="4">
        <v>9060</v>
      </c>
      <c r="O2860" s="5">
        <f t="shared" si="44"/>
        <v>4.3568501772020818E-2</v>
      </c>
      <c r="P2860" s="2" t="s">
        <v>22</v>
      </c>
    </row>
    <row r="2861" spans="1:16" x14ac:dyDescent="0.25">
      <c r="A2861" s="6" t="s">
        <v>5791</v>
      </c>
      <c r="B2861" s="6" t="s">
        <v>5792</v>
      </c>
      <c r="C2861" s="6" t="s">
        <v>76</v>
      </c>
      <c r="D2861" s="7" t="s">
        <v>189</v>
      </c>
      <c r="E2861" s="7" t="s">
        <v>34</v>
      </c>
      <c r="F2861" s="6" t="s">
        <v>155</v>
      </c>
      <c r="G2861" s="8">
        <v>400199</v>
      </c>
      <c r="H2861" s="8">
        <v>143815</v>
      </c>
      <c r="I2861" s="8">
        <v>110699</v>
      </c>
      <c r="J2861" s="8">
        <v>8911</v>
      </c>
      <c r="K2861" s="8">
        <v>439</v>
      </c>
      <c r="L2861" s="8">
        <v>1230</v>
      </c>
      <c r="M2861" s="8">
        <v>1918</v>
      </c>
      <c r="N2861" s="8">
        <v>4939</v>
      </c>
      <c r="O2861" s="9">
        <f t="shared" si="44"/>
        <v>0.11290074887758697</v>
      </c>
      <c r="P2861" s="6" t="s">
        <v>22</v>
      </c>
    </row>
    <row r="2862" spans="1:16" x14ac:dyDescent="0.25">
      <c r="A2862" s="2" t="s">
        <v>5793</v>
      </c>
      <c r="B2862" s="2" t="s">
        <v>5794</v>
      </c>
      <c r="C2862" s="2" t="s">
        <v>76</v>
      </c>
      <c r="D2862" s="3" t="s">
        <v>189</v>
      </c>
      <c r="E2862" s="3" t="s">
        <v>34</v>
      </c>
      <c r="F2862" s="2" t="s">
        <v>87</v>
      </c>
      <c r="G2862" s="4">
        <v>443473</v>
      </c>
      <c r="H2862" s="4">
        <v>38913</v>
      </c>
      <c r="I2862" s="4">
        <v>27942</v>
      </c>
      <c r="J2862" s="4">
        <v>2865</v>
      </c>
      <c r="K2862" s="4">
        <v>440</v>
      </c>
      <c r="L2862" s="4">
        <v>138</v>
      </c>
      <c r="M2862" s="4">
        <v>568</v>
      </c>
      <c r="N2862" s="4">
        <v>215</v>
      </c>
      <c r="O2862" s="5">
        <f t="shared" si="44"/>
        <v>0.14354734807816191</v>
      </c>
      <c r="P2862" s="2" t="s">
        <v>22</v>
      </c>
    </row>
    <row r="2863" spans="1:16" x14ac:dyDescent="0.25">
      <c r="A2863" s="6" t="s">
        <v>5795</v>
      </c>
      <c r="B2863" s="6" t="s">
        <v>5796</v>
      </c>
      <c r="C2863" s="6" t="s">
        <v>25</v>
      </c>
      <c r="D2863" s="7" t="s">
        <v>244</v>
      </c>
      <c r="E2863" s="7" t="s">
        <v>27</v>
      </c>
      <c r="F2863" s="6" t="s">
        <v>65</v>
      </c>
      <c r="G2863" s="8">
        <v>220157</v>
      </c>
      <c r="H2863" s="8">
        <v>17986</v>
      </c>
      <c r="I2863" s="8">
        <v>14228</v>
      </c>
      <c r="J2863" s="8">
        <v>1380</v>
      </c>
      <c r="K2863" s="8">
        <v>118</v>
      </c>
      <c r="L2863" s="8">
        <v>87</v>
      </c>
      <c r="M2863" s="8">
        <v>290</v>
      </c>
      <c r="N2863" s="8">
        <v>621</v>
      </c>
      <c r="O2863" s="9">
        <f t="shared" si="44"/>
        <v>0.13178240089963453</v>
      </c>
      <c r="P2863" s="6" t="s">
        <v>29</v>
      </c>
    </row>
    <row r="2864" spans="1:16" x14ac:dyDescent="0.25">
      <c r="A2864" s="2" t="s">
        <v>5797</v>
      </c>
      <c r="B2864" s="2" t="s">
        <v>5798</v>
      </c>
      <c r="C2864" s="2" t="s">
        <v>18</v>
      </c>
      <c r="D2864" s="3" t="s">
        <v>57</v>
      </c>
      <c r="E2864" s="3" t="s">
        <v>45</v>
      </c>
      <c r="F2864" s="2" t="s">
        <v>21</v>
      </c>
      <c r="G2864" s="4">
        <v>325738</v>
      </c>
      <c r="H2864" s="4">
        <v>211275</v>
      </c>
      <c r="I2864" s="4">
        <v>182385</v>
      </c>
      <c r="J2864" s="4">
        <v>11344</v>
      </c>
      <c r="K2864" s="4">
        <v>1984</v>
      </c>
      <c r="L2864" s="4">
        <v>1436</v>
      </c>
      <c r="M2864" s="4">
        <v>1791</v>
      </c>
      <c r="N2864" s="4">
        <v>6533</v>
      </c>
      <c r="O2864" s="5">
        <f t="shared" si="44"/>
        <v>9.0769526002686618E-2</v>
      </c>
      <c r="P2864" s="2" t="s">
        <v>22</v>
      </c>
    </row>
    <row r="2865" spans="1:16" x14ac:dyDescent="0.25">
      <c r="A2865" s="6" t="s">
        <v>5799</v>
      </c>
      <c r="B2865" s="6" t="s">
        <v>5800</v>
      </c>
      <c r="C2865" s="6" t="s">
        <v>32</v>
      </c>
      <c r="D2865" s="7" t="s">
        <v>38</v>
      </c>
      <c r="E2865" s="7" t="s">
        <v>27</v>
      </c>
      <c r="F2865" s="6" t="s">
        <v>40</v>
      </c>
      <c r="G2865" s="8">
        <v>340879</v>
      </c>
      <c r="H2865" s="8">
        <v>219774</v>
      </c>
      <c r="I2865" s="8">
        <v>173400</v>
      </c>
      <c r="J2865" s="8">
        <v>14050</v>
      </c>
      <c r="K2865" s="8">
        <v>764</v>
      </c>
      <c r="L2865" s="8">
        <v>797</v>
      </c>
      <c r="M2865" s="8">
        <v>21</v>
      </c>
      <c r="N2865" s="8">
        <v>6981</v>
      </c>
      <c r="O2865" s="9">
        <f t="shared" si="44"/>
        <v>9.0149942329873126E-2</v>
      </c>
      <c r="P2865" s="6" t="s">
        <v>29</v>
      </c>
    </row>
    <row r="2866" spans="1:16" x14ac:dyDescent="0.25">
      <c r="A2866" s="2" t="s">
        <v>5801</v>
      </c>
      <c r="B2866" s="2" t="s">
        <v>5802</v>
      </c>
      <c r="C2866" s="2" t="s">
        <v>76</v>
      </c>
      <c r="D2866" s="3" t="s">
        <v>77</v>
      </c>
      <c r="E2866" s="3" t="s">
        <v>45</v>
      </c>
      <c r="F2866" s="2" t="s">
        <v>155</v>
      </c>
      <c r="G2866" s="4">
        <v>390059</v>
      </c>
      <c r="H2866" s="4">
        <v>53025</v>
      </c>
      <c r="I2866" s="4">
        <v>39852</v>
      </c>
      <c r="J2866" s="4">
        <v>3109</v>
      </c>
      <c r="K2866" s="4">
        <v>363</v>
      </c>
      <c r="L2866" s="4">
        <v>342</v>
      </c>
      <c r="M2866" s="4">
        <v>661</v>
      </c>
      <c r="N2866" s="4">
        <v>902</v>
      </c>
      <c r="O2866" s="5">
        <f t="shared" si="44"/>
        <v>0.11229047475659942</v>
      </c>
      <c r="P2866" s="2" t="s">
        <v>22</v>
      </c>
    </row>
    <row r="2867" spans="1:16" x14ac:dyDescent="0.25">
      <c r="A2867" s="6" t="s">
        <v>5803</v>
      </c>
      <c r="B2867" s="6" t="s">
        <v>5804</v>
      </c>
      <c r="C2867" s="6" t="s">
        <v>18</v>
      </c>
      <c r="D2867" s="7" t="s">
        <v>19</v>
      </c>
      <c r="E2867" s="7" t="s">
        <v>34</v>
      </c>
      <c r="F2867" s="6" t="s">
        <v>73</v>
      </c>
      <c r="G2867" s="8">
        <v>350909</v>
      </c>
      <c r="H2867" s="8">
        <v>198187</v>
      </c>
      <c r="I2867" s="8">
        <v>161867</v>
      </c>
      <c r="J2867" s="8">
        <v>12479</v>
      </c>
      <c r="K2867" s="8">
        <v>863</v>
      </c>
      <c r="L2867" s="8">
        <v>1864</v>
      </c>
      <c r="M2867" s="8">
        <v>2136</v>
      </c>
      <c r="N2867" s="8">
        <v>1849</v>
      </c>
      <c r="O2867" s="9">
        <f t="shared" si="44"/>
        <v>0.10713734115045068</v>
      </c>
      <c r="P2867" s="6" t="s">
        <v>22</v>
      </c>
    </row>
    <row r="2868" spans="1:16" x14ac:dyDescent="0.25">
      <c r="A2868" s="2" t="s">
        <v>5805</v>
      </c>
      <c r="B2868" s="2" t="s">
        <v>5806</v>
      </c>
      <c r="C2868" s="2" t="s">
        <v>43</v>
      </c>
      <c r="D2868" s="3" t="s">
        <v>172</v>
      </c>
      <c r="E2868" s="3" t="s">
        <v>20</v>
      </c>
      <c r="F2868" s="2" t="s">
        <v>46</v>
      </c>
      <c r="G2868" s="4">
        <v>813744</v>
      </c>
      <c r="H2868" s="4">
        <v>315490</v>
      </c>
      <c r="I2868" s="4">
        <v>243362</v>
      </c>
      <c r="J2868" s="4">
        <v>16038</v>
      </c>
      <c r="K2868" s="4">
        <v>962</v>
      </c>
      <c r="L2868" s="4">
        <v>1811</v>
      </c>
      <c r="M2868" s="4">
        <v>34</v>
      </c>
      <c r="N2868" s="4">
        <v>2004</v>
      </c>
      <c r="O2868" s="5">
        <f t="shared" si="44"/>
        <v>7.743608287242873E-2</v>
      </c>
      <c r="P2868" s="2" t="s">
        <v>22</v>
      </c>
    </row>
    <row r="2869" spans="1:16" x14ac:dyDescent="0.25">
      <c r="A2869" s="6" t="s">
        <v>5807</v>
      </c>
      <c r="B2869" s="6" t="s">
        <v>5808</v>
      </c>
      <c r="C2869" s="6" t="s">
        <v>76</v>
      </c>
      <c r="D2869" s="7" t="s">
        <v>86</v>
      </c>
      <c r="E2869" s="7" t="s">
        <v>34</v>
      </c>
      <c r="F2869" s="6" t="s">
        <v>78</v>
      </c>
      <c r="G2869" s="8">
        <v>581080</v>
      </c>
      <c r="H2869" s="8">
        <v>182123</v>
      </c>
      <c r="I2869" s="8">
        <v>155043</v>
      </c>
      <c r="J2869" s="8">
        <v>9317</v>
      </c>
      <c r="K2869" s="8">
        <v>566</v>
      </c>
      <c r="L2869" s="8">
        <v>260</v>
      </c>
      <c r="M2869" s="8">
        <v>935</v>
      </c>
      <c r="N2869" s="8">
        <v>3417</v>
      </c>
      <c r="O2869" s="9">
        <f t="shared" si="44"/>
        <v>7.1451145811162062E-2</v>
      </c>
      <c r="P2869" s="6" t="s">
        <v>22</v>
      </c>
    </row>
    <row r="2870" spans="1:16" x14ac:dyDescent="0.25">
      <c r="A2870" s="2" t="s">
        <v>5809</v>
      </c>
      <c r="B2870" s="2" t="s">
        <v>5810</v>
      </c>
      <c r="C2870" s="2" t="s">
        <v>43</v>
      </c>
      <c r="D2870" s="3" t="s">
        <v>110</v>
      </c>
      <c r="E2870" s="3" t="s">
        <v>45</v>
      </c>
      <c r="F2870" s="2" t="s">
        <v>107</v>
      </c>
      <c r="G2870" s="4">
        <v>125804</v>
      </c>
      <c r="H2870" s="4">
        <v>11086</v>
      </c>
      <c r="I2870" s="4">
        <v>9573</v>
      </c>
      <c r="J2870" s="4">
        <v>589</v>
      </c>
      <c r="K2870" s="4">
        <v>39</v>
      </c>
      <c r="L2870" s="4">
        <v>76</v>
      </c>
      <c r="M2870" s="4">
        <v>24</v>
      </c>
      <c r="N2870" s="4">
        <v>80</v>
      </c>
      <c r="O2870" s="5">
        <f t="shared" si="44"/>
        <v>7.6047216128695291E-2</v>
      </c>
      <c r="P2870" s="2" t="s">
        <v>29</v>
      </c>
    </row>
    <row r="2871" spans="1:16" x14ac:dyDescent="0.25">
      <c r="A2871" s="6" t="s">
        <v>5811</v>
      </c>
      <c r="B2871" s="6" t="s">
        <v>5812</v>
      </c>
      <c r="C2871" s="6" t="s">
        <v>18</v>
      </c>
      <c r="D2871" s="7" t="s">
        <v>231</v>
      </c>
      <c r="E2871" s="7" t="s">
        <v>45</v>
      </c>
      <c r="F2871" s="6" t="s">
        <v>73</v>
      </c>
      <c r="G2871" s="8">
        <v>116958</v>
      </c>
      <c r="H2871" s="8">
        <v>60753</v>
      </c>
      <c r="I2871" s="8">
        <v>44333</v>
      </c>
      <c r="J2871" s="8">
        <v>1916</v>
      </c>
      <c r="K2871" s="8">
        <v>129</v>
      </c>
      <c r="L2871" s="8">
        <v>268</v>
      </c>
      <c r="M2871" s="8">
        <v>99</v>
      </c>
      <c r="N2871" s="8">
        <v>1625</v>
      </c>
      <c r="O2871" s="9">
        <f t="shared" si="44"/>
        <v>5.4406424108451944E-2</v>
      </c>
      <c r="P2871" s="6" t="s">
        <v>22</v>
      </c>
    </row>
    <row r="2872" spans="1:16" x14ac:dyDescent="0.25">
      <c r="A2872" s="2" t="s">
        <v>5813</v>
      </c>
      <c r="B2872" s="2" t="s">
        <v>5814</v>
      </c>
      <c r="C2872" s="2" t="s">
        <v>25</v>
      </c>
      <c r="D2872" s="3" t="s">
        <v>61</v>
      </c>
      <c r="E2872" s="3" t="s">
        <v>39</v>
      </c>
      <c r="F2872" s="2" t="s">
        <v>146</v>
      </c>
      <c r="G2872" s="4">
        <v>341390</v>
      </c>
      <c r="H2872" s="4">
        <v>111251</v>
      </c>
      <c r="I2872" s="4">
        <v>84457</v>
      </c>
      <c r="J2872" s="4">
        <v>8478</v>
      </c>
      <c r="K2872" s="4">
        <v>1097</v>
      </c>
      <c r="L2872" s="4">
        <v>959</v>
      </c>
      <c r="M2872" s="4">
        <v>1597</v>
      </c>
      <c r="N2872" s="4">
        <v>3004</v>
      </c>
      <c r="O2872" s="5">
        <f t="shared" si="44"/>
        <v>0.1436352226576838</v>
      </c>
      <c r="P2872" s="2" t="s">
        <v>22</v>
      </c>
    </row>
    <row r="2873" spans="1:16" x14ac:dyDescent="0.25">
      <c r="A2873" s="6" t="s">
        <v>5815</v>
      </c>
      <c r="B2873" s="6" t="s">
        <v>5816</v>
      </c>
      <c r="C2873" s="6" t="s">
        <v>76</v>
      </c>
      <c r="D2873" s="7" t="s">
        <v>189</v>
      </c>
      <c r="E2873" s="7" t="s">
        <v>20</v>
      </c>
      <c r="F2873" s="6" t="s">
        <v>155</v>
      </c>
      <c r="G2873" s="8">
        <v>129542</v>
      </c>
      <c r="H2873" s="8">
        <v>53840</v>
      </c>
      <c r="I2873" s="8">
        <v>43566</v>
      </c>
      <c r="J2873" s="8">
        <v>2470</v>
      </c>
      <c r="K2873" s="8">
        <v>115</v>
      </c>
      <c r="L2873" s="8">
        <v>333</v>
      </c>
      <c r="M2873" s="8">
        <v>275</v>
      </c>
      <c r="N2873" s="8">
        <v>1835</v>
      </c>
      <c r="O2873" s="9">
        <f t="shared" si="44"/>
        <v>7.3291098563099663E-2</v>
      </c>
      <c r="P2873" s="6" t="s">
        <v>22</v>
      </c>
    </row>
    <row r="2874" spans="1:16" x14ac:dyDescent="0.25">
      <c r="A2874" s="2" t="s">
        <v>5817</v>
      </c>
      <c r="B2874" s="2" t="s">
        <v>5818</v>
      </c>
      <c r="C2874" s="2" t="s">
        <v>32</v>
      </c>
      <c r="D2874" s="3" t="s">
        <v>38</v>
      </c>
      <c r="E2874" s="3" t="s">
        <v>20</v>
      </c>
      <c r="F2874" s="2" t="s">
        <v>35</v>
      </c>
      <c r="G2874" s="4">
        <v>82606</v>
      </c>
      <c r="H2874" s="4">
        <v>24878</v>
      </c>
      <c r="I2874" s="4">
        <v>19674</v>
      </c>
      <c r="J2874" s="4">
        <v>1563</v>
      </c>
      <c r="K2874" s="4">
        <v>116</v>
      </c>
      <c r="L2874" s="4">
        <v>49</v>
      </c>
      <c r="M2874" s="4">
        <v>44</v>
      </c>
      <c r="N2874" s="4">
        <v>755</v>
      </c>
      <c r="O2874" s="5">
        <f t="shared" si="44"/>
        <v>9.0068110196198023E-2</v>
      </c>
      <c r="P2874" s="2" t="s">
        <v>22</v>
      </c>
    </row>
    <row r="2875" spans="1:16" x14ac:dyDescent="0.25">
      <c r="A2875" s="6" t="s">
        <v>5819</v>
      </c>
      <c r="B2875" s="6" t="s">
        <v>5820</v>
      </c>
      <c r="C2875" s="6" t="s">
        <v>25</v>
      </c>
      <c r="D2875" s="7" t="s">
        <v>64</v>
      </c>
      <c r="E2875" s="7" t="s">
        <v>45</v>
      </c>
      <c r="F2875" s="6" t="s">
        <v>54</v>
      </c>
      <c r="G2875" s="8">
        <v>131016</v>
      </c>
      <c r="H2875" s="8">
        <v>53773</v>
      </c>
      <c r="I2875" s="8">
        <v>41630</v>
      </c>
      <c r="J2875" s="8">
        <v>2264</v>
      </c>
      <c r="K2875" s="8">
        <v>403</v>
      </c>
      <c r="L2875" s="8">
        <v>236</v>
      </c>
      <c r="M2875" s="8">
        <v>523</v>
      </c>
      <c r="N2875" s="8">
        <v>570</v>
      </c>
      <c r="O2875" s="9">
        <f t="shared" si="44"/>
        <v>8.2296420850348301E-2</v>
      </c>
      <c r="P2875" s="6" t="s">
        <v>22</v>
      </c>
    </row>
    <row r="2876" spans="1:16" x14ac:dyDescent="0.25">
      <c r="A2876" s="2" t="s">
        <v>5821</v>
      </c>
      <c r="B2876" s="2" t="s">
        <v>5822</v>
      </c>
      <c r="C2876" s="2" t="s">
        <v>18</v>
      </c>
      <c r="D2876" s="3" t="s">
        <v>226</v>
      </c>
      <c r="E2876" s="3" t="s">
        <v>50</v>
      </c>
      <c r="F2876" s="2" t="s">
        <v>21</v>
      </c>
      <c r="G2876" s="4">
        <v>324708</v>
      </c>
      <c r="H2876" s="4">
        <v>190872</v>
      </c>
      <c r="I2876" s="4">
        <v>167285</v>
      </c>
      <c r="J2876" s="4">
        <v>4076</v>
      </c>
      <c r="K2876" s="4">
        <v>419</v>
      </c>
      <c r="L2876" s="4">
        <v>432</v>
      </c>
      <c r="M2876" s="4">
        <v>728</v>
      </c>
      <c r="N2876" s="4">
        <v>2751</v>
      </c>
      <c r="O2876" s="5">
        <f t="shared" si="44"/>
        <v>3.3804584989688254E-2</v>
      </c>
      <c r="P2876" s="2" t="s">
        <v>22</v>
      </c>
    </row>
    <row r="2877" spans="1:16" x14ac:dyDescent="0.25">
      <c r="A2877" s="6" t="s">
        <v>5823</v>
      </c>
      <c r="B2877" s="6" t="s">
        <v>5824</v>
      </c>
      <c r="C2877" s="6" t="s">
        <v>76</v>
      </c>
      <c r="D2877" s="7" t="s">
        <v>103</v>
      </c>
      <c r="E2877" s="7" t="s">
        <v>45</v>
      </c>
      <c r="F2877" s="6" t="s">
        <v>78</v>
      </c>
      <c r="G2877" s="8">
        <v>10268</v>
      </c>
      <c r="H2877" s="8">
        <v>6109</v>
      </c>
      <c r="I2877" s="8">
        <v>5580</v>
      </c>
      <c r="J2877" s="8">
        <v>181</v>
      </c>
      <c r="K2877" s="8">
        <v>22</v>
      </c>
      <c r="L2877" s="8">
        <v>13</v>
      </c>
      <c r="M2877" s="8">
        <v>17</v>
      </c>
      <c r="N2877" s="8">
        <v>58</v>
      </c>
      <c r="O2877" s="9">
        <f t="shared" si="44"/>
        <v>4.1756272401433689E-2</v>
      </c>
      <c r="P2877" s="6" t="s">
        <v>66</v>
      </c>
    </row>
    <row r="2878" spans="1:16" x14ac:dyDescent="0.25">
      <c r="A2878" s="2" t="s">
        <v>5825</v>
      </c>
      <c r="B2878" s="2" t="s">
        <v>5826</v>
      </c>
      <c r="C2878" s="2" t="s">
        <v>43</v>
      </c>
      <c r="D2878" s="3" t="s">
        <v>69</v>
      </c>
      <c r="E2878" s="3" t="s">
        <v>20</v>
      </c>
      <c r="F2878" s="2" t="s">
        <v>46</v>
      </c>
      <c r="G2878" s="4">
        <v>303112</v>
      </c>
      <c r="H2878" s="4">
        <v>45381</v>
      </c>
      <c r="I2878" s="4">
        <v>40080</v>
      </c>
      <c r="J2878" s="4">
        <v>1922</v>
      </c>
      <c r="K2878" s="4">
        <v>80</v>
      </c>
      <c r="L2878" s="4">
        <v>277</v>
      </c>
      <c r="M2878" s="4">
        <v>22</v>
      </c>
      <c r="N2878" s="4">
        <v>1235</v>
      </c>
      <c r="O2878" s="5">
        <f t="shared" si="44"/>
        <v>5.741017964071856E-2</v>
      </c>
      <c r="P2878" s="2" t="s">
        <v>66</v>
      </c>
    </row>
    <row r="2879" spans="1:16" x14ac:dyDescent="0.25">
      <c r="A2879" s="6" t="s">
        <v>5827</v>
      </c>
      <c r="B2879" s="6" t="s">
        <v>5828</v>
      </c>
      <c r="C2879" s="6" t="s">
        <v>76</v>
      </c>
      <c r="D2879" s="7" t="s">
        <v>103</v>
      </c>
      <c r="E2879" s="7" t="s">
        <v>50</v>
      </c>
      <c r="F2879" s="6" t="s">
        <v>78</v>
      </c>
      <c r="G2879" s="8">
        <v>97999</v>
      </c>
      <c r="H2879" s="8">
        <v>40962</v>
      </c>
      <c r="I2879" s="8">
        <v>37456</v>
      </c>
      <c r="J2879" s="8">
        <v>1723</v>
      </c>
      <c r="K2879" s="8">
        <v>212</v>
      </c>
      <c r="L2879" s="8">
        <v>91</v>
      </c>
      <c r="M2879" s="8">
        <v>302</v>
      </c>
      <c r="N2879" s="8">
        <v>377</v>
      </c>
      <c r="O2879" s="9">
        <f t="shared" si="44"/>
        <v>6.2152926099957283E-2</v>
      </c>
      <c r="P2879" s="6" t="s">
        <v>22</v>
      </c>
    </row>
    <row r="2880" spans="1:16" x14ac:dyDescent="0.25">
      <c r="A2880" s="2" t="s">
        <v>5829</v>
      </c>
      <c r="B2880" s="2" t="s">
        <v>5830</v>
      </c>
      <c r="C2880" s="2" t="s">
        <v>25</v>
      </c>
      <c r="D2880" s="3" t="s">
        <v>244</v>
      </c>
      <c r="E2880" s="3" t="s">
        <v>27</v>
      </c>
      <c r="F2880" s="2" t="s">
        <v>65</v>
      </c>
      <c r="G2880" s="4">
        <v>676849</v>
      </c>
      <c r="H2880" s="4">
        <v>272715</v>
      </c>
      <c r="I2880" s="4">
        <v>230687</v>
      </c>
      <c r="J2880" s="4">
        <v>5822</v>
      </c>
      <c r="K2880" s="4">
        <v>309</v>
      </c>
      <c r="L2880" s="4">
        <v>174</v>
      </c>
      <c r="M2880" s="4">
        <v>1373</v>
      </c>
      <c r="N2880" s="4">
        <v>9454</v>
      </c>
      <c r="O2880" s="5">
        <f t="shared" si="44"/>
        <v>3.3283193244526131E-2</v>
      </c>
      <c r="P2880" s="2" t="s">
        <v>22</v>
      </c>
    </row>
    <row r="2881" spans="1:16" x14ac:dyDescent="0.25">
      <c r="A2881" s="6" t="s">
        <v>5831</v>
      </c>
      <c r="B2881" s="6" t="s">
        <v>5832</v>
      </c>
      <c r="C2881" s="6" t="s">
        <v>25</v>
      </c>
      <c r="D2881" s="7" t="s">
        <v>244</v>
      </c>
      <c r="E2881" s="7" t="s">
        <v>20</v>
      </c>
      <c r="F2881" s="6" t="s">
        <v>54</v>
      </c>
      <c r="G2881" s="8">
        <v>330041</v>
      </c>
      <c r="H2881" s="8">
        <v>184616</v>
      </c>
      <c r="I2881" s="8">
        <v>159835</v>
      </c>
      <c r="J2881" s="8">
        <v>14631</v>
      </c>
      <c r="K2881" s="8">
        <v>974</v>
      </c>
      <c r="L2881" s="8">
        <v>846</v>
      </c>
      <c r="M2881" s="8">
        <v>3537</v>
      </c>
      <c r="N2881" s="8">
        <v>5704</v>
      </c>
      <c r="O2881" s="9">
        <f t="shared" si="44"/>
        <v>0.12505396189820753</v>
      </c>
      <c r="P2881" s="6" t="s">
        <v>22</v>
      </c>
    </row>
    <row r="2882" spans="1:16" x14ac:dyDescent="0.25">
      <c r="A2882" s="2" t="s">
        <v>5833</v>
      </c>
      <c r="B2882" s="2" t="s">
        <v>5834</v>
      </c>
      <c r="C2882" s="2" t="s">
        <v>76</v>
      </c>
      <c r="D2882" s="3" t="s">
        <v>86</v>
      </c>
      <c r="E2882" s="3" t="s">
        <v>50</v>
      </c>
      <c r="F2882" s="2" t="s">
        <v>87</v>
      </c>
      <c r="G2882" s="4">
        <v>232773</v>
      </c>
      <c r="H2882" s="4">
        <v>470214</v>
      </c>
      <c r="I2882" s="4">
        <v>335968</v>
      </c>
      <c r="J2882" s="4">
        <v>21374</v>
      </c>
      <c r="K2882" s="4">
        <v>3311</v>
      </c>
      <c r="L2882" s="4">
        <v>941</v>
      </c>
      <c r="M2882" s="4">
        <v>2274</v>
      </c>
      <c r="N2882" s="4">
        <v>8910</v>
      </c>
      <c r="O2882" s="5">
        <f t="shared" ref="O2882:O2945" si="45">IF(I2882&gt;0, (J2882+K2882+L2882+M2882)/I2882, 0)</f>
        <v>8.3043623202209732E-2</v>
      </c>
      <c r="P2882" s="2" t="s">
        <v>22</v>
      </c>
    </row>
    <row r="2883" spans="1:16" x14ac:dyDescent="0.25">
      <c r="A2883" s="6" t="s">
        <v>5835</v>
      </c>
      <c r="B2883" s="6" t="s">
        <v>5836</v>
      </c>
      <c r="C2883" s="6" t="s">
        <v>18</v>
      </c>
      <c r="D2883" s="7" t="s">
        <v>231</v>
      </c>
      <c r="E2883" s="7" t="s">
        <v>45</v>
      </c>
      <c r="F2883" s="6" t="s">
        <v>73</v>
      </c>
      <c r="G2883" s="8">
        <v>147301</v>
      </c>
      <c r="H2883" s="8">
        <v>86641</v>
      </c>
      <c r="I2883" s="8">
        <v>61097</v>
      </c>
      <c r="J2883" s="8">
        <v>5166</v>
      </c>
      <c r="K2883" s="8">
        <v>486</v>
      </c>
      <c r="L2883" s="8">
        <v>600</v>
      </c>
      <c r="M2883" s="8">
        <v>840</v>
      </c>
      <c r="N2883" s="8">
        <v>1471</v>
      </c>
      <c r="O2883" s="9">
        <f t="shared" si="45"/>
        <v>0.11607771248997496</v>
      </c>
      <c r="P2883" s="6" t="s">
        <v>66</v>
      </c>
    </row>
    <row r="2884" spans="1:16" x14ac:dyDescent="0.25">
      <c r="A2884" s="2" t="s">
        <v>5837</v>
      </c>
      <c r="B2884" s="2" t="s">
        <v>5838</v>
      </c>
      <c r="C2884" s="2" t="s">
        <v>43</v>
      </c>
      <c r="D2884" s="3" t="s">
        <v>69</v>
      </c>
      <c r="E2884" s="3" t="s">
        <v>45</v>
      </c>
      <c r="F2884" s="2" t="s">
        <v>70</v>
      </c>
      <c r="G2884" s="4">
        <v>371113</v>
      </c>
      <c r="H2884" s="4">
        <v>154843</v>
      </c>
      <c r="I2884" s="4">
        <v>134953</v>
      </c>
      <c r="J2884" s="4">
        <v>3820</v>
      </c>
      <c r="K2884" s="4">
        <v>235</v>
      </c>
      <c r="L2884" s="4">
        <v>84</v>
      </c>
      <c r="M2884" s="4">
        <v>28</v>
      </c>
      <c r="N2884" s="4">
        <v>3984</v>
      </c>
      <c r="O2884" s="5">
        <f t="shared" si="45"/>
        <v>3.0877416582069314E-2</v>
      </c>
      <c r="P2884" s="2" t="s">
        <v>29</v>
      </c>
    </row>
    <row r="2885" spans="1:16" x14ac:dyDescent="0.25">
      <c r="A2885" s="6" t="s">
        <v>5839</v>
      </c>
      <c r="B2885" s="6" t="s">
        <v>5840</v>
      </c>
      <c r="C2885" s="6" t="s">
        <v>25</v>
      </c>
      <c r="D2885" s="7" t="s">
        <v>26</v>
      </c>
      <c r="E2885" s="7" t="s">
        <v>45</v>
      </c>
      <c r="F2885" s="6" t="s">
        <v>65</v>
      </c>
      <c r="G2885" s="8">
        <v>201729</v>
      </c>
      <c r="H2885" s="8">
        <v>63383</v>
      </c>
      <c r="I2885" s="8">
        <v>57553</v>
      </c>
      <c r="J2885" s="8">
        <v>2951</v>
      </c>
      <c r="K2885" s="8">
        <v>491</v>
      </c>
      <c r="L2885" s="8">
        <v>295</v>
      </c>
      <c r="M2885" s="8">
        <v>314</v>
      </c>
      <c r="N2885" s="8">
        <v>914</v>
      </c>
      <c r="O2885" s="9">
        <f t="shared" si="45"/>
        <v>7.038729518878252E-2</v>
      </c>
      <c r="P2885" s="6" t="s">
        <v>29</v>
      </c>
    </row>
    <row r="2886" spans="1:16" x14ac:dyDescent="0.25">
      <c r="A2886" s="2" t="s">
        <v>5841</v>
      </c>
      <c r="B2886" s="2" t="s">
        <v>5842</v>
      </c>
      <c r="C2886" s="2" t="s">
        <v>25</v>
      </c>
      <c r="D2886" s="3" t="s">
        <v>145</v>
      </c>
      <c r="E2886" s="3" t="s">
        <v>34</v>
      </c>
      <c r="F2886" s="2" t="s">
        <v>54</v>
      </c>
      <c r="G2886" s="4">
        <v>153530</v>
      </c>
      <c r="H2886" s="4">
        <v>81264</v>
      </c>
      <c r="I2886" s="4">
        <v>71447</v>
      </c>
      <c r="J2886" s="4">
        <v>6369</v>
      </c>
      <c r="K2886" s="4">
        <v>890</v>
      </c>
      <c r="L2886" s="4">
        <v>245</v>
      </c>
      <c r="M2886" s="4">
        <v>1536</v>
      </c>
      <c r="N2886" s="4">
        <v>1306</v>
      </c>
      <c r="O2886" s="5">
        <f t="shared" si="45"/>
        <v>0.12652735594216691</v>
      </c>
      <c r="P2886" s="2" t="s">
        <v>22</v>
      </c>
    </row>
    <row r="2887" spans="1:16" x14ac:dyDescent="0.25">
      <c r="A2887" s="6" t="s">
        <v>5843</v>
      </c>
      <c r="B2887" s="6" t="s">
        <v>5844</v>
      </c>
      <c r="C2887" s="6" t="s">
        <v>25</v>
      </c>
      <c r="D2887" s="7" t="s">
        <v>64</v>
      </c>
      <c r="E2887" s="7" t="s">
        <v>27</v>
      </c>
      <c r="F2887" s="6" t="s">
        <v>54</v>
      </c>
      <c r="G2887" s="8">
        <v>849955</v>
      </c>
      <c r="H2887" s="8">
        <v>170799</v>
      </c>
      <c r="I2887" s="8">
        <v>153189</v>
      </c>
      <c r="J2887" s="8">
        <v>13151</v>
      </c>
      <c r="K2887" s="8">
        <v>1245</v>
      </c>
      <c r="L2887" s="8">
        <v>957</v>
      </c>
      <c r="M2887" s="8">
        <v>2926</v>
      </c>
      <c r="N2887" s="8">
        <v>5361</v>
      </c>
      <c r="O2887" s="9">
        <f t="shared" si="45"/>
        <v>0.11932318900182128</v>
      </c>
      <c r="P2887" s="6" t="s">
        <v>22</v>
      </c>
    </row>
    <row r="2888" spans="1:16" x14ac:dyDescent="0.25">
      <c r="A2888" s="2" t="s">
        <v>5845</v>
      </c>
      <c r="B2888" s="2" t="s">
        <v>5846</v>
      </c>
      <c r="C2888" s="2" t="s">
        <v>32</v>
      </c>
      <c r="D2888" s="3" t="s">
        <v>33</v>
      </c>
      <c r="E2888" s="3" t="s">
        <v>39</v>
      </c>
      <c r="F2888" s="2" t="s">
        <v>128</v>
      </c>
      <c r="G2888" s="4">
        <v>513930</v>
      </c>
      <c r="H2888" s="4">
        <v>217941</v>
      </c>
      <c r="I2888" s="4">
        <v>191256</v>
      </c>
      <c r="J2888" s="4">
        <v>11943</v>
      </c>
      <c r="K2888" s="4">
        <v>1966</v>
      </c>
      <c r="L2888" s="4">
        <v>1468</v>
      </c>
      <c r="M2888" s="4">
        <v>7</v>
      </c>
      <c r="N2888" s="4">
        <v>3509</v>
      </c>
      <c r="O2888" s="5">
        <f t="shared" si="45"/>
        <v>8.0436692182206046E-2</v>
      </c>
      <c r="P2888" s="2" t="s">
        <v>22</v>
      </c>
    </row>
    <row r="2889" spans="1:16" x14ac:dyDescent="0.25">
      <c r="A2889" s="6" t="s">
        <v>5847</v>
      </c>
      <c r="B2889" s="6" t="s">
        <v>5848</v>
      </c>
      <c r="C2889" s="6" t="s">
        <v>76</v>
      </c>
      <c r="D2889" s="7" t="s">
        <v>86</v>
      </c>
      <c r="E2889" s="7" t="s">
        <v>39</v>
      </c>
      <c r="F2889" s="6" t="s">
        <v>87</v>
      </c>
      <c r="G2889" s="8">
        <v>340106</v>
      </c>
      <c r="H2889" s="8">
        <v>208619</v>
      </c>
      <c r="I2889" s="8">
        <v>164421</v>
      </c>
      <c r="J2889" s="8">
        <v>6447</v>
      </c>
      <c r="K2889" s="8">
        <v>484</v>
      </c>
      <c r="L2889" s="8">
        <v>305</v>
      </c>
      <c r="M2889" s="8">
        <v>1444</v>
      </c>
      <c r="N2889" s="8">
        <v>5573</v>
      </c>
      <c r="O2889" s="9">
        <f t="shared" si="45"/>
        <v>5.279131011245522E-2</v>
      </c>
      <c r="P2889" s="6" t="s">
        <v>22</v>
      </c>
    </row>
    <row r="2890" spans="1:16" x14ac:dyDescent="0.25">
      <c r="A2890" s="2" t="s">
        <v>5849</v>
      </c>
      <c r="B2890" s="2" t="s">
        <v>5850</v>
      </c>
      <c r="C2890" s="2" t="s">
        <v>18</v>
      </c>
      <c r="D2890" s="3" t="s">
        <v>57</v>
      </c>
      <c r="E2890" s="3" t="s">
        <v>45</v>
      </c>
      <c r="F2890" s="2" t="s">
        <v>73</v>
      </c>
      <c r="G2890" s="4">
        <v>219027</v>
      </c>
      <c r="H2890" s="4">
        <v>118952</v>
      </c>
      <c r="I2890" s="4">
        <v>100196</v>
      </c>
      <c r="J2890" s="4">
        <v>5925</v>
      </c>
      <c r="K2890" s="4">
        <v>945</v>
      </c>
      <c r="L2890" s="4">
        <v>518</v>
      </c>
      <c r="M2890" s="4">
        <v>323</v>
      </c>
      <c r="N2890" s="4">
        <v>2900</v>
      </c>
      <c r="O2890" s="5">
        <f t="shared" si="45"/>
        <v>7.6959160046309233E-2</v>
      </c>
      <c r="P2890" s="2" t="s">
        <v>22</v>
      </c>
    </row>
    <row r="2891" spans="1:16" x14ac:dyDescent="0.25">
      <c r="A2891" s="6" t="s">
        <v>5851</v>
      </c>
      <c r="B2891" s="6" t="s">
        <v>5852</v>
      </c>
      <c r="C2891" s="6" t="s">
        <v>32</v>
      </c>
      <c r="D2891" s="7" t="s">
        <v>33</v>
      </c>
      <c r="E2891" s="7" t="s">
        <v>50</v>
      </c>
      <c r="F2891" s="6" t="s">
        <v>40</v>
      </c>
      <c r="G2891" s="8">
        <v>295150</v>
      </c>
      <c r="H2891" s="8">
        <v>49881</v>
      </c>
      <c r="I2891" s="8">
        <v>43973</v>
      </c>
      <c r="J2891" s="8">
        <v>3313</v>
      </c>
      <c r="K2891" s="8">
        <v>398</v>
      </c>
      <c r="L2891" s="8">
        <v>139</v>
      </c>
      <c r="M2891" s="8">
        <v>19</v>
      </c>
      <c r="N2891" s="8">
        <v>1651</v>
      </c>
      <c r="O2891" s="9">
        <f t="shared" si="45"/>
        <v>8.7985809473995411E-2</v>
      </c>
      <c r="P2891" s="6" t="s">
        <v>22</v>
      </c>
    </row>
    <row r="2892" spans="1:16" x14ac:dyDescent="0.25">
      <c r="A2892" s="2" t="s">
        <v>5853</v>
      </c>
      <c r="B2892" s="2" t="s">
        <v>5854</v>
      </c>
      <c r="C2892" s="2" t="s">
        <v>32</v>
      </c>
      <c r="D2892" s="3" t="s">
        <v>175</v>
      </c>
      <c r="E2892" s="3" t="s">
        <v>50</v>
      </c>
      <c r="F2892" s="2" t="s">
        <v>40</v>
      </c>
      <c r="G2892" s="4">
        <v>567402</v>
      </c>
      <c r="H2892" s="4">
        <v>299540</v>
      </c>
      <c r="I2892" s="4">
        <v>239895</v>
      </c>
      <c r="J2892" s="4">
        <v>8139</v>
      </c>
      <c r="K2892" s="4">
        <v>883</v>
      </c>
      <c r="L2892" s="4">
        <v>593</v>
      </c>
      <c r="M2892" s="4">
        <v>33</v>
      </c>
      <c r="N2892" s="4">
        <v>3014</v>
      </c>
      <c r="O2892" s="5">
        <f t="shared" si="45"/>
        <v>4.0217595197899081E-2</v>
      </c>
      <c r="P2892" s="2" t="s">
        <v>22</v>
      </c>
    </row>
    <row r="2893" spans="1:16" x14ac:dyDescent="0.25">
      <c r="A2893" s="6" t="s">
        <v>5855</v>
      </c>
      <c r="B2893" s="6" t="s">
        <v>5856</v>
      </c>
      <c r="C2893" s="6" t="s">
        <v>32</v>
      </c>
      <c r="D2893" s="7" t="s">
        <v>121</v>
      </c>
      <c r="E2893" s="7" t="s">
        <v>50</v>
      </c>
      <c r="F2893" s="6" t="s">
        <v>35</v>
      </c>
      <c r="G2893" s="8">
        <v>461938</v>
      </c>
      <c r="H2893" s="8">
        <v>232025</v>
      </c>
      <c r="I2893" s="8">
        <v>198162</v>
      </c>
      <c r="J2893" s="8">
        <v>11083</v>
      </c>
      <c r="K2893" s="8">
        <v>723</v>
      </c>
      <c r="L2893" s="8">
        <v>1644</v>
      </c>
      <c r="M2893" s="8">
        <v>41</v>
      </c>
      <c r="N2893" s="8">
        <v>5573</v>
      </c>
      <c r="O2893" s="9">
        <f t="shared" si="45"/>
        <v>6.8080661277136884E-2</v>
      </c>
      <c r="P2893" s="6" t="s">
        <v>22</v>
      </c>
    </row>
    <row r="2894" spans="1:16" x14ac:dyDescent="0.25">
      <c r="A2894" s="2" t="s">
        <v>5857</v>
      </c>
      <c r="B2894" s="2" t="s">
        <v>5858</v>
      </c>
      <c r="C2894" s="2" t="s">
        <v>32</v>
      </c>
      <c r="D2894" s="3" t="s">
        <v>121</v>
      </c>
      <c r="E2894" s="3" t="s">
        <v>50</v>
      </c>
      <c r="F2894" s="2" t="s">
        <v>40</v>
      </c>
      <c r="G2894" s="4">
        <v>129281</v>
      </c>
      <c r="H2894" s="4">
        <v>68641</v>
      </c>
      <c r="I2894" s="4">
        <v>57530</v>
      </c>
      <c r="J2894" s="4">
        <v>4974</v>
      </c>
      <c r="K2894" s="4">
        <v>411</v>
      </c>
      <c r="L2894" s="4">
        <v>527</v>
      </c>
      <c r="M2894" s="4">
        <v>38</v>
      </c>
      <c r="N2894" s="4">
        <v>1283</v>
      </c>
      <c r="O2894" s="5">
        <f t="shared" si="45"/>
        <v>0.10342430036502694</v>
      </c>
      <c r="P2894" s="2" t="s">
        <v>29</v>
      </c>
    </row>
    <row r="2895" spans="1:16" x14ac:dyDescent="0.25">
      <c r="A2895" s="6" t="s">
        <v>5859</v>
      </c>
      <c r="B2895" s="6" t="s">
        <v>5860</v>
      </c>
      <c r="C2895" s="6" t="s">
        <v>76</v>
      </c>
      <c r="D2895" s="7" t="s">
        <v>182</v>
      </c>
      <c r="E2895" s="7" t="s">
        <v>39</v>
      </c>
      <c r="F2895" s="6" t="s">
        <v>87</v>
      </c>
      <c r="G2895" s="8">
        <v>326242</v>
      </c>
      <c r="H2895" s="8">
        <v>95513</v>
      </c>
      <c r="I2895" s="8">
        <v>67422</v>
      </c>
      <c r="J2895" s="8">
        <v>2023</v>
      </c>
      <c r="K2895" s="8">
        <v>207</v>
      </c>
      <c r="L2895" s="8">
        <v>67</v>
      </c>
      <c r="M2895" s="8">
        <v>476</v>
      </c>
      <c r="N2895" s="8">
        <v>776</v>
      </c>
      <c r="O2895" s="9">
        <f t="shared" si="45"/>
        <v>4.1129008335558125E-2</v>
      </c>
      <c r="P2895" s="6" t="s">
        <v>22</v>
      </c>
    </row>
    <row r="2896" spans="1:16" x14ac:dyDescent="0.25">
      <c r="A2896" s="2" t="s">
        <v>5861</v>
      </c>
      <c r="B2896" s="2" t="s">
        <v>5862</v>
      </c>
      <c r="C2896" s="2" t="s">
        <v>25</v>
      </c>
      <c r="D2896" s="3" t="s">
        <v>61</v>
      </c>
      <c r="E2896" s="3" t="s">
        <v>45</v>
      </c>
      <c r="F2896" s="2" t="s">
        <v>28</v>
      </c>
      <c r="G2896" s="4">
        <v>402948</v>
      </c>
      <c r="H2896" s="4">
        <v>61446</v>
      </c>
      <c r="I2896" s="4">
        <v>47969</v>
      </c>
      <c r="J2896" s="4">
        <v>2489</v>
      </c>
      <c r="K2896" s="4">
        <v>315</v>
      </c>
      <c r="L2896" s="4">
        <v>252</v>
      </c>
      <c r="M2896" s="4">
        <v>286</v>
      </c>
      <c r="N2896" s="4">
        <v>1852</v>
      </c>
      <c r="O2896" s="5">
        <f t="shared" si="45"/>
        <v>6.9669995205236715E-2</v>
      </c>
      <c r="P2896" s="2" t="s">
        <v>22</v>
      </c>
    </row>
    <row r="2897" spans="1:16" x14ac:dyDescent="0.25">
      <c r="A2897" s="6" t="s">
        <v>5863</v>
      </c>
      <c r="B2897" s="6" t="s">
        <v>5864</v>
      </c>
      <c r="C2897" s="6" t="s">
        <v>32</v>
      </c>
      <c r="D2897" s="7" t="s">
        <v>38</v>
      </c>
      <c r="E2897" s="7" t="s">
        <v>20</v>
      </c>
      <c r="F2897" s="6" t="s">
        <v>35</v>
      </c>
      <c r="G2897" s="8">
        <v>325497</v>
      </c>
      <c r="H2897" s="8">
        <v>166915</v>
      </c>
      <c r="I2897" s="8">
        <v>126742</v>
      </c>
      <c r="J2897" s="8">
        <v>7722</v>
      </c>
      <c r="K2897" s="8">
        <v>410</v>
      </c>
      <c r="L2897" s="8">
        <v>901</v>
      </c>
      <c r="M2897" s="8">
        <v>50</v>
      </c>
      <c r="N2897" s="8">
        <v>1605</v>
      </c>
      <c r="O2897" s="9">
        <f t="shared" si="45"/>
        <v>7.1665272758832901E-2</v>
      </c>
      <c r="P2897" s="6" t="s">
        <v>22</v>
      </c>
    </row>
    <row r="2898" spans="1:16" x14ac:dyDescent="0.25">
      <c r="A2898" s="2" t="s">
        <v>5865</v>
      </c>
      <c r="B2898" s="2" t="s">
        <v>5866</v>
      </c>
      <c r="C2898" s="2" t="s">
        <v>32</v>
      </c>
      <c r="D2898" s="3" t="s">
        <v>38</v>
      </c>
      <c r="E2898" s="3" t="s">
        <v>27</v>
      </c>
      <c r="F2898" s="2" t="s">
        <v>35</v>
      </c>
      <c r="G2898" s="4">
        <v>46501</v>
      </c>
      <c r="H2898" s="4">
        <v>13685</v>
      </c>
      <c r="I2898" s="4">
        <v>11729</v>
      </c>
      <c r="J2898" s="4">
        <v>1057</v>
      </c>
      <c r="K2898" s="4">
        <v>170</v>
      </c>
      <c r="L2898" s="4">
        <v>35</v>
      </c>
      <c r="M2898" s="4">
        <v>17</v>
      </c>
      <c r="N2898" s="4">
        <v>279</v>
      </c>
      <c r="O2898" s="5">
        <f t="shared" si="45"/>
        <v>0.10904595447182198</v>
      </c>
      <c r="P2898" s="2" t="s">
        <v>22</v>
      </c>
    </row>
    <row r="2899" spans="1:16" x14ac:dyDescent="0.25">
      <c r="A2899" s="6" t="s">
        <v>5867</v>
      </c>
      <c r="B2899" s="6" t="s">
        <v>5868</v>
      </c>
      <c r="C2899" s="6" t="s">
        <v>32</v>
      </c>
      <c r="D2899" s="7" t="s">
        <v>49</v>
      </c>
      <c r="E2899" s="7" t="s">
        <v>50</v>
      </c>
      <c r="F2899" s="6" t="s">
        <v>128</v>
      </c>
      <c r="G2899" s="8">
        <v>60114</v>
      </c>
      <c r="H2899" s="8">
        <v>38776</v>
      </c>
      <c r="I2899" s="8">
        <v>33411</v>
      </c>
      <c r="J2899" s="8">
        <v>1572</v>
      </c>
      <c r="K2899" s="8">
        <v>217</v>
      </c>
      <c r="L2899" s="8">
        <v>233</v>
      </c>
      <c r="M2899" s="8">
        <v>12</v>
      </c>
      <c r="N2899" s="8">
        <v>1111</v>
      </c>
      <c r="O2899" s="9">
        <f t="shared" si="45"/>
        <v>6.0878153901409715E-2</v>
      </c>
      <c r="P2899" s="6" t="s">
        <v>22</v>
      </c>
    </row>
    <row r="2900" spans="1:16" x14ac:dyDescent="0.25">
      <c r="A2900" s="2" t="s">
        <v>5869</v>
      </c>
      <c r="B2900" s="2" t="s">
        <v>5870</v>
      </c>
      <c r="C2900" s="2" t="s">
        <v>18</v>
      </c>
      <c r="D2900" s="3" t="s">
        <v>226</v>
      </c>
      <c r="E2900" s="3" t="s">
        <v>39</v>
      </c>
      <c r="F2900" s="2" t="s">
        <v>73</v>
      </c>
      <c r="G2900" s="4">
        <v>409628</v>
      </c>
      <c r="H2900" s="4">
        <v>59274</v>
      </c>
      <c r="I2900" s="4">
        <v>51507</v>
      </c>
      <c r="J2900" s="4">
        <v>2379</v>
      </c>
      <c r="K2900" s="4">
        <v>264</v>
      </c>
      <c r="L2900" s="4">
        <v>125</v>
      </c>
      <c r="M2900" s="4">
        <v>437</v>
      </c>
      <c r="N2900" s="4">
        <v>521</v>
      </c>
      <c r="O2900" s="5">
        <f t="shared" si="45"/>
        <v>6.2224552002640418E-2</v>
      </c>
      <c r="P2900" s="2" t="s">
        <v>22</v>
      </c>
    </row>
    <row r="2901" spans="1:16" x14ac:dyDescent="0.25">
      <c r="A2901" s="6" t="s">
        <v>5871</v>
      </c>
      <c r="B2901" s="6" t="s">
        <v>5872</v>
      </c>
      <c r="C2901" s="6" t="s">
        <v>76</v>
      </c>
      <c r="D2901" s="7" t="s">
        <v>77</v>
      </c>
      <c r="E2901" s="7" t="s">
        <v>45</v>
      </c>
      <c r="F2901" s="6" t="s">
        <v>155</v>
      </c>
      <c r="G2901" s="8">
        <v>37299</v>
      </c>
      <c r="H2901" s="8">
        <v>10962</v>
      </c>
      <c r="I2901" s="8">
        <v>9474</v>
      </c>
      <c r="J2901" s="8">
        <v>414</v>
      </c>
      <c r="K2901" s="8">
        <v>71</v>
      </c>
      <c r="L2901" s="8">
        <v>30</v>
      </c>
      <c r="M2901" s="8">
        <v>40</v>
      </c>
      <c r="N2901" s="8">
        <v>116</v>
      </c>
      <c r="O2901" s="9">
        <f t="shared" si="45"/>
        <v>5.8581380620645981E-2</v>
      </c>
      <c r="P2901" s="6" t="s">
        <v>29</v>
      </c>
    </row>
    <row r="2902" spans="1:16" x14ac:dyDescent="0.25">
      <c r="A2902" s="2" t="s">
        <v>5873</v>
      </c>
      <c r="B2902" s="2" t="s">
        <v>5874</v>
      </c>
      <c r="C2902" s="2" t="s">
        <v>18</v>
      </c>
      <c r="D2902" s="3" t="s">
        <v>226</v>
      </c>
      <c r="E2902" s="3" t="s">
        <v>27</v>
      </c>
      <c r="F2902" s="2" t="s">
        <v>58</v>
      </c>
      <c r="G2902" s="4">
        <v>498242</v>
      </c>
      <c r="H2902" s="4">
        <v>90647</v>
      </c>
      <c r="I2902" s="4">
        <v>71584</v>
      </c>
      <c r="J2902" s="4">
        <v>3647</v>
      </c>
      <c r="K2902" s="4">
        <v>344</v>
      </c>
      <c r="L2902" s="4">
        <v>184</v>
      </c>
      <c r="M2902" s="4">
        <v>874</v>
      </c>
      <c r="N2902" s="4">
        <v>2299</v>
      </c>
      <c r="O2902" s="5">
        <f t="shared" si="45"/>
        <v>7.0532521233795262E-2</v>
      </c>
      <c r="P2902" s="2" t="s">
        <v>22</v>
      </c>
    </row>
    <row r="2903" spans="1:16" x14ac:dyDescent="0.25">
      <c r="A2903" s="6" t="s">
        <v>5875</v>
      </c>
      <c r="B2903" s="6" t="s">
        <v>5876</v>
      </c>
      <c r="C2903" s="6" t="s">
        <v>32</v>
      </c>
      <c r="D2903" s="7" t="s">
        <v>175</v>
      </c>
      <c r="E2903" s="7" t="s">
        <v>50</v>
      </c>
      <c r="F2903" s="6" t="s">
        <v>51</v>
      </c>
      <c r="G2903" s="8">
        <v>84991</v>
      </c>
      <c r="H2903" s="8">
        <v>8991</v>
      </c>
      <c r="I2903" s="8">
        <v>7198</v>
      </c>
      <c r="J2903" s="8">
        <v>269</v>
      </c>
      <c r="K2903" s="8">
        <v>30</v>
      </c>
      <c r="L2903" s="8">
        <v>14</v>
      </c>
      <c r="M2903" s="8">
        <v>38</v>
      </c>
      <c r="N2903" s="8">
        <v>279</v>
      </c>
      <c r="O2903" s="9">
        <f t="shared" si="45"/>
        <v>4.8763545429285911E-2</v>
      </c>
      <c r="P2903" s="6" t="s">
        <v>66</v>
      </c>
    </row>
    <row r="2904" spans="1:16" x14ac:dyDescent="0.25">
      <c r="A2904" s="2" t="s">
        <v>5877</v>
      </c>
      <c r="B2904" s="2" t="s">
        <v>5878</v>
      </c>
      <c r="C2904" s="2" t="s">
        <v>32</v>
      </c>
      <c r="D2904" s="3" t="s">
        <v>38</v>
      </c>
      <c r="E2904" s="3" t="s">
        <v>20</v>
      </c>
      <c r="F2904" s="2" t="s">
        <v>35</v>
      </c>
      <c r="G2904" s="4">
        <v>37080</v>
      </c>
      <c r="H2904" s="4">
        <v>19320</v>
      </c>
      <c r="I2904" s="4">
        <v>16249</v>
      </c>
      <c r="J2904" s="4">
        <v>1160</v>
      </c>
      <c r="K2904" s="4">
        <v>126</v>
      </c>
      <c r="L2904" s="4">
        <v>167</v>
      </c>
      <c r="M2904" s="4">
        <v>32</v>
      </c>
      <c r="N2904" s="4">
        <v>538</v>
      </c>
      <c r="O2904" s="5">
        <f t="shared" si="45"/>
        <v>9.139023939934765E-2</v>
      </c>
      <c r="P2904" s="2" t="s">
        <v>22</v>
      </c>
    </row>
    <row r="2905" spans="1:16" x14ac:dyDescent="0.25">
      <c r="A2905" s="6" t="s">
        <v>5879</v>
      </c>
      <c r="B2905" s="6" t="s">
        <v>5880</v>
      </c>
      <c r="C2905" s="6" t="s">
        <v>25</v>
      </c>
      <c r="D2905" s="7" t="s">
        <v>145</v>
      </c>
      <c r="E2905" s="7" t="s">
        <v>45</v>
      </c>
      <c r="F2905" s="6" t="s">
        <v>28</v>
      </c>
      <c r="G2905" s="8">
        <v>182985</v>
      </c>
      <c r="H2905" s="8">
        <v>75189</v>
      </c>
      <c r="I2905" s="8">
        <v>61393</v>
      </c>
      <c r="J2905" s="8">
        <v>3146</v>
      </c>
      <c r="K2905" s="8">
        <v>549</v>
      </c>
      <c r="L2905" s="8">
        <v>123</v>
      </c>
      <c r="M2905" s="8">
        <v>450</v>
      </c>
      <c r="N2905" s="8">
        <v>1132</v>
      </c>
      <c r="O2905" s="9">
        <f t="shared" si="45"/>
        <v>6.9519326307559498E-2</v>
      </c>
      <c r="P2905" s="6" t="s">
        <v>22</v>
      </c>
    </row>
    <row r="2906" spans="1:16" x14ac:dyDescent="0.25">
      <c r="A2906" s="2" t="s">
        <v>5881</v>
      </c>
      <c r="B2906" s="2" t="s">
        <v>5882</v>
      </c>
      <c r="C2906" s="2" t="s">
        <v>32</v>
      </c>
      <c r="D2906" s="3" t="s">
        <v>49</v>
      </c>
      <c r="E2906" s="3" t="s">
        <v>45</v>
      </c>
      <c r="F2906" s="2" t="s">
        <v>51</v>
      </c>
      <c r="G2906" s="4">
        <v>279267</v>
      </c>
      <c r="H2906" s="4">
        <v>130786</v>
      </c>
      <c r="I2906" s="4">
        <v>107343</v>
      </c>
      <c r="J2906" s="4">
        <v>5831</v>
      </c>
      <c r="K2906" s="4">
        <v>418</v>
      </c>
      <c r="L2906" s="4">
        <v>199</v>
      </c>
      <c r="M2906" s="4">
        <v>45</v>
      </c>
      <c r="N2906" s="4">
        <v>1318</v>
      </c>
      <c r="O2906" s="5">
        <f t="shared" si="45"/>
        <v>6.0488341112135864E-2</v>
      </c>
      <c r="P2906" s="2" t="s">
        <v>22</v>
      </c>
    </row>
    <row r="2907" spans="1:16" x14ac:dyDescent="0.25">
      <c r="A2907" s="6" t="s">
        <v>5883</v>
      </c>
      <c r="B2907" s="6" t="s">
        <v>5884</v>
      </c>
      <c r="C2907" s="6" t="s">
        <v>18</v>
      </c>
      <c r="D2907" s="7" t="s">
        <v>19</v>
      </c>
      <c r="E2907" s="7" t="s">
        <v>39</v>
      </c>
      <c r="F2907" s="6" t="s">
        <v>73</v>
      </c>
      <c r="G2907" s="8">
        <v>262160</v>
      </c>
      <c r="H2907" s="8">
        <v>108834</v>
      </c>
      <c r="I2907" s="8">
        <v>77517</v>
      </c>
      <c r="J2907" s="8">
        <v>2965</v>
      </c>
      <c r="K2907" s="8">
        <v>482</v>
      </c>
      <c r="L2907" s="8">
        <v>317</v>
      </c>
      <c r="M2907" s="8">
        <v>194</v>
      </c>
      <c r="N2907" s="8">
        <v>1802</v>
      </c>
      <c r="O2907" s="9">
        <f t="shared" si="45"/>
        <v>5.1059767534863319E-2</v>
      </c>
      <c r="P2907" s="6" t="s">
        <v>29</v>
      </c>
    </row>
    <row r="2908" spans="1:16" x14ac:dyDescent="0.25">
      <c r="A2908" s="2" t="s">
        <v>5885</v>
      </c>
      <c r="B2908" s="2" t="s">
        <v>5886</v>
      </c>
      <c r="C2908" s="2" t="s">
        <v>32</v>
      </c>
      <c r="D2908" s="3" t="s">
        <v>175</v>
      </c>
      <c r="E2908" s="3" t="s">
        <v>34</v>
      </c>
      <c r="F2908" s="2" t="s">
        <v>51</v>
      </c>
      <c r="G2908" s="4">
        <v>642883</v>
      </c>
      <c r="H2908" s="4">
        <v>294014</v>
      </c>
      <c r="I2908" s="4">
        <v>247801</v>
      </c>
      <c r="J2908" s="4">
        <v>12349</v>
      </c>
      <c r="K2908" s="4">
        <v>914</v>
      </c>
      <c r="L2908" s="4">
        <v>1189</v>
      </c>
      <c r="M2908" s="4">
        <v>2</v>
      </c>
      <c r="N2908" s="4">
        <v>8152</v>
      </c>
      <c r="O2908" s="5">
        <f t="shared" si="45"/>
        <v>5.832906243316209E-2</v>
      </c>
      <c r="P2908" s="2" t="s">
        <v>22</v>
      </c>
    </row>
    <row r="2909" spans="1:16" x14ac:dyDescent="0.25">
      <c r="A2909" s="6" t="s">
        <v>5887</v>
      </c>
      <c r="B2909" s="6" t="s">
        <v>5888</v>
      </c>
      <c r="C2909" s="6" t="s">
        <v>25</v>
      </c>
      <c r="D2909" s="7" t="s">
        <v>61</v>
      </c>
      <c r="E2909" s="7" t="s">
        <v>45</v>
      </c>
      <c r="F2909" s="6" t="s">
        <v>65</v>
      </c>
      <c r="G2909" s="8">
        <v>483169</v>
      </c>
      <c r="H2909" s="8">
        <v>47709</v>
      </c>
      <c r="I2909" s="8">
        <v>35554</v>
      </c>
      <c r="J2909" s="8">
        <v>2137</v>
      </c>
      <c r="K2909" s="8">
        <v>329</v>
      </c>
      <c r="L2909" s="8">
        <v>89</v>
      </c>
      <c r="M2909" s="8">
        <v>512</v>
      </c>
      <c r="N2909" s="8">
        <v>1408</v>
      </c>
      <c r="O2909" s="9">
        <f t="shared" si="45"/>
        <v>8.6263149012769311E-2</v>
      </c>
      <c r="P2909" s="6" t="s">
        <v>66</v>
      </c>
    </row>
    <row r="2910" spans="1:16" x14ac:dyDescent="0.25">
      <c r="A2910" s="2" t="s">
        <v>5889</v>
      </c>
      <c r="B2910" s="2" t="s">
        <v>5890</v>
      </c>
      <c r="C2910" s="2" t="s">
        <v>18</v>
      </c>
      <c r="D2910" s="3" t="s">
        <v>57</v>
      </c>
      <c r="E2910" s="3" t="s">
        <v>34</v>
      </c>
      <c r="F2910" s="2" t="s">
        <v>58</v>
      </c>
      <c r="G2910" s="4">
        <v>565892</v>
      </c>
      <c r="H2910" s="4">
        <v>332374</v>
      </c>
      <c r="I2910" s="4">
        <v>238879</v>
      </c>
      <c r="J2910" s="4">
        <v>18476</v>
      </c>
      <c r="K2910" s="4">
        <v>3080</v>
      </c>
      <c r="L2910" s="4">
        <v>1138</v>
      </c>
      <c r="M2910" s="4">
        <v>2375</v>
      </c>
      <c r="N2910" s="4">
        <v>4008</v>
      </c>
      <c r="O2910" s="5">
        <f t="shared" si="45"/>
        <v>0.10494434420773698</v>
      </c>
      <c r="P2910" s="2" t="s">
        <v>29</v>
      </c>
    </row>
    <row r="2911" spans="1:16" x14ac:dyDescent="0.25">
      <c r="A2911" s="6" t="s">
        <v>5891</v>
      </c>
      <c r="B2911" s="6" t="s">
        <v>5892</v>
      </c>
      <c r="C2911" s="6" t="s">
        <v>76</v>
      </c>
      <c r="D2911" s="7" t="s">
        <v>77</v>
      </c>
      <c r="E2911" s="7" t="s">
        <v>34</v>
      </c>
      <c r="F2911" s="6" t="s">
        <v>104</v>
      </c>
      <c r="G2911" s="8">
        <v>535889</v>
      </c>
      <c r="H2911" s="8">
        <v>97763</v>
      </c>
      <c r="I2911" s="8">
        <v>83735</v>
      </c>
      <c r="J2911" s="8">
        <v>5953</v>
      </c>
      <c r="K2911" s="8">
        <v>338</v>
      </c>
      <c r="L2911" s="8">
        <v>867</v>
      </c>
      <c r="M2911" s="8">
        <v>389</v>
      </c>
      <c r="N2911" s="8">
        <v>2239</v>
      </c>
      <c r="O2911" s="9">
        <f t="shared" si="45"/>
        <v>9.01295754463486E-2</v>
      </c>
      <c r="P2911" s="6" t="s">
        <v>66</v>
      </c>
    </row>
    <row r="2912" spans="1:16" x14ac:dyDescent="0.25">
      <c r="A2912" s="2" t="s">
        <v>5893</v>
      </c>
      <c r="B2912" s="2" t="s">
        <v>5894</v>
      </c>
      <c r="C2912" s="2" t="s">
        <v>43</v>
      </c>
      <c r="D2912" s="3" t="s">
        <v>44</v>
      </c>
      <c r="E2912" s="3" t="s">
        <v>50</v>
      </c>
      <c r="F2912" s="2" t="s">
        <v>70</v>
      </c>
      <c r="G2912" s="4">
        <v>575317</v>
      </c>
      <c r="H2912" s="4">
        <v>227029</v>
      </c>
      <c r="I2912" s="4">
        <v>198410</v>
      </c>
      <c r="J2912" s="4">
        <v>11057</v>
      </c>
      <c r="K2912" s="4">
        <v>1872</v>
      </c>
      <c r="L2912" s="4">
        <v>345</v>
      </c>
      <c r="M2912" s="4">
        <v>25</v>
      </c>
      <c r="N2912" s="4">
        <v>3684</v>
      </c>
      <c r="O2912" s="5">
        <f t="shared" si="45"/>
        <v>6.7027871579053475E-2</v>
      </c>
      <c r="P2912" s="2" t="s">
        <v>22</v>
      </c>
    </row>
    <row r="2913" spans="1:16" x14ac:dyDescent="0.25">
      <c r="A2913" s="6" t="s">
        <v>5895</v>
      </c>
      <c r="B2913" s="6" t="s">
        <v>5896</v>
      </c>
      <c r="C2913" s="6" t="s">
        <v>18</v>
      </c>
      <c r="D2913" s="7" t="s">
        <v>92</v>
      </c>
      <c r="E2913" s="7" t="s">
        <v>27</v>
      </c>
      <c r="F2913" s="6" t="s">
        <v>21</v>
      </c>
      <c r="G2913" s="8">
        <v>459676</v>
      </c>
      <c r="H2913" s="8">
        <v>167690</v>
      </c>
      <c r="I2913" s="8">
        <v>125362</v>
      </c>
      <c r="J2913" s="8">
        <v>13385</v>
      </c>
      <c r="K2913" s="8">
        <v>969</v>
      </c>
      <c r="L2913" s="8">
        <v>1161</v>
      </c>
      <c r="M2913" s="8">
        <v>2631</v>
      </c>
      <c r="N2913" s="8">
        <v>4876</v>
      </c>
      <c r="O2913" s="9">
        <f t="shared" si="45"/>
        <v>0.14474880745361432</v>
      </c>
      <c r="P2913" s="6" t="s">
        <v>22</v>
      </c>
    </row>
    <row r="2914" spans="1:16" x14ac:dyDescent="0.25">
      <c r="A2914" s="2" t="s">
        <v>5897</v>
      </c>
      <c r="B2914" s="2" t="s">
        <v>5898</v>
      </c>
      <c r="C2914" s="2" t="s">
        <v>76</v>
      </c>
      <c r="D2914" s="3" t="s">
        <v>103</v>
      </c>
      <c r="E2914" s="3" t="s">
        <v>45</v>
      </c>
      <c r="F2914" s="2" t="s">
        <v>155</v>
      </c>
      <c r="G2914" s="4">
        <v>410460</v>
      </c>
      <c r="H2914" s="4">
        <v>127781</v>
      </c>
      <c r="I2914" s="4">
        <v>103999</v>
      </c>
      <c r="J2914" s="4">
        <v>6711</v>
      </c>
      <c r="K2914" s="4">
        <v>223</v>
      </c>
      <c r="L2914" s="4">
        <v>647</v>
      </c>
      <c r="M2914" s="4">
        <v>895</v>
      </c>
      <c r="N2914" s="4">
        <v>1553</v>
      </c>
      <c r="O2914" s="5">
        <f t="shared" si="45"/>
        <v>8.150078366138136E-2</v>
      </c>
      <c r="P2914" s="2" t="s">
        <v>22</v>
      </c>
    </row>
    <row r="2915" spans="1:16" x14ac:dyDescent="0.25">
      <c r="A2915" s="6" t="s">
        <v>5899</v>
      </c>
      <c r="B2915" s="6" t="s">
        <v>5900</v>
      </c>
      <c r="C2915" s="6" t="s">
        <v>76</v>
      </c>
      <c r="D2915" s="7" t="s">
        <v>189</v>
      </c>
      <c r="E2915" s="7" t="s">
        <v>20</v>
      </c>
      <c r="F2915" s="6" t="s">
        <v>104</v>
      </c>
      <c r="G2915" s="8">
        <v>693525</v>
      </c>
      <c r="H2915" s="8">
        <v>166529</v>
      </c>
      <c r="I2915" s="8">
        <v>139240</v>
      </c>
      <c r="J2915" s="8">
        <v>8929</v>
      </c>
      <c r="K2915" s="8">
        <v>582</v>
      </c>
      <c r="L2915" s="8">
        <v>436</v>
      </c>
      <c r="M2915" s="8">
        <v>1878</v>
      </c>
      <c r="N2915" s="8">
        <v>2155</v>
      </c>
      <c r="O2915" s="9">
        <f t="shared" si="45"/>
        <v>8.4925308819304796E-2</v>
      </c>
      <c r="P2915" s="6" t="s">
        <v>29</v>
      </c>
    </row>
    <row r="2916" spans="1:16" x14ac:dyDescent="0.25">
      <c r="A2916" s="2" t="s">
        <v>5901</v>
      </c>
      <c r="B2916" s="2" t="s">
        <v>5902</v>
      </c>
      <c r="C2916" s="2" t="s">
        <v>25</v>
      </c>
      <c r="D2916" s="3" t="s">
        <v>26</v>
      </c>
      <c r="E2916" s="3" t="s">
        <v>27</v>
      </c>
      <c r="F2916" s="2" t="s">
        <v>146</v>
      </c>
      <c r="G2916" s="4">
        <v>609399</v>
      </c>
      <c r="H2916" s="4">
        <v>98729</v>
      </c>
      <c r="I2916" s="4">
        <v>90599</v>
      </c>
      <c r="J2916" s="4">
        <v>6141</v>
      </c>
      <c r="K2916" s="4">
        <v>757</v>
      </c>
      <c r="L2916" s="4">
        <v>820</v>
      </c>
      <c r="M2916" s="4">
        <v>709</v>
      </c>
      <c r="N2916" s="4">
        <v>961</v>
      </c>
      <c r="O2916" s="5">
        <f t="shared" si="45"/>
        <v>9.3014271680702879E-2</v>
      </c>
      <c r="P2916" s="2" t="s">
        <v>29</v>
      </c>
    </row>
    <row r="2917" spans="1:16" x14ac:dyDescent="0.25">
      <c r="A2917" s="6" t="s">
        <v>5903</v>
      </c>
      <c r="B2917" s="6" t="s">
        <v>5904</v>
      </c>
      <c r="C2917" s="6" t="s">
        <v>25</v>
      </c>
      <c r="D2917" s="7" t="s">
        <v>26</v>
      </c>
      <c r="E2917" s="7" t="s">
        <v>45</v>
      </c>
      <c r="F2917" s="6" t="s">
        <v>146</v>
      </c>
      <c r="G2917" s="8">
        <v>150673</v>
      </c>
      <c r="H2917" s="8">
        <v>14611</v>
      </c>
      <c r="I2917" s="8">
        <v>10786</v>
      </c>
      <c r="J2917" s="8">
        <v>1095</v>
      </c>
      <c r="K2917" s="8">
        <v>46</v>
      </c>
      <c r="L2917" s="8">
        <v>163</v>
      </c>
      <c r="M2917" s="8">
        <v>236</v>
      </c>
      <c r="N2917" s="8">
        <v>341</v>
      </c>
      <c r="O2917" s="9">
        <f t="shared" si="45"/>
        <v>0.14277767476358241</v>
      </c>
      <c r="P2917" s="6" t="s">
        <v>22</v>
      </c>
    </row>
    <row r="2918" spans="1:16" x14ac:dyDescent="0.25">
      <c r="A2918" s="2" t="s">
        <v>5905</v>
      </c>
      <c r="B2918" s="2" t="s">
        <v>5906</v>
      </c>
      <c r="C2918" s="2" t="s">
        <v>43</v>
      </c>
      <c r="D2918" s="3" t="s">
        <v>81</v>
      </c>
      <c r="E2918" s="3" t="s">
        <v>27</v>
      </c>
      <c r="F2918" s="2" t="s">
        <v>107</v>
      </c>
      <c r="G2918" s="4">
        <v>790150</v>
      </c>
      <c r="H2918" s="4">
        <v>3084879</v>
      </c>
      <c r="I2918" s="4">
        <v>2201763</v>
      </c>
      <c r="J2918" s="4">
        <v>65290</v>
      </c>
      <c r="K2918" s="4">
        <v>3994</v>
      </c>
      <c r="L2918" s="4">
        <v>4650</v>
      </c>
      <c r="M2918" s="4">
        <v>11</v>
      </c>
      <c r="N2918" s="4">
        <v>55921</v>
      </c>
      <c r="O2918" s="5">
        <f t="shared" si="45"/>
        <v>3.3584450279162653E-2</v>
      </c>
      <c r="P2918" s="2" t="s">
        <v>66</v>
      </c>
    </row>
    <row r="2919" spans="1:16" x14ac:dyDescent="0.25">
      <c r="A2919" s="6" t="s">
        <v>5907</v>
      </c>
      <c r="B2919" s="6" t="s">
        <v>5908</v>
      </c>
      <c r="C2919" s="6" t="s">
        <v>25</v>
      </c>
      <c r="D2919" s="7" t="s">
        <v>64</v>
      </c>
      <c r="E2919" s="7" t="s">
        <v>39</v>
      </c>
      <c r="F2919" s="6" t="s">
        <v>28</v>
      </c>
      <c r="G2919" s="8">
        <v>634050</v>
      </c>
      <c r="H2919" s="8">
        <v>191567</v>
      </c>
      <c r="I2919" s="8">
        <v>167697</v>
      </c>
      <c r="J2919" s="8">
        <v>11756</v>
      </c>
      <c r="K2919" s="8">
        <v>1606</v>
      </c>
      <c r="L2919" s="8">
        <v>975</v>
      </c>
      <c r="M2919" s="8">
        <v>1023</v>
      </c>
      <c r="N2919" s="8">
        <v>1806</v>
      </c>
      <c r="O2919" s="9">
        <f t="shared" si="45"/>
        <v>9.1593767330363687E-2</v>
      </c>
      <c r="P2919" s="6" t="s">
        <v>29</v>
      </c>
    </row>
    <row r="2920" spans="1:16" x14ac:dyDescent="0.25">
      <c r="A2920" s="2" t="s">
        <v>5909</v>
      </c>
      <c r="B2920" s="2" t="s">
        <v>5910</v>
      </c>
      <c r="C2920" s="2" t="s">
        <v>76</v>
      </c>
      <c r="D2920" s="3" t="s">
        <v>77</v>
      </c>
      <c r="E2920" s="3" t="s">
        <v>39</v>
      </c>
      <c r="F2920" s="2" t="s">
        <v>155</v>
      </c>
      <c r="G2920" s="4">
        <v>817574</v>
      </c>
      <c r="H2920" s="4">
        <v>329497</v>
      </c>
      <c r="I2920" s="4">
        <v>249031</v>
      </c>
      <c r="J2920" s="4">
        <v>8499</v>
      </c>
      <c r="K2920" s="4">
        <v>1153</v>
      </c>
      <c r="L2920" s="4">
        <v>605</v>
      </c>
      <c r="M2920" s="4">
        <v>1809</v>
      </c>
      <c r="N2920" s="4">
        <v>11420</v>
      </c>
      <c r="O2920" s="5">
        <f t="shared" si="45"/>
        <v>4.8451799173596863E-2</v>
      </c>
      <c r="P2920" s="2" t="s">
        <v>29</v>
      </c>
    </row>
    <row r="2921" spans="1:16" x14ac:dyDescent="0.25">
      <c r="A2921" s="6" t="s">
        <v>5911</v>
      </c>
      <c r="B2921" s="6" t="s">
        <v>5912</v>
      </c>
      <c r="C2921" s="6" t="s">
        <v>25</v>
      </c>
      <c r="D2921" s="7" t="s">
        <v>244</v>
      </c>
      <c r="E2921" s="7" t="s">
        <v>27</v>
      </c>
      <c r="F2921" s="6" t="s">
        <v>28</v>
      </c>
      <c r="G2921" s="8">
        <v>113900</v>
      </c>
      <c r="H2921" s="8">
        <v>46836</v>
      </c>
      <c r="I2921" s="8">
        <v>41165</v>
      </c>
      <c r="J2921" s="8">
        <v>949</v>
      </c>
      <c r="K2921" s="8">
        <v>133</v>
      </c>
      <c r="L2921" s="8">
        <v>61</v>
      </c>
      <c r="M2921" s="8">
        <v>135</v>
      </c>
      <c r="N2921" s="8">
        <v>1419</v>
      </c>
      <c r="O2921" s="9">
        <f t="shared" si="45"/>
        <v>3.1045791327584112E-2</v>
      </c>
      <c r="P2921" s="6" t="s">
        <v>29</v>
      </c>
    </row>
    <row r="2922" spans="1:16" x14ac:dyDescent="0.25">
      <c r="A2922" s="2" t="s">
        <v>5913</v>
      </c>
      <c r="B2922" s="2" t="s">
        <v>5914</v>
      </c>
      <c r="C2922" s="2" t="s">
        <v>32</v>
      </c>
      <c r="D2922" s="3" t="s">
        <v>175</v>
      </c>
      <c r="E2922" s="3" t="s">
        <v>45</v>
      </c>
      <c r="F2922" s="2" t="s">
        <v>128</v>
      </c>
      <c r="G2922" s="4">
        <v>539408</v>
      </c>
      <c r="H2922" s="4">
        <v>323732</v>
      </c>
      <c r="I2922" s="4">
        <v>273501</v>
      </c>
      <c r="J2922" s="4">
        <v>15282</v>
      </c>
      <c r="K2922" s="4">
        <v>901</v>
      </c>
      <c r="L2922" s="4">
        <v>1444</v>
      </c>
      <c r="M2922" s="4">
        <v>37</v>
      </c>
      <c r="N2922" s="4">
        <v>8512</v>
      </c>
      <c r="O2922" s="5">
        <f t="shared" si="45"/>
        <v>6.4584772999001838E-2</v>
      </c>
      <c r="P2922" s="2" t="s">
        <v>22</v>
      </c>
    </row>
    <row r="2923" spans="1:16" x14ac:dyDescent="0.25">
      <c r="A2923" s="6" t="s">
        <v>5915</v>
      </c>
      <c r="B2923" s="6" t="s">
        <v>5916</v>
      </c>
      <c r="C2923" s="6" t="s">
        <v>76</v>
      </c>
      <c r="D2923" s="7" t="s">
        <v>182</v>
      </c>
      <c r="E2923" s="7" t="s">
        <v>20</v>
      </c>
      <c r="F2923" s="6" t="s">
        <v>104</v>
      </c>
      <c r="G2923" s="8">
        <v>610987</v>
      </c>
      <c r="H2923" s="8">
        <v>347591</v>
      </c>
      <c r="I2923" s="8">
        <v>319546</v>
      </c>
      <c r="J2923" s="8">
        <v>23381</v>
      </c>
      <c r="K2923" s="8">
        <v>4103</v>
      </c>
      <c r="L2923" s="8">
        <v>1860</v>
      </c>
      <c r="M2923" s="8">
        <v>4617</v>
      </c>
      <c r="N2923" s="8">
        <v>6123</v>
      </c>
      <c r="O2923" s="9">
        <f t="shared" si="45"/>
        <v>0.10627890820101019</v>
      </c>
      <c r="P2923" s="6" t="s">
        <v>29</v>
      </c>
    </row>
    <row r="2924" spans="1:16" x14ac:dyDescent="0.25">
      <c r="A2924" s="2" t="s">
        <v>5917</v>
      </c>
      <c r="B2924" s="2" t="s">
        <v>5918</v>
      </c>
      <c r="C2924" s="2" t="s">
        <v>43</v>
      </c>
      <c r="D2924" s="3" t="s">
        <v>81</v>
      </c>
      <c r="E2924" s="3" t="s">
        <v>27</v>
      </c>
      <c r="F2924" s="2" t="s">
        <v>46</v>
      </c>
      <c r="G2924" s="4">
        <v>434994</v>
      </c>
      <c r="H2924" s="4">
        <v>135459</v>
      </c>
      <c r="I2924" s="4">
        <v>100298</v>
      </c>
      <c r="J2924" s="4">
        <v>4312</v>
      </c>
      <c r="K2924" s="4">
        <v>307</v>
      </c>
      <c r="L2924" s="4">
        <v>257</v>
      </c>
      <c r="M2924" s="4">
        <v>45</v>
      </c>
      <c r="N2924" s="4">
        <v>3007</v>
      </c>
      <c r="O2924" s="5">
        <f t="shared" si="45"/>
        <v>4.9063789906079881E-2</v>
      </c>
      <c r="P2924" s="2" t="s">
        <v>29</v>
      </c>
    </row>
    <row r="2925" spans="1:16" x14ac:dyDescent="0.25">
      <c r="A2925" s="6" t="s">
        <v>5919</v>
      </c>
      <c r="B2925" s="6" t="s">
        <v>5920</v>
      </c>
      <c r="C2925" s="6" t="s">
        <v>25</v>
      </c>
      <c r="D2925" s="7" t="s">
        <v>26</v>
      </c>
      <c r="E2925" s="7" t="s">
        <v>45</v>
      </c>
      <c r="F2925" s="6" t="s">
        <v>54</v>
      </c>
      <c r="G2925" s="8">
        <v>776299</v>
      </c>
      <c r="H2925" s="8">
        <v>454756</v>
      </c>
      <c r="I2925" s="8">
        <v>415757</v>
      </c>
      <c r="J2925" s="8">
        <v>17192</v>
      </c>
      <c r="K2925" s="8">
        <v>782</v>
      </c>
      <c r="L2925" s="8">
        <v>1278</v>
      </c>
      <c r="M2925" s="8">
        <v>2337</v>
      </c>
      <c r="N2925" s="8">
        <v>3906</v>
      </c>
      <c r="O2925" s="9">
        <f t="shared" si="45"/>
        <v>5.1926966954254528E-2</v>
      </c>
      <c r="P2925" s="6" t="s">
        <v>22</v>
      </c>
    </row>
    <row r="2926" spans="1:16" x14ac:dyDescent="0.25">
      <c r="A2926" s="2" t="s">
        <v>5921</v>
      </c>
      <c r="B2926" s="2" t="s">
        <v>5922</v>
      </c>
      <c r="C2926" s="2" t="s">
        <v>18</v>
      </c>
      <c r="D2926" s="3" t="s">
        <v>19</v>
      </c>
      <c r="E2926" s="3" t="s">
        <v>20</v>
      </c>
      <c r="F2926" s="2" t="s">
        <v>21</v>
      </c>
      <c r="G2926" s="4">
        <v>106062</v>
      </c>
      <c r="H2926" s="4">
        <v>49578</v>
      </c>
      <c r="I2926" s="4">
        <v>45252</v>
      </c>
      <c r="J2926" s="4">
        <v>1311</v>
      </c>
      <c r="K2926" s="4">
        <v>180</v>
      </c>
      <c r="L2926" s="4">
        <v>126</v>
      </c>
      <c r="M2926" s="4">
        <v>191</v>
      </c>
      <c r="N2926" s="4">
        <v>1695</v>
      </c>
      <c r="O2926" s="5">
        <f t="shared" si="45"/>
        <v>3.9954035180765492E-2</v>
      </c>
      <c r="P2926" s="2" t="s">
        <v>22</v>
      </c>
    </row>
    <row r="2927" spans="1:16" x14ac:dyDescent="0.25">
      <c r="A2927" s="6" t="s">
        <v>5923</v>
      </c>
      <c r="B2927" s="6" t="s">
        <v>5924</v>
      </c>
      <c r="C2927" s="6" t="s">
        <v>25</v>
      </c>
      <c r="D2927" s="7" t="s">
        <v>244</v>
      </c>
      <c r="E2927" s="7" t="s">
        <v>39</v>
      </c>
      <c r="F2927" s="6" t="s">
        <v>146</v>
      </c>
      <c r="G2927" s="8">
        <v>111506</v>
      </c>
      <c r="H2927" s="8">
        <v>15335</v>
      </c>
      <c r="I2927" s="8">
        <v>11330</v>
      </c>
      <c r="J2927" s="8">
        <v>1160</v>
      </c>
      <c r="K2927" s="8">
        <v>128</v>
      </c>
      <c r="L2927" s="8">
        <v>133</v>
      </c>
      <c r="M2927" s="8">
        <v>133</v>
      </c>
      <c r="N2927" s="8">
        <v>309</v>
      </c>
      <c r="O2927" s="9">
        <f t="shared" si="45"/>
        <v>0.13715798764342454</v>
      </c>
      <c r="P2927" s="6" t="s">
        <v>22</v>
      </c>
    </row>
    <row r="2928" spans="1:16" x14ac:dyDescent="0.25">
      <c r="A2928" s="2" t="s">
        <v>5925</v>
      </c>
      <c r="B2928" s="2" t="s">
        <v>5926</v>
      </c>
      <c r="C2928" s="2" t="s">
        <v>18</v>
      </c>
      <c r="D2928" s="3" t="s">
        <v>231</v>
      </c>
      <c r="E2928" s="3" t="s">
        <v>20</v>
      </c>
      <c r="F2928" s="2" t="s">
        <v>73</v>
      </c>
      <c r="G2928" s="4">
        <v>340797</v>
      </c>
      <c r="H2928" s="4">
        <v>69531</v>
      </c>
      <c r="I2928" s="4">
        <v>55195</v>
      </c>
      <c r="J2928" s="4">
        <v>2232</v>
      </c>
      <c r="K2928" s="4">
        <v>291</v>
      </c>
      <c r="L2928" s="4">
        <v>130</v>
      </c>
      <c r="M2928" s="4">
        <v>212</v>
      </c>
      <c r="N2928" s="4">
        <v>1801</v>
      </c>
      <c r="O2928" s="5">
        <f t="shared" si="45"/>
        <v>5.190687562279192E-2</v>
      </c>
      <c r="P2928" s="2" t="s">
        <v>66</v>
      </c>
    </row>
    <row r="2929" spans="1:16" x14ac:dyDescent="0.25">
      <c r="A2929" s="6" t="s">
        <v>5927</v>
      </c>
      <c r="B2929" s="6" t="s">
        <v>5928</v>
      </c>
      <c r="C2929" s="6" t="s">
        <v>32</v>
      </c>
      <c r="D2929" s="7" t="s">
        <v>49</v>
      </c>
      <c r="E2929" s="7" t="s">
        <v>20</v>
      </c>
      <c r="F2929" s="6" t="s">
        <v>40</v>
      </c>
      <c r="G2929" s="8">
        <v>276379</v>
      </c>
      <c r="H2929" s="8">
        <v>35518</v>
      </c>
      <c r="I2929" s="8">
        <v>31673</v>
      </c>
      <c r="J2929" s="8">
        <v>2554</v>
      </c>
      <c r="K2929" s="8">
        <v>157</v>
      </c>
      <c r="L2929" s="8">
        <v>362</v>
      </c>
      <c r="M2929" s="8">
        <v>40</v>
      </c>
      <c r="N2929" s="8">
        <v>716</v>
      </c>
      <c r="O2929" s="9">
        <f t="shared" si="45"/>
        <v>9.8285606036687401E-2</v>
      </c>
      <c r="P2929" s="6" t="s">
        <v>66</v>
      </c>
    </row>
    <row r="2930" spans="1:16" x14ac:dyDescent="0.25">
      <c r="A2930" s="2" t="s">
        <v>5929</v>
      </c>
      <c r="B2930" s="2" t="s">
        <v>5930</v>
      </c>
      <c r="C2930" s="2" t="s">
        <v>32</v>
      </c>
      <c r="D2930" s="3" t="s">
        <v>33</v>
      </c>
      <c r="E2930" s="3" t="s">
        <v>27</v>
      </c>
      <c r="F2930" s="2" t="s">
        <v>51</v>
      </c>
      <c r="G2930" s="4">
        <v>725323</v>
      </c>
      <c r="H2930" s="4">
        <v>71506</v>
      </c>
      <c r="I2930" s="4">
        <v>52145</v>
      </c>
      <c r="J2930" s="4">
        <v>5491</v>
      </c>
      <c r="K2930" s="4">
        <v>652</v>
      </c>
      <c r="L2930" s="4">
        <v>627</v>
      </c>
      <c r="M2930" s="4">
        <v>21</v>
      </c>
      <c r="N2930" s="4">
        <v>2014</v>
      </c>
      <c r="O2930" s="5">
        <f t="shared" si="45"/>
        <v>0.13023300412311822</v>
      </c>
      <c r="P2930" s="2" t="s">
        <v>29</v>
      </c>
    </row>
    <row r="2931" spans="1:16" x14ac:dyDescent="0.25">
      <c r="A2931" s="6" t="s">
        <v>5931</v>
      </c>
      <c r="B2931" s="6" t="s">
        <v>5932</v>
      </c>
      <c r="C2931" s="6" t="s">
        <v>18</v>
      </c>
      <c r="D2931" s="7" t="s">
        <v>57</v>
      </c>
      <c r="E2931" s="7" t="s">
        <v>34</v>
      </c>
      <c r="F2931" s="6" t="s">
        <v>73</v>
      </c>
      <c r="G2931" s="8">
        <v>586196</v>
      </c>
      <c r="H2931" s="8">
        <v>365708</v>
      </c>
      <c r="I2931" s="8">
        <v>316862</v>
      </c>
      <c r="J2931" s="8">
        <v>21879</v>
      </c>
      <c r="K2931" s="8">
        <v>2343</v>
      </c>
      <c r="L2931" s="8">
        <v>680</v>
      </c>
      <c r="M2931" s="8">
        <v>4347</v>
      </c>
      <c r="N2931" s="8">
        <v>5878</v>
      </c>
      <c r="O2931" s="9">
        <f t="shared" si="45"/>
        <v>9.2308323497295355E-2</v>
      </c>
      <c r="P2931" s="6" t="s">
        <v>22</v>
      </c>
    </row>
    <row r="2932" spans="1:16" x14ac:dyDescent="0.25">
      <c r="A2932" s="2" t="s">
        <v>5933</v>
      </c>
      <c r="B2932" s="2" t="s">
        <v>5934</v>
      </c>
      <c r="C2932" s="2" t="s">
        <v>18</v>
      </c>
      <c r="D2932" s="3" t="s">
        <v>231</v>
      </c>
      <c r="E2932" s="3" t="s">
        <v>20</v>
      </c>
      <c r="F2932" s="2" t="s">
        <v>73</v>
      </c>
      <c r="G2932" s="4">
        <v>441045</v>
      </c>
      <c r="H2932" s="4">
        <v>85640</v>
      </c>
      <c r="I2932" s="4">
        <v>78154</v>
      </c>
      <c r="J2932" s="4">
        <v>2283</v>
      </c>
      <c r="K2932" s="4">
        <v>144</v>
      </c>
      <c r="L2932" s="4">
        <v>183</v>
      </c>
      <c r="M2932" s="4">
        <v>246</v>
      </c>
      <c r="N2932" s="4">
        <v>1419</v>
      </c>
      <c r="O2932" s="5">
        <f t="shared" si="45"/>
        <v>3.6543235151111908E-2</v>
      </c>
      <c r="P2932" s="2" t="s">
        <v>22</v>
      </c>
    </row>
    <row r="2933" spans="1:16" x14ac:dyDescent="0.25">
      <c r="A2933" s="6" t="s">
        <v>5935</v>
      </c>
      <c r="B2933" s="6" t="s">
        <v>5936</v>
      </c>
      <c r="C2933" s="6" t="s">
        <v>25</v>
      </c>
      <c r="D2933" s="7" t="s">
        <v>64</v>
      </c>
      <c r="E2933" s="7" t="s">
        <v>39</v>
      </c>
      <c r="F2933" s="6" t="s">
        <v>54</v>
      </c>
      <c r="G2933" s="8">
        <v>510115</v>
      </c>
      <c r="H2933" s="8">
        <v>271469</v>
      </c>
      <c r="I2933" s="8">
        <v>212875</v>
      </c>
      <c r="J2933" s="8">
        <v>6703</v>
      </c>
      <c r="K2933" s="8">
        <v>701</v>
      </c>
      <c r="L2933" s="8">
        <v>360</v>
      </c>
      <c r="M2933" s="8">
        <v>340</v>
      </c>
      <c r="N2933" s="8">
        <v>6288</v>
      </c>
      <c r="O2933" s="9">
        <f t="shared" si="45"/>
        <v>3.8069289489136821E-2</v>
      </c>
      <c r="P2933" s="6" t="s">
        <v>66</v>
      </c>
    </row>
    <row r="2934" spans="1:16" x14ac:dyDescent="0.25">
      <c r="A2934" s="2" t="s">
        <v>5937</v>
      </c>
      <c r="B2934" s="2" t="s">
        <v>5938</v>
      </c>
      <c r="C2934" s="2" t="s">
        <v>25</v>
      </c>
      <c r="D2934" s="3" t="s">
        <v>145</v>
      </c>
      <c r="E2934" s="3" t="s">
        <v>39</v>
      </c>
      <c r="F2934" s="2" t="s">
        <v>28</v>
      </c>
      <c r="G2934" s="4">
        <v>2928</v>
      </c>
      <c r="H2934" s="4">
        <v>938</v>
      </c>
      <c r="I2934" s="4">
        <v>749</v>
      </c>
      <c r="J2934" s="4">
        <v>74</v>
      </c>
      <c r="K2934" s="4">
        <v>6</v>
      </c>
      <c r="L2934" s="4">
        <v>10</v>
      </c>
      <c r="M2934" s="4">
        <v>16</v>
      </c>
      <c r="N2934" s="4">
        <v>12</v>
      </c>
      <c r="O2934" s="5">
        <f t="shared" si="45"/>
        <v>0.14152202937249667</v>
      </c>
      <c r="P2934" s="2" t="s">
        <v>22</v>
      </c>
    </row>
    <row r="2935" spans="1:16" x14ac:dyDescent="0.25">
      <c r="A2935" s="6" t="s">
        <v>5939</v>
      </c>
      <c r="B2935" s="6" t="s">
        <v>5940</v>
      </c>
      <c r="C2935" s="6" t="s">
        <v>43</v>
      </c>
      <c r="D2935" s="7" t="s">
        <v>81</v>
      </c>
      <c r="E2935" s="7" t="s">
        <v>45</v>
      </c>
      <c r="F2935" s="6" t="s">
        <v>46</v>
      </c>
      <c r="G2935" s="8">
        <v>467847</v>
      </c>
      <c r="H2935" s="8">
        <v>273521</v>
      </c>
      <c r="I2935" s="8">
        <v>210330</v>
      </c>
      <c r="J2935" s="8">
        <v>16786</v>
      </c>
      <c r="K2935" s="8">
        <v>1909</v>
      </c>
      <c r="L2935" s="8">
        <v>1841</v>
      </c>
      <c r="M2935" s="8">
        <v>31</v>
      </c>
      <c r="N2935" s="8">
        <v>9282</v>
      </c>
      <c r="O2935" s="9">
        <f t="shared" si="45"/>
        <v>9.7784433984690722E-2</v>
      </c>
      <c r="P2935" s="6" t="s">
        <v>22</v>
      </c>
    </row>
    <row r="2936" spans="1:16" x14ac:dyDescent="0.25">
      <c r="A2936" s="2" t="s">
        <v>5941</v>
      </c>
      <c r="B2936" s="2" t="s">
        <v>5942</v>
      </c>
      <c r="C2936" s="2" t="s">
        <v>25</v>
      </c>
      <c r="D2936" s="3" t="s">
        <v>244</v>
      </c>
      <c r="E2936" s="3" t="s">
        <v>50</v>
      </c>
      <c r="F2936" s="2" t="s">
        <v>146</v>
      </c>
      <c r="G2936" s="4">
        <v>129044</v>
      </c>
      <c r="H2936" s="4">
        <v>34955</v>
      </c>
      <c r="I2936" s="4">
        <v>24477</v>
      </c>
      <c r="J2936" s="4">
        <v>1519</v>
      </c>
      <c r="K2936" s="4">
        <v>68</v>
      </c>
      <c r="L2936" s="4">
        <v>52</v>
      </c>
      <c r="M2936" s="4">
        <v>290</v>
      </c>
      <c r="N2936" s="4">
        <v>742</v>
      </c>
      <c r="O2936" s="5">
        <f t="shared" si="45"/>
        <v>7.8808677534011523E-2</v>
      </c>
      <c r="P2936" s="2" t="s">
        <v>29</v>
      </c>
    </row>
    <row r="2937" spans="1:16" x14ac:dyDescent="0.25">
      <c r="A2937" s="6" t="s">
        <v>5943</v>
      </c>
      <c r="B2937" s="6" t="s">
        <v>5944</v>
      </c>
      <c r="C2937" s="6" t="s">
        <v>32</v>
      </c>
      <c r="D2937" s="7" t="s">
        <v>49</v>
      </c>
      <c r="E2937" s="7" t="s">
        <v>39</v>
      </c>
      <c r="F2937" s="6" t="s">
        <v>35</v>
      </c>
      <c r="G2937" s="8">
        <v>355135</v>
      </c>
      <c r="H2937" s="8">
        <v>117480</v>
      </c>
      <c r="I2937" s="8">
        <v>97457</v>
      </c>
      <c r="J2937" s="8">
        <v>2754</v>
      </c>
      <c r="K2937" s="8">
        <v>204</v>
      </c>
      <c r="L2937" s="8">
        <v>147</v>
      </c>
      <c r="M2937" s="8">
        <v>22</v>
      </c>
      <c r="N2937" s="8">
        <v>3878</v>
      </c>
      <c r="O2937" s="9">
        <f t="shared" si="45"/>
        <v>3.2085945596519491E-2</v>
      </c>
      <c r="P2937" s="6" t="s">
        <v>29</v>
      </c>
    </row>
    <row r="2938" spans="1:16" x14ac:dyDescent="0.25">
      <c r="A2938" s="2" t="s">
        <v>5945</v>
      </c>
      <c r="B2938" s="2" t="s">
        <v>5946</v>
      </c>
      <c r="C2938" s="2" t="s">
        <v>32</v>
      </c>
      <c r="D2938" s="3" t="s">
        <v>175</v>
      </c>
      <c r="E2938" s="3" t="s">
        <v>20</v>
      </c>
      <c r="F2938" s="2" t="s">
        <v>40</v>
      </c>
      <c r="G2938" s="4">
        <v>680221</v>
      </c>
      <c r="H2938" s="4">
        <v>251030</v>
      </c>
      <c r="I2938" s="4">
        <v>185995</v>
      </c>
      <c r="J2938" s="4">
        <v>6766</v>
      </c>
      <c r="K2938" s="4">
        <v>416</v>
      </c>
      <c r="L2938" s="4">
        <v>678</v>
      </c>
      <c r="M2938" s="4">
        <v>27</v>
      </c>
      <c r="N2938" s="4">
        <v>4916</v>
      </c>
      <c r="O2938" s="5">
        <f t="shared" si="45"/>
        <v>4.2404365708755609E-2</v>
      </c>
      <c r="P2938" s="2" t="s">
        <v>22</v>
      </c>
    </row>
    <row r="2939" spans="1:16" x14ac:dyDescent="0.25">
      <c r="A2939" s="6" t="s">
        <v>5947</v>
      </c>
      <c r="B2939" s="6" t="s">
        <v>5948</v>
      </c>
      <c r="C2939" s="6" t="s">
        <v>18</v>
      </c>
      <c r="D2939" s="7" t="s">
        <v>92</v>
      </c>
      <c r="E2939" s="7" t="s">
        <v>45</v>
      </c>
      <c r="F2939" s="6" t="s">
        <v>73</v>
      </c>
      <c r="G2939" s="8">
        <v>706245</v>
      </c>
      <c r="H2939" s="8">
        <v>289561</v>
      </c>
      <c r="I2939" s="8">
        <v>232202</v>
      </c>
      <c r="J2939" s="8">
        <v>19259</v>
      </c>
      <c r="K2939" s="8">
        <v>1760</v>
      </c>
      <c r="L2939" s="8">
        <v>1667</v>
      </c>
      <c r="M2939" s="8">
        <v>2934</v>
      </c>
      <c r="N2939" s="8">
        <v>4851</v>
      </c>
      <c r="O2939" s="9">
        <f t="shared" si="45"/>
        <v>0.11033496696841544</v>
      </c>
      <c r="P2939" s="6" t="s">
        <v>29</v>
      </c>
    </row>
    <row r="2940" spans="1:16" x14ac:dyDescent="0.25">
      <c r="A2940" s="2" t="s">
        <v>5949</v>
      </c>
      <c r="B2940" s="2" t="s">
        <v>5950</v>
      </c>
      <c r="C2940" s="2" t="s">
        <v>18</v>
      </c>
      <c r="D2940" s="3" t="s">
        <v>19</v>
      </c>
      <c r="E2940" s="3" t="s">
        <v>39</v>
      </c>
      <c r="F2940" s="2" t="s">
        <v>73</v>
      </c>
      <c r="G2940" s="4">
        <v>429255</v>
      </c>
      <c r="H2940" s="4">
        <v>133494</v>
      </c>
      <c r="I2940" s="4">
        <v>108051</v>
      </c>
      <c r="J2940" s="4">
        <v>3285</v>
      </c>
      <c r="K2940" s="4">
        <v>498</v>
      </c>
      <c r="L2940" s="4">
        <v>477</v>
      </c>
      <c r="M2940" s="4">
        <v>451</v>
      </c>
      <c r="N2940" s="4">
        <v>4116</v>
      </c>
      <c r="O2940" s="5">
        <f t="shared" si="45"/>
        <v>4.3599781584622077E-2</v>
      </c>
      <c r="P2940" s="2" t="s">
        <v>66</v>
      </c>
    </row>
    <row r="2941" spans="1:16" x14ac:dyDescent="0.25">
      <c r="A2941" s="6" t="s">
        <v>5951</v>
      </c>
      <c r="B2941" s="6" t="s">
        <v>5952</v>
      </c>
      <c r="C2941" s="6" t="s">
        <v>18</v>
      </c>
      <c r="D2941" s="7" t="s">
        <v>19</v>
      </c>
      <c r="E2941" s="7" t="s">
        <v>27</v>
      </c>
      <c r="F2941" s="6" t="s">
        <v>58</v>
      </c>
      <c r="G2941" s="8">
        <v>389741</v>
      </c>
      <c r="H2941" s="8">
        <v>125592</v>
      </c>
      <c r="I2941" s="8">
        <v>102320</v>
      </c>
      <c r="J2941" s="8">
        <v>5050</v>
      </c>
      <c r="K2941" s="8">
        <v>741</v>
      </c>
      <c r="L2941" s="8">
        <v>185</v>
      </c>
      <c r="M2941" s="8">
        <v>518</v>
      </c>
      <c r="N2941" s="8">
        <v>2184</v>
      </c>
      <c r="O2941" s="9">
        <f t="shared" si="45"/>
        <v>6.3467552775605937E-2</v>
      </c>
      <c r="P2941" s="6" t="s">
        <v>29</v>
      </c>
    </row>
    <row r="2942" spans="1:16" x14ac:dyDescent="0.25">
      <c r="A2942" s="2" t="s">
        <v>5953</v>
      </c>
      <c r="B2942" s="2" t="s">
        <v>5954</v>
      </c>
      <c r="C2942" s="2" t="s">
        <v>32</v>
      </c>
      <c r="D2942" s="3" t="s">
        <v>49</v>
      </c>
      <c r="E2942" s="3" t="s">
        <v>27</v>
      </c>
      <c r="F2942" s="2" t="s">
        <v>40</v>
      </c>
      <c r="G2942" s="4">
        <v>343571</v>
      </c>
      <c r="H2942" s="4">
        <v>81676</v>
      </c>
      <c r="I2942" s="4">
        <v>67602</v>
      </c>
      <c r="J2942" s="4">
        <v>5067</v>
      </c>
      <c r="K2942" s="4">
        <v>736</v>
      </c>
      <c r="L2942" s="4">
        <v>298</v>
      </c>
      <c r="M2942" s="4">
        <v>14</v>
      </c>
      <c r="N2942" s="4">
        <v>617</v>
      </c>
      <c r="O2942" s="5">
        <f t="shared" si="45"/>
        <v>9.0455903671489007E-2</v>
      </c>
      <c r="P2942" s="2" t="s">
        <v>66</v>
      </c>
    </row>
    <row r="2943" spans="1:16" x14ac:dyDescent="0.25">
      <c r="A2943" s="6" t="s">
        <v>5955</v>
      </c>
      <c r="B2943" s="6" t="s">
        <v>5956</v>
      </c>
      <c r="C2943" s="6" t="s">
        <v>76</v>
      </c>
      <c r="D2943" s="7" t="s">
        <v>103</v>
      </c>
      <c r="E2943" s="7" t="s">
        <v>50</v>
      </c>
      <c r="F2943" s="6" t="s">
        <v>78</v>
      </c>
      <c r="G2943" s="8">
        <v>759792</v>
      </c>
      <c r="H2943" s="8">
        <v>439381</v>
      </c>
      <c r="I2943" s="8">
        <v>346365</v>
      </c>
      <c r="J2943" s="8">
        <v>31001</v>
      </c>
      <c r="K2943" s="8">
        <v>1613</v>
      </c>
      <c r="L2943" s="8">
        <v>4286</v>
      </c>
      <c r="M2943" s="8">
        <v>4961</v>
      </c>
      <c r="N2943" s="8">
        <v>14746</v>
      </c>
      <c r="O2943" s="9">
        <f t="shared" si="45"/>
        <v>0.12085805436461536</v>
      </c>
      <c r="P2943" s="6" t="s">
        <v>22</v>
      </c>
    </row>
    <row r="2944" spans="1:16" x14ac:dyDescent="0.25">
      <c r="A2944" s="2" t="s">
        <v>5957</v>
      </c>
      <c r="B2944" s="2" t="s">
        <v>5958</v>
      </c>
      <c r="C2944" s="2" t="s">
        <v>18</v>
      </c>
      <c r="D2944" s="3" t="s">
        <v>19</v>
      </c>
      <c r="E2944" s="3" t="s">
        <v>45</v>
      </c>
      <c r="F2944" s="2" t="s">
        <v>73</v>
      </c>
      <c r="G2944" s="4">
        <v>727878</v>
      </c>
      <c r="H2944" s="4">
        <v>344806</v>
      </c>
      <c r="I2944" s="4">
        <v>242861</v>
      </c>
      <c r="J2944" s="4">
        <v>14513</v>
      </c>
      <c r="K2944" s="4">
        <v>2440</v>
      </c>
      <c r="L2944" s="4">
        <v>1103</v>
      </c>
      <c r="M2944" s="4">
        <v>3436</v>
      </c>
      <c r="N2944" s="4">
        <v>9998</v>
      </c>
      <c r="O2944" s="5">
        <f t="shared" si="45"/>
        <v>8.8495065078378163E-2</v>
      </c>
      <c r="P2944" s="2" t="s">
        <v>22</v>
      </c>
    </row>
    <row r="2945" spans="1:16" x14ac:dyDescent="0.25">
      <c r="A2945" s="6" t="s">
        <v>5959</v>
      </c>
      <c r="B2945" s="6" t="s">
        <v>5960</v>
      </c>
      <c r="C2945" s="6" t="s">
        <v>43</v>
      </c>
      <c r="D2945" s="7" t="s">
        <v>172</v>
      </c>
      <c r="E2945" s="7" t="s">
        <v>39</v>
      </c>
      <c r="F2945" s="6" t="s">
        <v>46</v>
      </c>
      <c r="G2945" s="8">
        <v>83154</v>
      </c>
      <c r="H2945" s="8">
        <v>6674</v>
      </c>
      <c r="I2945" s="8">
        <v>5252</v>
      </c>
      <c r="J2945" s="8">
        <v>396</v>
      </c>
      <c r="K2945" s="8">
        <v>57</v>
      </c>
      <c r="L2945" s="8">
        <v>57</v>
      </c>
      <c r="M2945" s="8">
        <v>6</v>
      </c>
      <c r="N2945" s="8">
        <v>157</v>
      </c>
      <c r="O2945" s="9">
        <f t="shared" si="45"/>
        <v>9.8248286367098245E-2</v>
      </c>
      <c r="P2945" s="6" t="s">
        <v>22</v>
      </c>
    </row>
    <row r="2946" spans="1:16" x14ac:dyDescent="0.25">
      <c r="A2946" s="2" t="s">
        <v>5961</v>
      </c>
      <c r="B2946" s="2" t="s">
        <v>5962</v>
      </c>
      <c r="C2946" s="2" t="s">
        <v>25</v>
      </c>
      <c r="D2946" s="3" t="s">
        <v>244</v>
      </c>
      <c r="E2946" s="3" t="s">
        <v>39</v>
      </c>
      <c r="F2946" s="2" t="s">
        <v>54</v>
      </c>
      <c r="G2946" s="4">
        <v>382663</v>
      </c>
      <c r="H2946" s="4">
        <v>89929</v>
      </c>
      <c r="I2946" s="4">
        <v>77599</v>
      </c>
      <c r="J2946" s="4">
        <v>4491</v>
      </c>
      <c r="K2946" s="4">
        <v>480</v>
      </c>
      <c r="L2946" s="4">
        <v>418</v>
      </c>
      <c r="M2946" s="4">
        <v>349</v>
      </c>
      <c r="N2946" s="4">
        <v>2034</v>
      </c>
      <c r="O2946" s="5">
        <f t="shared" ref="O2946:O3001" si="46">IF(I2946&gt;0, (J2946+K2946+L2946+M2946)/I2946, 0)</f>
        <v>7.3944251858915705E-2</v>
      </c>
      <c r="P2946" s="2" t="s">
        <v>29</v>
      </c>
    </row>
    <row r="2947" spans="1:16" x14ac:dyDescent="0.25">
      <c r="A2947" s="6" t="s">
        <v>5963</v>
      </c>
      <c r="B2947" s="6" t="s">
        <v>5964</v>
      </c>
      <c r="C2947" s="6" t="s">
        <v>76</v>
      </c>
      <c r="D2947" s="7" t="s">
        <v>77</v>
      </c>
      <c r="E2947" s="7" t="s">
        <v>20</v>
      </c>
      <c r="F2947" s="6" t="s">
        <v>78</v>
      </c>
      <c r="G2947" s="8">
        <v>49436</v>
      </c>
      <c r="H2947" s="8">
        <v>24696</v>
      </c>
      <c r="I2947" s="8">
        <v>19684</v>
      </c>
      <c r="J2947" s="8">
        <v>1831</v>
      </c>
      <c r="K2947" s="8">
        <v>282</v>
      </c>
      <c r="L2947" s="8">
        <v>142</v>
      </c>
      <c r="M2947" s="8">
        <v>317</v>
      </c>
      <c r="N2947" s="8">
        <v>164</v>
      </c>
      <c r="O2947" s="9">
        <f t="shared" si="46"/>
        <v>0.13066449908555172</v>
      </c>
      <c r="P2947" s="6" t="s">
        <v>22</v>
      </c>
    </row>
    <row r="2948" spans="1:16" x14ac:dyDescent="0.25">
      <c r="A2948" s="2" t="s">
        <v>5965</v>
      </c>
      <c r="B2948" s="2" t="s">
        <v>5966</v>
      </c>
      <c r="C2948" s="2" t="s">
        <v>32</v>
      </c>
      <c r="D2948" s="3" t="s">
        <v>33</v>
      </c>
      <c r="E2948" s="3" t="s">
        <v>20</v>
      </c>
      <c r="F2948" s="2" t="s">
        <v>128</v>
      </c>
      <c r="G2948" s="4">
        <v>267217</v>
      </c>
      <c r="H2948" s="4">
        <v>160783</v>
      </c>
      <c r="I2948" s="4">
        <v>129529</v>
      </c>
      <c r="J2948" s="4">
        <v>10643</v>
      </c>
      <c r="K2948" s="4">
        <v>819</v>
      </c>
      <c r="L2948" s="4">
        <v>1497</v>
      </c>
      <c r="M2948" s="4">
        <v>18</v>
      </c>
      <c r="N2948" s="4">
        <v>2171</v>
      </c>
      <c r="O2948" s="5">
        <f t="shared" si="46"/>
        <v>0.10018605872044098</v>
      </c>
      <c r="P2948" s="2" t="s">
        <v>29</v>
      </c>
    </row>
    <row r="2949" spans="1:16" x14ac:dyDescent="0.25">
      <c r="A2949" s="6" t="s">
        <v>5967</v>
      </c>
      <c r="B2949" s="6" t="s">
        <v>5968</v>
      </c>
      <c r="C2949" s="6" t="s">
        <v>25</v>
      </c>
      <c r="D2949" s="7" t="s">
        <v>61</v>
      </c>
      <c r="E2949" s="7" t="s">
        <v>27</v>
      </c>
      <c r="F2949" s="6" t="s">
        <v>28</v>
      </c>
      <c r="G2949" s="8">
        <v>768277</v>
      </c>
      <c r="H2949" s="8">
        <v>211514</v>
      </c>
      <c r="I2949" s="8">
        <v>190819</v>
      </c>
      <c r="J2949" s="8">
        <v>6859</v>
      </c>
      <c r="K2949" s="8">
        <v>505</v>
      </c>
      <c r="L2949" s="8">
        <v>315</v>
      </c>
      <c r="M2949" s="8">
        <v>415</v>
      </c>
      <c r="N2949" s="8">
        <v>1932</v>
      </c>
      <c r="O2949" s="9">
        <f t="shared" si="46"/>
        <v>4.2417159716799692E-2</v>
      </c>
      <c r="P2949" s="6" t="s">
        <v>22</v>
      </c>
    </row>
    <row r="2950" spans="1:16" x14ac:dyDescent="0.25">
      <c r="A2950" s="2" t="s">
        <v>5969</v>
      </c>
      <c r="B2950" s="2" t="s">
        <v>5970</v>
      </c>
      <c r="C2950" s="2" t="s">
        <v>76</v>
      </c>
      <c r="D2950" s="3" t="s">
        <v>182</v>
      </c>
      <c r="E2950" s="3" t="s">
        <v>45</v>
      </c>
      <c r="F2950" s="2" t="s">
        <v>78</v>
      </c>
      <c r="G2950" s="4">
        <v>696113</v>
      </c>
      <c r="H2950" s="4">
        <v>160021</v>
      </c>
      <c r="I2950" s="4">
        <v>113458</v>
      </c>
      <c r="J2950" s="4">
        <v>6715</v>
      </c>
      <c r="K2950" s="4">
        <v>951</v>
      </c>
      <c r="L2950" s="4">
        <v>346</v>
      </c>
      <c r="M2950" s="4">
        <v>1672</v>
      </c>
      <c r="N2950" s="4">
        <v>5251</v>
      </c>
      <c r="O2950" s="5">
        <f t="shared" si="46"/>
        <v>8.5353170336159634E-2</v>
      </c>
      <c r="P2950" s="2" t="s">
        <v>22</v>
      </c>
    </row>
    <row r="2951" spans="1:16" x14ac:dyDescent="0.25">
      <c r="A2951" s="6" t="s">
        <v>5971</v>
      </c>
      <c r="B2951" s="6" t="s">
        <v>5972</v>
      </c>
      <c r="C2951" s="6" t="s">
        <v>25</v>
      </c>
      <c r="D2951" s="7" t="s">
        <v>64</v>
      </c>
      <c r="E2951" s="7" t="s">
        <v>50</v>
      </c>
      <c r="F2951" s="6" t="s">
        <v>146</v>
      </c>
      <c r="G2951" s="8">
        <v>789919</v>
      </c>
      <c r="H2951" s="8">
        <v>82316</v>
      </c>
      <c r="I2951" s="8">
        <v>70362</v>
      </c>
      <c r="J2951" s="8">
        <v>6173</v>
      </c>
      <c r="K2951" s="8">
        <v>605</v>
      </c>
      <c r="L2951" s="8">
        <v>562</v>
      </c>
      <c r="M2951" s="8">
        <v>1318</v>
      </c>
      <c r="N2951" s="8">
        <v>2466</v>
      </c>
      <c r="O2951" s="9">
        <f t="shared" si="46"/>
        <v>0.12304937324123817</v>
      </c>
      <c r="P2951" s="6" t="s">
        <v>22</v>
      </c>
    </row>
    <row r="2952" spans="1:16" x14ac:dyDescent="0.25">
      <c r="A2952" s="2" t="s">
        <v>5973</v>
      </c>
      <c r="B2952" s="2" t="s">
        <v>5974</v>
      </c>
      <c r="C2952" s="2" t="s">
        <v>32</v>
      </c>
      <c r="D2952" s="3" t="s">
        <v>175</v>
      </c>
      <c r="E2952" s="3" t="s">
        <v>39</v>
      </c>
      <c r="F2952" s="2" t="s">
        <v>51</v>
      </c>
      <c r="G2952" s="4">
        <v>599115</v>
      </c>
      <c r="H2952" s="4">
        <v>122969</v>
      </c>
      <c r="I2952" s="4">
        <v>111200</v>
      </c>
      <c r="J2952" s="4">
        <v>5862</v>
      </c>
      <c r="K2952" s="4">
        <v>734</v>
      </c>
      <c r="L2952" s="4">
        <v>514</v>
      </c>
      <c r="M2952" s="4">
        <v>43</v>
      </c>
      <c r="N2952" s="4">
        <v>928</v>
      </c>
      <c r="O2952" s="5">
        <f t="shared" si="46"/>
        <v>6.432553956834533E-2</v>
      </c>
      <c r="P2952" s="2" t="s">
        <v>29</v>
      </c>
    </row>
    <row r="2953" spans="1:16" x14ac:dyDescent="0.25">
      <c r="A2953" s="6" t="s">
        <v>5975</v>
      </c>
      <c r="B2953" s="6" t="s">
        <v>5976</v>
      </c>
      <c r="C2953" s="6" t="s">
        <v>76</v>
      </c>
      <c r="D2953" s="7" t="s">
        <v>86</v>
      </c>
      <c r="E2953" s="7" t="s">
        <v>20</v>
      </c>
      <c r="F2953" s="6" t="s">
        <v>155</v>
      </c>
      <c r="G2953" s="8">
        <v>421004</v>
      </c>
      <c r="H2953" s="8">
        <v>196843</v>
      </c>
      <c r="I2953" s="8">
        <v>171150</v>
      </c>
      <c r="J2953" s="8">
        <v>5595</v>
      </c>
      <c r="K2953" s="8">
        <v>872</v>
      </c>
      <c r="L2953" s="8">
        <v>688</v>
      </c>
      <c r="M2953" s="8">
        <v>782</v>
      </c>
      <c r="N2953" s="8">
        <v>6197</v>
      </c>
      <c r="O2953" s="9">
        <f t="shared" si="46"/>
        <v>4.6374525270230789E-2</v>
      </c>
      <c r="P2953" s="6" t="s">
        <v>22</v>
      </c>
    </row>
    <row r="2954" spans="1:16" x14ac:dyDescent="0.25">
      <c r="A2954" s="2" t="s">
        <v>5977</v>
      </c>
      <c r="B2954" s="2" t="s">
        <v>5978</v>
      </c>
      <c r="C2954" s="2" t="s">
        <v>76</v>
      </c>
      <c r="D2954" s="3" t="s">
        <v>77</v>
      </c>
      <c r="E2954" s="3" t="s">
        <v>27</v>
      </c>
      <c r="F2954" s="2" t="s">
        <v>155</v>
      </c>
      <c r="G2954" s="4">
        <v>368117</v>
      </c>
      <c r="H2954" s="4">
        <v>193172</v>
      </c>
      <c r="I2954" s="4">
        <v>143074</v>
      </c>
      <c r="J2954" s="4">
        <v>8391</v>
      </c>
      <c r="K2954" s="4">
        <v>996</v>
      </c>
      <c r="L2954" s="4">
        <v>784</v>
      </c>
      <c r="M2954" s="4">
        <v>1077</v>
      </c>
      <c r="N2954" s="4">
        <v>2740</v>
      </c>
      <c r="O2954" s="5">
        <f t="shared" si="46"/>
        <v>7.8616659910256237E-2</v>
      </c>
      <c r="P2954" s="2" t="s">
        <v>22</v>
      </c>
    </row>
    <row r="2955" spans="1:16" x14ac:dyDescent="0.25">
      <c r="A2955" s="6" t="s">
        <v>5979</v>
      </c>
      <c r="B2955" s="6" t="s">
        <v>5980</v>
      </c>
      <c r="C2955" s="6" t="s">
        <v>18</v>
      </c>
      <c r="D2955" s="7" t="s">
        <v>92</v>
      </c>
      <c r="E2955" s="7" t="s">
        <v>20</v>
      </c>
      <c r="F2955" s="6" t="s">
        <v>21</v>
      </c>
      <c r="G2955" s="8">
        <v>238931</v>
      </c>
      <c r="H2955" s="8">
        <v>105415</v>
      </c>
      <c r="I2955" s="8">
        <v>75536</v>
      </c>
      <c r="J2955" s="8">
        <v>4137</v>
      </c>
      <c r="K2955" s="8">
        <v>500</v>
      </c>
      <c r="L2955" s="8">
        <v>406</v>
      </c>
      <c r="M2955" s="8">
        <v>226</v>
      </c>
      <c r="N2955" s="8">
        <v>1131</v>
      </c>
      <c r="O2955" s="9">
        <f t="shared" si="46"/>
        <v>6.9754818894302059E-2</v>
      </c>
      <c r="P2955" s="6" t="s">
        <v>29</v>
      </c>
    </row>
    <row r="2956" spans="1:16" x14ac:dyDescent="0.25">
      <c r="A2956" s="2" t="s">
        <v>5981</v>
      </c>
      <c r="B2956" s="2" t="s">
        <v>5982</v>
      </c>
      <c r="C2956" s="2" t="s">
        <v>32</v>
      </c>
      <c r="D2956" s="3" t="s">
        <v>33</v>
      </c>
      <c r="E2956" s="3" t="s">
        <v>20</v>
      </c>
      <c r="F2956" s="2" t="s">
        <v>40</v>
      </c>
      <c r="G2956" s="4">
        <v>249498</v>
      </c>
      <c r="H2956" s="4">
        <v>110857</v>
      </c>
      <c r="I2956" s="4">
        <v>78198</v>
      </c>
      <c r="J2956" s="4">
        <v>7871</v>
      </c>
      <c r="K2956" s="4">
        <v>803</v>
      </c>
      <c r="L2956" s="4">
        <v>382</v>
      </c>
      <c r="M2956" s="4">
        <v>33</v>
      </c>
      <c r="N2956" s="4">
        <v>1167</v>
      </c>
      <c r="O2956" s="5">
        <f t="shared" si="46"/>
        <v>0.11623059413284227</v>
      </c>
      <c r="P2956" s="2" t="s">
        <v>22</v>
      </c>
    </row>
    <row r="2957" spans="1:16" x14ac:dyDescent="0.25">
      <c r="A2957" s="6" t="s">
        <v>5983</v>
      </c>
      <c r="B2957" s="6" t="s">
        <v>5984</v>
      </c>
      <c r="C2957" s="6" t="s">
        <v>43</v>
      </c>
      <c r="D2957" s="7" t="s">
        <v>81</v>
      </c>
      <c r="E2957" s="7" t="s">
        <v>20</v>
      </c>
      <c r="F2957" s="6" t="s">
        <v>107</v>
      </c>
      <c r="G2957" s="8">
        <v>317018</v>
      </c>
      <c r="H2957" s="8">
        <v>96053</v>
      </c>
      <c r="I2957" s="8">
        <v>79384</v>
      </c>
      <c r="J2957" s="8">
        <v>2908</v>
      </c>
      <c r="K2957" s="8">
        <v>507</v>
      </c>
      <c r="L2957" s="8">
        <v>195</v>
      </c>
      <c r="M2957" s="8">
        <v>22</v>
      </c>
      <c r="N2957" s="8">
        <v>2568</v>
      </c>
      <c r="O2957" s="9">
        <f t="shared" si="46"/>
        <v>4.575229265343142E-2</v>
      </c>
      <c r="P2957" s="6" t="s">
        <v>29</v>
      </c>
    </row>
    <row r="2958" spans="1:16" x14ac:dyDescent="0.25">
      <c r="A2958" s="2" t="s">
        <v>5985</v>
      </c>
      <c r="B2958" s="2" t="s">
        <v>5986</v>
      </c>
      <c r="C2958" s="2" t="s">
        <v>76</v>
      </c>
      <c r="D2958" s="3" t="s">
        <v>103</v>
      </c>
      <c r="E2958" s="3" t="s">
        <v>45</v>
      </c>
      <c r="F2958" s="2" t="s">
        <v>78</v>
      </c>
      <c r="G2958" s="4">
        <v>319942</v>
      </c>
      <c r="H2958" s="4">
        <v>126000</v>
      </c>
      <c r="I2958" s="4">
        <v>101818</v>
      </c>
      <c r="J2958" s="4">
        <v>3587</v>
      </c>
      <c r="K2958" s="4">
        <v>347</v>
      </c>
      <c r="L2958" s="4">
        <v>98</v>
      </c>
      <c r="M2958" s="4">
        <v>254</v>
      </c>
      <c r="N2958" s="4">
        <v>3381</v>
      </c>
      <c r="O2958" s="5">
        <f t="shared" si="46"/>
        <v>4.2094718026282188E-2</v>
      </c>
      <c r="P2958" s="2" t="s">
        <v>29</v>
      </c>
    </row>
    <row r="2959" spans="1:16" x14ac:dyDescent="0.25">
      <c r="A2959" s="6" t="s">
        <v>5987</v>
      </c>
      <c r="B2959" s="6" t="s">
        <v>5988</v>
      </c>
      <c r="C2959" s="6" t="s">
        <v>25</v>
      </c>
      <c r="D2959" s="7" t="s">
        <v>64</v>
      </c>
      <c r="E2959" s="7" t="s">
        <v>34</v>
      </c>
      <c r="F2959" s="6" t="s">
        <v>65</v>
      </c>
      <c r="G2959" s="8">
        <v>480926</v>
      </c>
      <c r="H2959" s="8">
        <v>206321</v>
      </c>
      <c r="I2959" s="8">
        <v>160057</v>
      </c>
      <c r="J2959" s="8">
        <v>7235</v>
      </c>
      <c r="K2959" s="8">
        <v>1190</v>
      </c>
      <c r="L2959" s="8">
        <v>706</v>
      </c>
      <c r="M2959" s="8">
        <v>1803</v>
      </c>
      <c r="N2959" s="8">
        <v>2523</v>
      </c>
      <c r="O2959" s="9">
        <f t="shared" si="46"/>
        <v>6.8313163435526097E-2</v>
      </c>
      <c r="P2959" s="6" t="s">
        <v>22</v>
      </c>
    </row>
    <row r="2960" spans="1:16" x14ac:dyDescent="0.25">
      <c r="A2960" s="2" t="s">
        <v>5989</v>
      </c>
      <c r="B2960" s="2" t="s">
        <v>5990</v>
      </c>
      <c r="C2960" s="2" t="s">
        <v>18</v>
      </c>
      <c r="D2960" s="3" t="s">
        <v>226</v>
      </c>
      <c r="E2960" s="3" t="s">
        <v>45</v>
      </c>
      <c r="F2960" s="2" t="s">
        <v>21</v>
      </c>
      <c r="G2960" s="4">
        <v>243202</v>
      </c>
      <c r="H2960" s="4">
        <v>37649</v>
      </c>
      <c r="I2960" s="4">
        <v>26913</v>
      </c>
      <c r="J2960" s="4">
        <v>2983</v>
      </c>
      <c r="K2960" s="4">
        <v>496</v>
      </c>
      <c r="L2960" s="4">
        <v>401</v>
      </c>
      <c r="M2960" s="4">
        <v>419</v>
      </c>
      <c r="N2960" s="4">
        <v>860</v>
      </c>
      <c r="O2960" s="5">
        <f t="shared" si="46"/>
        <v>0.15973693010812617</v>
      </c>
      <c r="P2960" s="2" t="s">
        <v>29</v>
      </c>
    </row>
    <row r="2961" spans="1:16" x14ac:dyDescent="0.25">
      <c r="A2961" s="6" t="s">
        <v>5991</v>
      </c>
      <c r="B2961" s="6" t="s">
        <v>5992</v>
      </c>
      <c r="C2961" s="6" t="s">
        <v>76</v>
      </c>
      <c r="D2961" s="7" t="s">
        <v>86</v>
      </c>
      <c r="E2961" s="7" t="s">
        <v>39</v>
      </c>
      <c r="F2961" s="6" t="s">
        <v>155</v>
      </c>
      <c r="G2961" s="8">
        <v>488313</v>
      </c>
      <c r="H2961" s="8">
        <v>54590</v>
      </c>
      <c r="I2961" s="8">
        <v>45505</v>
      </c>
      <c r="J2961" s="8">
        <v>3614</v>
      </c>
      <c r="K2961" s="8">
        <v>613</v>
      </c>
      <c r="L2961" s="8">
        <v>422</v>
      </c>
      <c r="M2961" s="8">
        <v>330</v>
      </c>
      <c r="N2961" s="8">
        <v>310</v>
      </c>
      <c r="O2961" s="9">
        <f t="shared" si="46"/>
        <v>0.10941654763212834</v>
      </c>
      <c r="P2961" s="6" t="s">
        <v>22</v>
      </c>
    </row>
    <row r="2962" spans="1:16" x14ac:dyDescent="0.25">
      <c r="A2962" s="2" t="s">
        <v>5993</v>
      </c>
      <c r="B2962" s="2" t="s">
        <v>5994</v>
      </c>
      <c r="C2962" s="2" t="s">
        <v>32</v>
      </c>
      <c r="D2962" s="3" t="s">
        <v>121</v>
      </c>
      <c r="E2962" s="3" t="s">
        <v>27</v>
      </c>
      <c r="F2962" s="2" t="s">
        <v>51</v>
      </c>
      <c r="G2962" s="4">
        <v>126315</v>
      </c>
      <c r="H2962" s="4">
        <v>45320</v>
      </c>
      <c r="I2962" s="4">
        <v>33323</v>
      </c>
      <c r="J2962" s="4">
        <v>3226</v>
      </c>
      <c r="K2962" s="4">
        <v>200</v>
      </c>
      <c r="L2962" s="4">
        <v>217</v>
      </c>
      <c r="M2962" s="4">
        <v>45</v>
      </c>
      <c r="N2962" s="4">
        <v>699</v>
      </c>
      <c r="O2962" s="5">
        <f t="shared" si="46"/>
        <v>0.1106743090358011</v>
      </c>
      <c r="P2962" s="2" t="s">
        <v>22</v>
      </c>
    </row>
    <row r="2963" spans="1:16" x14ac:dyDescent="0.25">
      <c r="A2963" s="6" t="s">
        <v>5995</v>
      </c>
      <c r="B2963" s="6" t="s">
        <v>5996</v>
      </c>
      <c r="C2963" s="6" t="s">
        <v>18</v>
      </c>
      <c r="D2963" s="7" t="s">
        <v>57</v>
      </c>
      <c r="E2963" s="7" t="s">
        <v>20</v>
      </c>
      <c r="F2963" s="6" t="s">
        <v>21</v>
      </c>
      <c r="G2963" s="8">
        <v>610730</v>
      </c>
      <c r="H2963" s="8">
        <v>257006</v>
      </c>
      <c r="I2963" s="8">
        <v>198346</v>
      </c>
      <c r="J2963" s="8">
        <v>14365</v>
      </c>
      <c r="K2963" s="8">
        <v>1688</v>
      </c>
      <c r="L2963" s="8">
        <v>1657</v>
      </c>
      <c r="M2963" s="8">
        <v>1591</v>
      </c>
      <c r="N2963" s="8">
        <v>3574</v>
      </c>
      <c r="O2963" s="9">
        <f t="shared" si="46"/>
        <v>9.7309751646113357E-2</v>
      </c>
      <c r="P2963" s="6" t="s">
        <v>29</v>
      </c>
    </row>
    <row r="2964" spans="1:16" x14ac:dyDescent="0.25">
      <c r="A2964" s="2" t="s">
        <v>5997</v>
      </c>
      <c r="B2964" s="2" t="s">
        <v>5998</v>
      </c>
      <c r="C2964" s="2" t="s">
        <v>32</v>
      </c>
      <c r="D2964" s="3" t="s">
        <v>121</v>
      </c>
      <c r="E2964" s="3" t="s">
        <v>20</v>
      </c>
      <c r="F2964" s="2" t="s">
        <v>35</v>
      </c>
      <c r="G2964" s="4">
        <v>800302</v>
      </c>
      <c r="H2964" s="4">
        <v>387892</v>
      </c>
      <c r="I2964" s="4">
        <v>286490</v>
      </c>
      <c r="J2964" s="4">
        <v>30131</v>
      </c>
      <c r="K2964" s="4">
        <v>5130</v>
      </c>
      <c r="L2964" s="4">
        <v>3617</v>
      </c>
      <c r="M2964" s="4">
        <v>22</v>
      </c>
      <c r="N2964" s="4">
        <v>8262</v>
      </c>
      <c r="O2964" s="5">
        <f t="shared" si="46"/>
        <v>0.13578135362490837</v>
      </c>
      <c r="P2964" s="2" t="s">
        <v>66</v>
      </c>
    </row>
    <row r="2965" spans="1:16" x14ac:dyDescent="0.25">
      <c r="A2965" s="6" t="s">
        <v>5999</v>
      </c>
      <c r="B2965" s="6" t="s">
        <v>6000</v>
      </c>
      <c r="C2965" s="6" t="s">
        <v>18</v>
      </c>
      <c r="D2965" s="7" t="s">
        <v>231</v>
      </c>
      <c r="E2965" s="7" t="s">
        <v>45</v>
      </c>
      <c r="F2965" s="6" t="s">
        <v>58</v>
      </c>
      <c r="G2965" s="8">
        <v>512213</v>
      </c>
      <c r="H2965" s="8">
        <v>134859</v>
      </c>
      <c r="I2965" s="8">
        <v>106471</v>
      </c>
      <c r="J2965" s="8">
        <v>5653</v>
      </c>
      <c r="K2965" s="8">
        <v>874</v>
      </c>
      <c r="L2965" s="8">
        <v>404</v>
      </c>
      <c r="M2965" s="8">
        <v>959</v>
      </c>
      <c r="N2965" s="8">
        <v>3806</v>
      </c>
      <c r="O2965" s="9">
        <f t="shared" si="46"/>
        <v>7.4104685782983154E-2</v>
      </c>
      <c r="P2965" s="6" t="s">
        <v>22</v>
      </c>
    </row>
    <row r="2966" spans="1:16" x14ac:dyDescent="0.25">
      <c r="A2966" s="2" t="s">
        <v>6001</v>
      </c>
      <c r="B2966" s="2" t="s">
        <v>6002</v>
      </c>
      <c r="C2966" s="2" t="s">
        <v>18</v>
      </c>
      <c r="D2966" s="3" t="s">
        <v>92</v>
      </c>
      <c r="E2966" s="3" t="s">
        <v>45</v>
      </c>
      <c r="F2966" s="2" t="s">
        <v>21</v>
      </c>
      <c r="G2966" s="4">
        <v>330720</v>
      </c>
      <c r="H2966" s="4">
        <v>191122</v>
      </c>
      <c r="I2966" s="4">
        <v>151143</v>
      </c>
      <c r="J2966" s="4">
        <v>9055</v>
      </c>
      <c r="K2966" s="4">
        <v>693</v>
      </c>
      <c r="L2966" s="4">
        <v>376</v>
      </c>
      <c r="M2966" s="4">
        <v>927</v>
      </c>
      <c r="N2966" s="4">
        <v>6445</v>
      </c>
      <c r="O2966" s="5">
        <f t="shared" si="46"/>
        <v>7.3116187980918734E-2</v>
      </c>
      <c r="P2966" s="2" t="s">
        <v>22</v>
      </c>
    </row>
    <row r="2967" spans="1:16" x14ac:dyDescent="0.25">
      <c r="A2967" s="6" t="s">
        <v>6003</v>
      </c>
      <c r="B2967" s="6" t="s">
        <v>6004</v>
      </c>
      <c r="C2967" s="6" t="s">
        <v>43</v>
      </c>
      <c r="D2967" s="7" t="s">
        <v>81</v>
      </c>
      <c r="E2967" s="7" t="s">
        <v>50</v>
      </c>
      <c r="F2967" s="6" t="s">
        <v>107</v>
      </c>
      <c r="G2967" s="8">
        <v>419234</v>
      </c>
      <c r="H2967" s="8">
        <v>35146</v>
      </c>
      <c r="I2967" s="8">
        <v>27615</v>
      </c>
      <c r="J2967" s="8">
        <v>1772</v>
      </c>
      <c r="K2967" s="8">
        <v>261</v>
      </c>
      <c r="L2967" s="8">
        <v>226</v>
      </c>
      <c r="M2967" s="8">
        <v>32</v>
      </c>
      <c r="N2967" s="8">
        <v>567</v>
      </c>
      <c r="O2967" s="9">
        <f t="shared" si="46"/>
        <v>8.2962158247329346E-2</v>
      </c>
      <c r="P2967" s="6" t="s">
        <v>29</v>
      </c>
    </row>
    <row r="2968" spans="1:16" x14ac:dyDescent="0.25">
      <c r="A2968" s="2" t="s">
        <v>6005</v>
      </c>
      <c r="B2968" s="2" t="s">
        <v>6006</v>
      </c>
      <c r="C2968" s="2" t="s">
        <v>32</v>
      </c>
      <c r="D2968" s="3" t="s">
        <v>38</v>
      </c>
      <c r="E2968" s="3" t="s">
        <v>34</v>
      </c>
      <c r="F2968" s="2" t="s">
        <v>51</v>
      </c>
      <c r="G2968" s="4">
        <v>31443</v>
      </c>
      <c r="H2968" s="4">
        <v>5345</v>
      </c>
      <c r="I2968" s="4">
        <v>3947</v>
      </c>
      <c r="J2968" s="4">
        <v>166</v>
      </c>
      <c r="K2968" s="4">
        <v>24</v>
      </c>
      <c r="L2968" s="4">
        <v>8</v>
      </c>
      <c r="M2968" s="4">
        <v>0</v>
      </c>
      <c r="N2968" s="4">
        <v>54</v>
      </c>
      <c r="O2968" s="5">
        <f t="shared" si="46"/>
        <v>5.0164682036990121E-2</v>
      </c>
      <c r="P2968" s="2" t="s">
        <v>29</v>
      </c>
    </row>
    <row r="2969" spans="1:16" x14ac:dyDescent="0.25">
      <c r="A2969" s="6" t="s">
        <v>6007</v>
      </c>
      <c r="B2969" s="6" t="s">
        <v>6008</v>
      </c>
      <c r="C2969" s="6" t="s">
        <v>32</v>
      </c>
      <c r="D2969" s="7" t="s">
        <v>49</v>
      </c>
      <c r="E2969" s="7" t="s">
        <v>39</v>
      </c>
      <c r="F2969" s="6" t="s">
        <v>35</v>
      </c>
      <c r="G2969" s="8">
        <v>257808</v>
      </c>
      <c r="H2969" s="8">
        <v>126273</v>
      </c>
      <c r="I2969" s="8">
        <v>102600</v>
      </c>
      <c r="J2969" s="8">
        <v>4522</v>
      </c>
      <c r="K2969" s="8">
        <v>714</v>
      </c>
      <c r="L2969" s="8">
        <v>460</v>
      </c>
      <c r="M2969" s="8">
        <v>20</v>
      </c>
      <c r="N2969" s="8">
        <v>3170</v>
      </c>
      <c r="O2969" s="9">
        <f t="shared" si="46"/>
        <v>5.5711500974658872E-2</v>
      </c>
      <c r="P2969" s="6" t="s">
        <v>22</v>
      </c>
    </row>
    <row r="2970" spans="1:16" x14ac:dyDescent="0.25">
      <c r="A2970" s="2" t="s">
        <v>6009</v>
      </c>
      <c r="B2970" s="2" t="s">
        <v>6010</v>
      </c>
      <c r="C2970" s="2" t="s">
        <v>43</v>
      </c>
      <c r="D2970" s="3" t="s">
        <v>172</v>
      </c>
      <c r="E2970" s="3" t="s">
        <v>20</v>
      </c>
      <c r="F2970" s="2" t="s">
        <v>107</v>
      </c>
      <c r="G2970" s="4">
        <v>575218</v>
      </c>
      <c r="H2970" s="4">
        <v>340306</v>
      </c>
      <c r="I2970" s="4">
        <v>263032</v>
      </c>
      <c r="J2970" s="4">
        <v>24441</v>
      </c>
      <c r="K2970" s="4">
        <v>1808</v>
      </c>
      <c r="L2970" s="4">
        <v>2424</v>
      </c>
      <c r="M2970" s="4">
        <v>38</v>
      </c>
      <c r="N2970" s="4">
        <v>8669</v>
      </c>
      <c r="O2970" s="5">
        <f t="shared" si="46"/>
        <v>0.10915401928282491</v>
      </c>
      <c r="P2970" s="2" t="s">
        <v>29</v>
      </c>
    </row>
    <row r="2971" spans="1:16" x14ac:dyDescent="0.25">
      <c r="A2971" s="6" t="s">
        <v>6011</v>
      </c>
      <c r="B2971" s="6" t="s">
        <v>6012</v>
      </c>
      <c r="C2971" s="6" t="s">
        <v>25</v>
      </c>
      <c r="D2971" s="7" t="s">
        <v>244</v>
      </c>
      <c r="E2971" s="7" t="s">
        <v>45</v>
      </c>
      <c r="F2971" s="6" t="s">
        <v>28</v>
      </c>
      <c r="G2971" s="8">
        <v>152606</v>
      </c>
      <c r="H2971" s="8">
        <v>74446</v>
      </c>
      <c r="I2971" s="8">
        <v>63241</v>
      </c>
      <c r="J2971" s="8">
        <v>1842</v>
      </c>
      <c r="K2971" s="8">
        <v>329</v>
      </c>
      <c r="L2971" s="8">
        <v>173</v>
      </c>
      <c r="M2971" s="8">
        <v>108</v>
      </c>
      <c r="N2971" s="8">
        <v>1596</v>
      </c>
      <c r="O2971" s="9">
        <f t="shared" si="46"/>
        <v>3.8772315428282286E-2</v>
      </c>
      <c r="P2971" s="6" t="s">
        <v>22</v>
      </c>
    </row>
    <row r="2972" spans="1:16" x14ac:dyDescent="0.25">
      <c r="A2972" s="2" t="s">
        <v>6013</v>
      </c>
      <c r="B2972" s="2" t="s">
        <v>6014</v>
      </c>
      <c r="C2972" s="2" t="s">
        <v>76</v>
      </c>
      <c r="D2972" s="3" t="s">
        <v>77</v>
      </c>
      <c r="E2972" s="3" t="s">
        <v>34</v>
      </c>
      <c r="F2972" s="2" t="s">
        <v>78</v>
      </c>
      <c r="G2972" s="4">
        <v>639234</v>
      </c>
      <c r="H2972" s="4">
        <v>127636</v>
      </c>
      <c r="I2972" s="4">
        <v>105197</v>
      </c>
      <c r="J2972" s="4">
        <v>7225</v>
      </c>
      <c r="K2972" s="4">
        <v>321</v>
      </c>
      <c r="L2972" s="4">
        <v>961</v>
      </c>
      <c r="M2972" s="4">
        <v>815</v>
      </c>
      <c r="N2972" s="4">
        <v>649</v>
      </c>
      <c r="O2972" s="5">
        <f t="shared" si="46"/>
        <v>8.8614694335389793E-2</v>
      </c>
      <c r="P2972" s="2" t="s">
        <v>29</v>
      </c>
    </row>
    <row r="2973" spans="1:16" x14ac:dyDescent="0.25">
      <c r="A2973" s="6" t="s">
        <v>6015</v>
      </c>
      <c r="B2973" s="6" t="s">
        <v>6016</v>
      </c>
      <c r="C2973" s="6" t="s">
        <v>32</v>
      </c>
      <c r="D2973" s="7" t="s">
        <v>175</v>
      </c>
      <c r="E2973" s="7" t="s">
        <v>27</v>
      </c>
      <c r="F2973" s="6" t="s">
        <v>35</v>
      </c>
      <c r="G2973" s="8">
        <v>682857</v>
      </c>
      <c r="H2973" s="8">
        <v>78603</v>
      </c>
      <c r="I2973" s="8">
        <v>61284</v>
      </c>
      <c r="J2973" s="8">
        <v>3886</v>
      </c>
      <c r="K2973" s="8">
        <v>569</v>
      </c>
      <c r="L2973" s="8">
        <v>182</v>
      </c>
      <c r="M2973" s="8">
        <v>43</v>
      </c>
      <c r="N2973" s="8">
        <v>2732</v>
      </c>
      <c r="O2973" s="9">
        <f t="shared" si="46"/>
        <v>7.6365772469159973E-2</v>
      </c>
      <c r="P2973" s="6" t="s">
        <v>22</v>
      </c>
    </row>
    <row r="2974" spans="1:16" x14ac:dyDescent="0.25">
      <c r="A2974" s="2" t="s">
        <v>6017</v>
      </c>
      <c r="B2974" s="2" t="s">
        <v>6018</v>
      </c>
      <c r="C2974" s="2" t="s">
        <v>76</v>
      </c>
      <c r="D2974" s="3" t="s">
        <v>103</v>
      </c>
      <c r="E2974" s="3" t="s">
        <v>20</v>
      </c>
      <c r="F2974" s="2" t="s">
        <v>87</v>
      </c>
      <c r="G2974" s="4">
        <v>711239</v>
      </c>
      <c r="H2974" s="4">
        <v>176253</v>
      </c>
      <c r="I2974" s="4">
        <v>157360</v>
      </c>
      <c r="J2974" s="4">
        <v>5502</v>
      </c>
      <c r="K2974" s="4">
        <v>682</v>
      </c>
      <c r="L2974" s="4">
        <v>788</v>
      </c>
      <c r="M2974" s="4">
        <v>627</v>
      </c>
      <c r="N2974" s="4">
        <v>3896</v>
      </c>
      <c r="O2974" s="5">
        <f t="shared" si="46"/>
        <v>4.8290543975597358E-2</v>
      </c>
      <c r="P2974" s="2" t="s">
        <v>29</v>
      </c>
    </row>
    <row r="2975" spans="1:16" x14ac:dyDescent="0.25">
      <c r="A2975" s="6" t="s">
        <v>6019</v>
      </c>
      <c r="B2975" s="6" t="s">
        <v>6020</v>
      </c>
      <c r="C2975" s="6" t="s">
        <v>18</v>
      </c>
      <c r="D2975" s="7" t="s">
        <v>226</v>
      </c>
      <c r="E2975" s="7" t="s">
        <v>45</v>
      </c>
      <c r="F2975" s="6" t="s">
        <v>58</v>
      </c>
      <c r="G2975" s="8">
        <v>328431</v>
      </c>
      <c r="H2975" s="8">
        <v>212102</v>
      </c>
      <c r="I2975" s="8">
        <v>176758</v>
      </c>
      <c r="J2975" s="8">
        <v>11543</v>
      </c>
      <c r="K2975" s="8">
        <v>1139</v>
      </c>
      <c r="L2975" s="8">
        <v>1483</v>
      </c>
      <c r="M2975" s="8">
        <v>2329</v>
      </c>
      <c r="N2975" s="8">
        <v>7305</v>
      </c>
      <c r="O2975" s="9">
        <f t="shared" si="46"/>
        <v>9.3314022561920812E-2</v>
      </c>
      <c r="P2975" s="6" t="s">
        <v>66</v>
      </c>
    </row>
    <row r="2976" spans="1:16" x14ac:dyDescent="0.25">
      <c r="A2976" s="2" t="s">
        <v>6021</v>
      </c>
      <c r="B2976" s="2" t="s">
        <v>6022</v>
      </c>
      <c r="C2976" s="2" t="s">
        <v>43</v>
      </c>
      <c r="D2976" s="3" t="s">
        <v>69</v>
      </c>
      <c r="E2976" s="3" t="s">
        <v>45</v>
      </c>
      <c r="F2976" s="2" t="s">
        <v>70</v>
      </c>
      <c r="G2976" s="4">
        <v>717380</v>
      </c>
      <c r="H2976" s="4">
        <v>428754</v>
      </c>
      <c r="I2976" s="4">
        <v>355493</v>
      </c>
      <c r="J2976" s="4">
        <v>11475</v>
      </c>
      <c r="K2976" s="4">
        <v>1653</v>
      </c>
      <c r="L2976" s="4">
        <v>1447</v>
      </c>
      <c r="M2976" s="4">
        <v>10</v>
      </c>
      <c r="N2976" s="4">
        <v>12654</v>
      </c>
      <c r="O2976" s="5">
        <f t="shared" si="46"/>
        <v>4.1027530781196815E-2</v>
      </c>
      <c r="P2976" s="2" t="s">
        <v>22</v>
      </c>
    </row>
    <row r="2977" spans="1:16" x14ac:dyDescent="0.25">
      <c r="A2977" s="6" t="s">
        <v>6023</v>
      </c>
      <c r="B2977" s="6" t="s">
        <v>6024</v>
      </c>
      <c r="C2977" s="6" t="s">
        <v>43</v>
      </c>
      <c r="D2977" s="7" t="s">
        <v>110</v>
      </c>
      <c r="E2977" s="7" t="s">
        <v>50</v>
      </c>
      <c r="F2977" s="6" t="s">
        <v>107</v>
      </c>
      <c r="G2977" s="8">
        <v>384696</v>
      </c>
      <c r="H2977" s="8">
        <v>65886</v>
      </c>
      <c r="I2977" s="8">
        <v>56803</v>
      </c>
      <c r="J2977" s="8">
        <v>4057</v>
      </c>
      <c r="K2977" s="8">
        <v>476</v>
      </c>
      <c r="L2977" s="8">
        <v>527</v>
      </c>
      <c r="M2977" s="8">
        <v>8</v>
      </c>
      <c r="N2977" s="8">
        <v>1151</v>
      </c>
      <c r="O2977" s="9">
        <f t="shared" si="46"/>
        <v>8.9220639754942516E-2</v>
      </c>
      <c r="P2977" s="6" t="s">
        <v>29</v>
      </c>
    </row>
    <row r="2978" spans="1:16" x14ac:dyDescent="0.25">
      <c r="A2978" s="2" t="s">
        <v>6025</v>
      </c>
      <c r="B2978" s="2" t="s">
        <v>6026</v>
      </c>
      <c r="C2978" s="2" t="s">
        <v>18</v>
      </c>
      <c r="D2978" s="3" t="s">
        <v>92</v>
      </c>
      <c r="E2978" s="3" t="s">
        <v>34</v>
      </c>
      <c r="F2978" s="2" t="s">
        <v>58</v>
      </c>
      <c r="G2978" s="4">
        <v>24356</v>
      </c>
      <c r="H2978" s="4">
        <v>10903</v>
      </c>
      <c r="I2978" s="4">
        <v>8650</v>
      </c>
      <c r="J2978" s="4">
        <v>230</v>
      </c>
      <c r="K2978" s="4">
        <v>12</v>
      </c>
      <c r="L2978" s="4">
        <v>11</v>
      </c>
      <c r="M2978" s="4">
        <v>48</v>
      </c>
      <c r="N2978" s="4">
        <v>269</v>
      </c>
      <c r="O2978" s="5">
        <f t="shared" si="46"/>
        <v>3.479768786127168E-2</v>
      </c>
      <c r="P2978" s="2" t="s">
        <v>22</v>
      </c>
    </row>
    <row r="2979" spans="1:16" x14ac:dyDescent="0.25">
      <c r="A2979" s="6" t="s">
        <v>6027</v>
      </c>
      <c r="B2979" s="6" t="s">
        <v>6028</v>
      </c>
      <c r="C2979" s="6" t="s">
        <v>32</v>
      </c>
      <c r="D2979" s="7" t="s">
        <v>33</v>
      </c>
      <c r="E2979" s="7" t="s">
        <v>34</v>
      </c>
      <c r="F2979" s="6" t="s">
        <v>40</v>
      </c>
      <c r="G2979" s="8">
        <v>821559</v>
      </c>
      <c r="H2979" s="8">
        <v>395353</v>
      </c>
      <c r="I2979" s="8">
        <v>299479</v>
      </c>
      <c r="J2979" s="8">
        <v>12524</v>
      </c>
      <c r="K2979" s="8">
        <v>1025</v>
      </c>
      <c r="L2979" s="8">
        <v>1283</v>
      </c>
      <c r="M2979" s="8">
        <v>27</v>
      </c>
      <c r="N2979" s="8">
        <v>4354</v>
      </c>
      <c r="O2979" s="9">
        <f t="shared" si="46"/>
        <v>4.9616166742910188E-2</v>
      </c>
      <c r="P2979" s="6" t="s">
        <v>22</v>
      </c>
    </row>
    <row r="2980" spans="1:16" x14ac:dyDescent="0.25">
      <c r="A2980" s="2" t="s">
        <v>6029</v>
      </c>
      <c r="B2980" s="2" t="s">
        <v>6030</v>
      </c>
      <c r="C2980" s="2" t="s">
        <v>18</v>
      </c>
      <c r="D2980" s="3" t="s">
        <v>92</v>
      </c>
      <c r="E2980" s="3" t="s">
        <v>45</v>
      </c>
      <c r="F2980" s="2" t="s">
        <v>21</v>
      </c>
      <c r="G2980" s="4">
        <v>257033</v>
      </c>
      <c r="H2980" s="4">
        <v>128315</v>
      </c>
      <c r="I2980" s="4">
        <v>104746</v>
      </c>
      <c r="J2980" s="4">
        <v>9269</v>
      </c>
      <c r="K2980" s="4">
        <v>435</v>
      </c>
      <c r="L2980" s="4">
        <v>806</v>
      </c>
      <c r="M2980" s="4">
        <v>1631</v>
      </c>
      <c r="N2980" s="4">
        <v>3191</v>
      </c>
      <c r="O2980" s="5">
        <f t="shared" si="46"/>
        <v>0.1159089607240372</v>
      </c>
      <c r="P2980" s="2" t="s">
        <v>29</v>
      </c>
    </row>
    <row r="2981" spans="1:16" x14ac:dyDescent="0.25">
      <c r="A2981" s="6" t="s">
        <v>6031</v>
      </c>
      <c r="B2981" s="6" t="s">
        <v>6032</v>
      </c>
      <c r="C2981" s="6" t="s">
        <v>25</v>
      </c>
      <c r="D2981" s="7" t="s">
        <v>64</v>
      </c>
      <c r="E2981" s="7" t="s">
        <v>39</v>
      </c>
      <c r="F2981" s="6" t="s">
        <v>28</v>
      </c>
      <c r="G2981" s="8">
        <v>703474</v>
      </c>
      <c r="H2981" s="8">
        <v>139867</v>
      </c>
      <c r="I2981" s="8">
        <v>106090</v>
      </c>
      <c r="J2981" s="8">
        <v>4193</v>
      </c>
      <c r="K2981" s="8">
        <v>177</v>
      </c>
      <c r="L2981" s="8">
        <v>577</v>
      </c>
      <c r="M2981" s="8">
        <v>220</v>
      </c>
      <c r="N2981" s="8">
        <v>2651</v>
      </c>
      <c r="O2981" s="9">
        <f t="shared" si="46"/>
        <v>4.8703930624941084E-2</v>
      </c>
      <c r="P2981" s="6" t="s">
        <v>29</v>
      </c>
    </row>
    <row r="2982" spans="1:16" x14ac:dyDescent="0.25">
      <c r="A2982" s="2" t="s">
        <v>6033</v>
      </c>
      <c r="B2982" s="2" t="s">
        <v>6034</v>
      </c>
      <c r="C2982" s="2" t="s">
        <v>32</v>
      </c>
      <c r="D2982" s="3" t="s">
        <v>33</v>
      </c>
      <c r="E2982" s="3" t="s">
        <v>39</v>
      </c>
      <c r="F2982" s="2" t="s">
        <v>51</v>
      </c>
      <c r="G2982" s="4">
        <v>260119</v>
      </c>
      <c r="H2982" s="4">
        <v>92765</v>
      </c>
      <c r="I2982" s="4">
        <v>77512</v>
      </c>
      <c r="J2982" s="4">
        <v>2083</v>
      </c>
      <c r="K2982" s="4">
        <v>222</v>
      </c>
      <c r="L2982" s="4">
        <v>60</v>
      </c>
      <c r="M2982" s="4">
        <v>43</v>
      </c>
      <c r="N2982" s="4">
        <v>3100</v>
      </c>
      <c r="O2982" s="5">
        <f t="shared" si="46"/>
        <v>3.1066157498193827E-2</v>
      </c>
      <c r="P2982" s="2" t="s">
        <v>22</v>
      </c>
    </row>
    <row r="2983" spans="1:16" x14ac:dyDescent="0.25">
      <c r="A2983" s="6" t="s">
        <v>6035</v>
      </c>
      <c r="B2983" s="6" t="s">
        <v>6036</v>
      </c>
      <c r="C2983" s="6" t="s">
        <v>76</v>
      </c>
      <c r="D2983" s="7" t="s">
        <v>103</v>
      </c>
      <c r="E2983" s="7" t="s">
        <v>50</v>
      </c>
      <c r="F2983" s="6" t="s">
        <v>78</v>
      </c>
      <c r="G2983" s="8">
        <v>693311</v>
      </c>
      <c r="H2983" s="8">
        <v>150002</v>
      </c>
      <c r="I2983" s="8">
        <v>108704</v>
      </c>
      <c r="J2983" s="8">
        <v>7417</v>
      </c>
      <c r="K2983" s="8">
        <v>1086</v>
      </c>
      <c r="L2983" s="8">
        <v>898</v>
      </c>
      <c r="M2983" s="8">
        <v>516</v>
      </c>
      <c r="N2983" s="8">
        <v>4713</v>
      </c>
      <c r="O2983" s="9">
        <f t="shared" si="46"/>
        <v>9.1229393582572857E-2</v>
      </c>
      <c r="P2983" s="6" t="s">
        <v>22</v>
      </c>
    </row>
    <row r="2984" spans="1:16" x14ac:dyDescent="0.25">
      <c r="A2984" s="2" t="s">
        <v>6037</v>
      </c>
      <c r="B2984" s="2" t="s">
        <v>6038</v>
      </c>
      <c r="C2984" s="2" t="s">
        <v>76</v>
      </c>
      <c r="D2984" s="3" t="s">
        <v>103</v>
      </c>
      <c r="E2984" s="3" t="s">
        <v>20</v>
      </c>
      <c r="F2984" s="2" t="s">
        <v>78</v>
      </c>
      <c r="G2984" s="4">
        <v>654879</v>
      </c>
      <c r="H2984" s="4">
        <v>57937</v>
      </c>
      <c r="I2984" s="4">
        <v>51588</v>
      </c>
      <c r="J2984" s="4">
        <v>1806</v>
      </c>
      <c r="K2984" s="4">
        <v>134</v>
      </c>
      <c r="L2984" s="4">
        <v>67</v>
      </c>
      <c r="M2984" s="4">
        <v>366</v>
      </c>
      <c r="N2984" s="4">
        <v>1156</v>
      </c>
      <c r="O2984" s="5">
        <f t="shared" si="46"/>
        <v>4.5999069551058383E-2</v>
      </c>
      <c r="P2984" s="2" t="s">
        <v>29</v>
      </c>
    </row>
    <row r="2985" spans="1:16" x14ac:dyDescent="0.25">
      <c r="A2985" s="6" t="s">
        <v>6039</v>
      </c>
      <c r="B2985" s="6" t="s">
        <v>6040</v>
      </c>
      <c r="C2985" s="6" t="s">
        <v>76</v>
      </c>
      <c r="D2985" s="7" t="s">
        <v>86</v>
      </c>
      <c r="E2985" s="7" t="s">
        <v>39</v>
      </c>
      <c r="F2985" s="6" t="s">
        <v>104</v>
      </c>
      <c r="G2985" s="8">
        <v>711300</v>
      </c>
      <c r="H2985" s="8">
        <v>161282</v>
      </c>
      <c r="I2985" s="8">
        <v>147916</v>
      </c>
      <c r="J2985" s="8">
        <v>12007</v>
      </c>
      <c r="K2985" s="8">
        <v>1872</v>
      </c>
      <c r="L2985" s="8">
        <v>1393</v>
      </c>
      <c r="M2985" s="8">
        <v>1736</v>
      </c>
      <c r="N2985" s="8">
        <v>1631</v>
      </c>
      <c r="O2985" s="9">
        <f t="shared" si="46"/>
        <v>0.11498418021038968</v>
      </c>
      <c r="P2985" s="6" t="s">
        <v>29</v>
      </c>
    </row>
    <row r="2986" spans="1:16" x14ac:dyDescent="0.25">
      <c r="A2986" s="2" t="s">
        <v>6041</v>
      </c>
      <c r="B2986" s="2" t="s">
        <v>6042</v>
      </c>
      <c r="C2986" s="2" t="s">
        <v>25</v>
      </c>
      <c r="D2986" s="3" t="s">
        <v>64</v>
      </c>
      <c r="E2986" s="3" t="s">
        <v>50</v>
      </c>
      <c r="F2986" s="2" t="s">
        <v>54</v>
      </c>
      <c r="G2986" s="4">
        <v>246443</v>
      </c>
      <c r="H2986" s="4">
        <v>42653</v>
      </c>
      <c r="I2986" s="4">
        <v>30296</v>
      </c>
      <c r="J2986" s="4">
        <v>2460</v>
      </c>
      <c r="K2986" s="4">
        <v>197</v>
      </c>
      <c r="L2986" s="4">
        <v>99</v>
      </c>
      <c r="M2986" s="4">
        <v>593</v>
      </c>
      <c r="N2986" s="4">
        <v>1094</v>
      </c>
      <c r="O2986" s="5">
        <f t="shared" si="46"/>
        <v>0.11054264589384737</v>
      </c>
      <c r="P2986" s="2" t="s">
        <v>29</v>
      </c>
    </row>
    <row r="2987" spans="1:16" x14ac:dyDescent="0.25">
      <c r="A2987" s="6" t="s">
        <v>6043</v>
      </c>
      <c r="B2987" s="6" t="s">
        <v>6044</v>
      </c>
      <c r="C2987" s="6" t="s">
        <v>25</v>
      </c>
      <c r="D2987" s="7" t="s">
        <v>145</v>
      </c>
      <c r="E2987" s="7" t="s">
        <v>34</v>
      </c>
      <c r="F2987" s="6" t="s">
        <v>65</v>
      </c>
      <c r="G2987" s="8">
        <v>476124</v>
      </c>
      <c r="H2987" s="8">
        <v>828904</v>
      </c>
      <c r="I2987" s="8">
        <v>588175</v>
      </c>
      <c r="J2987" s="8">
        <v>23386</v>
      </c>
      <c r="K2987" s="8">
        <v>1072</v>
      </c>
      <c r="L2987" s="8">
        <v>871</v>
      </c>
      <c r="M2987" s="8">
        <v>1215</v>
      </c>
      <c r="N2987" s="8">
        <v>25027</v>
      </c>
      <c r="O2987" s="9">
        <f t="shared" si="46"/>
        <v>4.5129425766141026E-2</v>
      </c>
      <c r="P2987" s="6" t="s">
        <v>29</v>
      </c>
    </row>
    <row r="2988" spans="1:16" x14ac:dyDescent="0.25">
      <c r="A2988" s="2" t="s">
        <v>6045</v>
      </c>
      <c r="B2988" s="2" t="s">
        <v>6046</v>
      </c>
      <c r="C2988" s="2" t="s">
        <v>18</v>
      </c>
      <c r="D2988" s="3" t="s">
        <v>19</v>
      </c>
      <c r="E2988" s="3" t="s">
        <v>39</v>
      </c>
      <c r="F2988" s="2" t="s">
        <v>21</v>
      </c>
      <c r="G2988" s="4">
        <v>605472</v>
      </c>
      <c r="H2988" s="4">
        <v>309470</v>
      </c>
      <c r="I2988" s="4">
        <v>277130</v>
      </c>
      <c r="J2988" s="4">
        <v>12366</v>
      </c>
      <c r="K2988" s="4">
        <v>1545</v>
      </c>
      <c r="L2988" s="4">
        <v>408</v>
      </c>
      <c r="M2988" s="4">
        <v>1211</v>
      </c>
      <c r="N2988" s="4">
        <v>3926</v>
      </c>
      <c r="O2988" s="5">
        <f t="shared" si="46"/>
        <v>5.6038682206906505E-2</v>
      </c>
      <c r="P2988" s="2" t="s">
        <v>29</v>
      </c>
    </row>
    <row r="2989" spans="1:16" x14ac:dyDescent="0.25">
      <c r="A2989" s="6" t="s">
        <v>6047</v>
      </c>
      <c r="B2989" s="6" t="s">
        <v>6048</v>
      </c>
      <c r="C2989" s="6" t="s">
        <v>43</v>
      </c>
      <c r="D2989" s="7" t="s">
        <v>110</v>
      </c>
      <c r="E2989" s="7" t="s">
        <v>34</v>
      </c>
      <c r="F2989" s="6" t="s">
        <v>107</v>
      </c>
      <c r="G2989" s="8">
        <v>141525</v>
      </c>
      <c r="H2989" s="8">
        <v>17986</v>
      </c>
      <c r="I2989" s="8">
        <v>14674</v>
      </c>
      <c r="J2989" s="8">
        <v>908</v>
      </c>
      <c r="K2989" s="8">
        <v>106</v>
      </c>
      <c r="L2989" s="8">
        <v>88</v>
      </c>
      <c r="M2989" s="8">
        <v>22</v>
      </c>
      <c r="N2989" s="8">
        <v>236</v>
      </c>
      <c r="O2989" s="9">
        <f t="shared" si="46"/>
        <v>7.65980646040616E-2</v>
      </c>
      <c r="P2989" s="6" t="s">
        <v>66</v>
      </c>
    </row>
    <row r="2990" spans="1:16" x14ac:dyDescent="0.25">
      <c r="A2990" s="2" t="s">
        <v>6049</v>
      </c>
      <c r="B2990" s="2" t="s">
        <v>6050</v>
      </c>
      <c r="C2990" s="2" t="s">
        <v>32</v>
      </c>
      <c r="D2990" s="3" t="s">
        <v>49</v>
      </c>
      <c r="E2990" s="3" t="s">
        <v>50</v>
      </c>
      <c r="F2990" s="2" t="s">
        <v>40</v>
      </c>
      <c r="G2990" s="4">
        <v>491340</v>
      </c>
      <c r="H2990" s="4">
        <v>223788</v>
      </c>
      <c r="I2990" s="4">
        <v>159362</v>
      </c>
      <c r="J2990" s="4">
        <v>11048</v>
      </c>
      <c r="K2990" s="4">
        <v>1635</v>
      </c>
      <c r="L2990" s="4">
        <v>661</v>
      </c>
      <c r="M2990" s="4">
        <v>8</v>
      </c>
      <c r="N2990" s="4">
        <v>5676</v>
      </c>
      <c r="O2990" s="5">
        <f t="shared" si="46"/>
        <v>8.3784089055107244E-2</v>
      </c>
      <c r="P2990" s="2" t="s">
        <v>22</v>
      </c>
    </row>
    <row r="2991" spans="1:16" x14ac:dyDescent="0.25">
      <c r="A2991" s="6" t="s">
        <v>6051</v>
      </c>
      <c r="B2991" s="6" t="s">
        <v>6052</v>
      </c>
      <c r="C2991" s="6" t="s">
        <v>18</v>
      </c>
      <c r="D2991" s="7" t="s">
        <v>92</v>
      </c>
      <c r="E2991" s="7" t="s">
        <v>34</v>
      </c>
      <c r="F2991" s="6" t="s">
        <v>58</v>
      </c>
      <c r="G2991" s="8">
        <v>405441</v>
      </c>
      <c r="H2991" s="8">
        <v>234185</v>
      </c>
      <c r="I2991" s="8">
        <v>177252</v>
      </c>
      <c r="J2991" s="8">
        <v>10594</v>
      </c>
      <c r="K2991" s="8">
        <v>1590</v>
      </c>
      <c r="L2991" s="8">
        <v>879</v>
      </c>
      <c r="M2991" s="8">
        <v>1624</v>
      </c>
      <c r="N2991" s="8">
        <v>6778</v>
      </c>
      <c r="O2991" s="9">
        <f t="shared" si="46"/>
        <v>8.2859431769458175E-2</v>
      </c>
      <c r="P2991" s="6" t="s">
        <v>29</v>
      </c>
    </row>
    <row r="2992" spans="1:16" x14ac:dyDescent="0.25">
      <c r="A2992" s="2" t="s">
        <v>6053</v>
      </c>
      <c r="B2992" s="2" t="s">
        <v>6054</v>
      </c>
      <c r="C2992" s="2" t="s">
        <v>43</v>
      </c>
      <c r="D2992" s="3" t="s">
        <v>172</v>
      </c>
      <c r="E2992" s="3" t="s">
        <v>27</v>
      </c>
      <c r="F2992" s="2" t="s">
        <v>107</v>
      </c>
      <c r="G2992" s="4">
        <v>838439</v>
      </c>
      <c r="H2992" s="4">
        <v>248158</v>
      </c>
      <c r="I2992" s="4">
        <v>222014</v>
      </c>
      <c r="J2992" s="4">
        <v>14051</v>
      </c>
      <c r="K2992" s="4">
        <v>2308</v>
      </c>
      <c r="L2992" s="4">
        <v>737</v>
      </c>
      <c r="M2992" s="4">
        <v>5</v>
      </c>
      <c r="N2992" s="4">
        <v>4781</v>
      </c>
      <c r="O2992" s="5">
        <f t="shared" si="46"/>
        <v>7.7026673993531941E-2</v>
      </c>
      <c r="P2992" s="2" t="s">
        <v>22</v>
      </c>
    </row>
    <row r="2993" spans="1:16" x14ac:dyDescent="0.25">
      <c r="A2993" s="6" t="s">
        <v>6055</v>
      </c>
      <c r="B2993" s="6" t="s">
        <v>6056</v>
      </c>
      <c r="C2993" s="6" t="s">
        <v>76</v>
      </c>
      <c r="D2993" s="7" t="s">
        <v>86</v>
      </c>
      <c r="E2993" s="7" t="s">
        <v>39</v>
      </c>
      <c r="F2993" s="6" t="s">
        <v>104</v>
      </c>
      <c r="G2993" s="8">
        <v>359260</v>
      </c>
      <c r="H2993" s="8">
        <v>73543</v>
      </c>
      <c r="I2993" s="8">
        <v>59370</v>
      </c>
      <c r="J2993" s="8">
        <v>3605</v>
      </c>
      <c r="K2993" s="8">
        <v>648</v>
      </c>
      <c r="L2993" s="8">
        <v>422</v>
      </c>
      <c r="M2993" s="8">
        <v>898</v>
      </c>
      <c r="N2993" s="8">
        <v>1995</v>
      </c>
      <c r="O2993" s="9">
        <f t="shared" si="46"/>
        <v>9.3868957385885132E-2</v>
      </c>
      <c r="P2993" s="6" t="s">
        <v>66</v>
      </c>
    </row>
    <row r="2994" spans="1:16" x14ac:dyDescent="0.25">
      <c r="A2994" s="2" t="s">
        <v>6057</v>
      </c>
      <c r="B2994" s="2" t="s">
        <v>6058</v>
      </c>
      <c r="C2994" s="2" t="s">
        <v>76</v>
      </c>
      <c r="D2994" s="3" t="s">
        <v>86</v>
      </c>
      <c r="E2994" s="3" t="s">
        <v>50</v>
      </c>
      <c r="F2994" s="2" t="s">
        <v>87</v>
      </c>
      <c r="G2994" s="4">
        <v>753886</v>
      </c>
      <c r="H2994" s="4">
        <v>286794</v>
      </c>
      <c r="I2994" s="4">
        <v>218110</v>
      </c>
      <c r="J2994" s="4">
        <v>7421</v>
      </c>
      <c r="K2994" s="4">
        <v>543</v>
      </c>
      <c r="L2994" s="4">
        <v>281</v>
      </c>
      <c r="M2994" s="4">
        <v>711</v>
      </c>
      <c r="N2994" s="4">
        <v>8875</v>
      </c>
      <c r="O2994" s="5">
        <f t="shared" si="46"/>
        <v>4.1061849525468798E-2</v>
      </c>
      <c r="P2994" s="2" t="s">
        <v>22</v>
      </c>
    </row>
    <row r="2995" spans="1:16" x14ac:dyDescent="0.25">
      <c r="A2995" s="6" t="s">
        <v>6059</v>
      </c>
      <c r="B2995" s="6" t="s">
        <v>6060</v>
      </c>
      <c r="C2995" s="6" t="s">
        <v>76</v>
      </c>
      <c r="D2995" s="7" t="s">
        <v>189</v>
      </c>
      <c r="E2995" s="7" t="s">
        <v>39</v>
      </c>
      <c r="F2995" s="6" t="s">
        <v>78</v>
      </c>
      <c r="G2995" s="8">
        <v>229553</v>
      </c>
      <c r="H2995" s="8">
        <v>24814</v>
      </c>
      <c r="I2995" s="8">
        <v>17653</v>
      </c>
      <c r="J2995" s="8">
        <v>1135</v>
      </c>
      <c r="K2995" s="8">
        <v>61</v>
      </c>
      <c r="L2995" s="8">
        <v>110</v>
      </c>
      <c r="M2995" s="8">
        <v>266</v>
      </c>
      <c r="N2995" s="8">
        <v>538</v>
      </c>
      <c r="O2995" s="9">
        <f t="shared" si="46"/>
        <v>8.9050019826658361E-2</v>
      </c>
      <c r="P2995" s="6" t="s">
        <v>29</v>
      </c>
    </row>
    <row r="2996" spans="1:16" x14ac:dyDescent="0.25">
      <c r="A2996" s="2" t="s">
        <v>6061</v>
      </c>
      <c r="B2996" s="2" t="s">
        <v>6062</v>
      </c>
      <c r="C2996" s="2" t="s">
        <v>18</v>
      </c>
      <c r="D2996" s="3" t="s">
        <v>19</v>
      </c>
      <c r="E2996" s="3" t="s">
        <v>34</v>
      </c>
      <c r="F2996" s="2" t="s">
        <v>21</v>
      </c>
      <c r="G2996" s="4">
        <v>559270</v>
      </c>
      <c r="H2996" s="4">
        <v>213519</v>
      </c>
      <c r="I2996" s="4">
        <v>171073</v>
      </c>
      <c r="J2996" s="4">
        <v>8835</v>
      </c>
      <c r="K2996" s="4">
        <v>1496</v>
      </c>
      <c r="L2996" s="4">
        <v>1201</v>
      </c>
      <c r="M2996" s="4">
        <v>1829</v>
      </c>
      <c r="N2996" s="4">
        <v>7276</v>
      </c>
      <c r="O2996" s="5">
        <f t="shared" si="46"/>
        <v>7.8101161492462282E-2</v>
      </c>
      <c r="P2996" s="2" t="s">
        <v>66</v>
      </c>
    </row>
    <row r="2997" spans="1:16" x14ac:dyDescent="0.25">
      <c r="A2997" s="6" t="s">
        <v>6063</v>
      </c>
      <c r="B2997" s="6" t="s">
        <v>6064</v>
      </c>
      <c r="C2997" s="6" t="s">
        <v>18</v>
      </c>
      <c r="D2997" s="7" t="s">
        <v>231</v>
      </c>
      <c r="E2997" s="7" t="s">
        <v>34</v>
      </c>
      <c r="F2997" s="6" t="s">
        <v>73</v>
      </c>
      <c r="G2997" s="8">
        <v>66397</v>
      </c>
      <c r="H2997" s="8">
        <v>18431</v>
      </c>
      <c r="I2997" s="8">
        <v>15188</v>
      </c>
      <c r="J2997" s="8">
        <v>1130</v>
      </c>
      <c r="K2997" s="8">
        <v>121</v>
      </c>
      <c r="L2997" s="8">
        <v>126</v>
      </c>
      <c r="M2997" s="8">
        <v>77</v>
      </c>
      <c r="N2997" s="8">
        <v>159</v>
      </c>
      <c r="O2997" s="9">
        <f t="shared" si="46"/>
        <v>9.5733473795101401E-2</v>
      </c>
      <c r="P2997" s="6" t="s">
        <v>22</v>
      </c>
    </row>
    <row r="2998" spans="1:16" x14ac:dyDescent="0.25">
      <c r="A2998" s="2" t="s">
        <v>6065</v>
      </c>
      <c r="B2998" s="2" t="s">
        <v>6066</v>
      </c>
      <c r="C2998" s="2" t="s">
        <v>43</v>
      </c>
      <c r="D2998" s="3" t="s">
        <v>81</v>
      </c>
      <c r="E2998" s="3" t="s">
        <v>39</v>
      </c>
      <c r="F2998" s="2" t="s">
        <v>107</v>
      </c>
      <c r="G2998" s="4">
        <v>590002</v>
      </c>
      <c r="H2998" s="4">
        <v>92568</v>
      </c>
      <c r="I2998" s="4">
        <v>64839</v>
      </c>
      <c r="J2998" s="4">
        <v>3268</v>
      </c>
      <c r="K2998" s="4">
        <v>196</v>
      </c>
      <c r="L2998" s="4">
        <v>455</v>
      </c>
      <c r="M2998" s="4">
        <v>47</v>
      </c>
      <c r="N2998" s="4">
        <v>2284</v>
      </c>
      <c r="O2998" s="5">
        <f t="shared" si="46"/>
        <v>6.1166890297506132E-2</v>
      </c>
      <c r="P2998" s="2" t="s">
        <v>66</v>
      </c>
    </row>
    <row r="2999" spans="1:16" x14ac:dyDescent="0.25">
      <c r="A2999" s="6" t="s">
        <v>6067</v>
      </c>
      <c r="B2999" s="6" t="s">
        <v>6068</v>
      </c>
      <c r="C2999" s="6" t="s">
        <v>25</v>
      </c>
      <c r="D2999" s="7" t="s">
        <v>64</v>
      </c>
      <c r="E2999" s="7" t="s">
        <v>50</v>
      </c>
      <c r="F2999" s="6" t="s">
        <v>65</v>
      </c>
      <c r="G2999" s="8">
        <v>749387</v>
      </c>
      <c r="H2999" s="8">
        <v>314442</v>
      </c>
      <c r="I2999" s="8">
        <v>263375</v>
      </c>
      <c r="J2999" s="8">
        <v>11390</v>
      </c>
      <c r="K2999" s="8">
        <v>1757</v>
      </c>
      <c r="L2999" s="8">
        <v>1518</v>
      </c>
      <c r="M2999" s="8">
        <v>2107</v>
      </c>
      <c r="N2999" s="8">
        <v>3607</v>
      </c>
      <c r="O2999" s="9">
        <f t="shared" si="46"/>
        <v>6.3681063122923584E-2</v>
      </c>
      <c r="P2999" s="6" t="s">
        <v>22</v>
      </c>
    </row>
    <row r="3000" spans="1:16" x14ac:dyDescent="0.25">
      <c r="A3000" s="2" t="s">
        <v>6069</v>
      </c>
      <c r="B3000" s="2" t="s">
        <v>6070</v>
      </c>
      <c r="C3000" s="2" t="s">
        <v>76</v>
      </c>
      <c r="D3000" s="3" t="s">
        <v>77</v>
      </c>
      <c r="E3000" s="3" t="s">
        <v>27</v>
      </c>
      <c r="F3000" s="2" t="s">
        <v>87</v>
      </c>
      <c r="G3000" s="4">
        <v>716253</v>
      </c>
      <c r="H3000" s="4">
        <v>368761</v>
      </c>
      <c r="I3000" s="4">
        <v>267185</v>
      </c>
      <c r="J3000" s="4">
        <v>11639</v>
      </c>
      <c r="K3000" s="4">
        <v>582</v>
      </c>
      <c r="L3000" s="4">
        <v>1213</v>
      </c>
      <c r="M3000" s="4">
        <v>590</v>
      </c>
      <c r="N3000" s="4">
        <v>7549</v>
      </c>
      <c r="O3000" s="5">
        <f t="shared" si="46"/>
        <v>5.2487976495686511E-2</v>
      </c>
      <c r="P3000" s="2" t="s">
        <v>29</v>
      </c>
    </row>
    <row r="3001" spans="1:16" x14ac:dyDescent="0.25">
      <c r="A3001" s="6" t="s">
        <v>6071</v>
      </c>
      <c r="B3001" s="6" t="s">
        <v>6072</v>
      </c>
      <c r="C3001" s="6" t="s">
        <v>32</v>
      </c>
      <c r="D3001" s="7" t="s">
        <v>33</v>
      </c>
      <c r="E3001" s="7" t="s">
        <v>20</v>
      </c>
      <c r="F3001" s="6" t="s">
        <v>128</v>
      </c>
      <c r="G3001" s="8">
        <v>512044</v>
      </c>
      <c r="H3001" s="8">
        <v>80471</v>
      </c>
      <c r="I3001" s="8">
        <v>62805</v>
      </c>
      <c r="J3001" s="8">
        <v>4600</v>
      </c>
      <c r="K3001" s="8">
        <v>510</v>
      </c>
      <c r="L3001" s="8">
        <v>443</v>
      </c>
      <c r="M3001" s="8">
        <v>38</v>
      </c>
      <c r="N3001" s="8">
        <v>2779</v>
      </c>
      <c r="O3001" s="9">
        <f t="shared" si="46"/>
        <v>8.9021574715388907E-2</v>
      </c>
      <c r="P3001" s="6" t="s">
        <v>22</v>
      </c>
    </row>
  </sheetData>
  <autoFilter ref="A1:P3001" xr:uid="{00000000-0009-0000-0000-000000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269F-2F3E-4F5E-94DB-64D65CADBA9B}">
  <dimension ref="I7:V39"/>
  <sheetViews>
    <sheetView tabSelected="1" zoomScale="96" zoomScaleNormal="96" workbookViewId="0">
      <selection activeCell="K25" sqref="K25"/>
    </sheetView>
  </sheetViews>
  <sheetFormatPr defaultRowHeight="15" x14ac:dyDescent="0.25"/>
  <cols>
    <col min="1" max="1" width="9.140625" customWidth="1"/>
  </cols>
  <sheetData>
    <row r="7" spans="17:17" x14ac:dyDescent="0.25">
      <c r="Q7" s="13"/>
    </row>
    <row r="26" spans="9:22" ht="27" x14ac:dyDescent="0.35">
      <c r="I26" s="14" t="s">
        <v>6083</v>
      </c>
    </row>
    <row r="27" spans="9:22" ht="16.5" x14ac:dyDescent="0.25">
      <c r="I27" s="15" t="s">
        <v>6078</v>
      </c>
    </row>
    <row r="28" spans="9:22" ht="16.5" x14ac:dyDescent="0.25">
      <c r="I28" s="15"/>
    </row>
    <row r="29" spans="9:22" ht="27" x14ac:dyDescent="0.35">
      <c r="I29" s="15" t="s">
        <v>6079</v>
      </c>
      <c r="J29" s="14"/>
    </row>
    <row r="30" spans="9:22" ht="16.5" x14ac:dyDescent="0.25">
      <c r="I30" s="15"/>
    </row>
    <row r="31" spans="9:22" ht="16.5" x14ac:dyDescent="0.3">
      <c r="I31" s="15" t="s">
        <v>6080</v>
      </c>
      <c r="J31" s="15"/>
      <c r="K31" s="16"/>
      <c r="L31" s="16"/>
      <c r="M31" s="16"/>
      <c r="N31" s="16"/>
      <c r="O31" s="16"/>
      <c r="P31" s="16"/>
      <c r="Q31" s="16"/>
      <c r="R31" s="16"/>
      <c r="S31" s="16"/>
      <c r="T31" s="16"/>
      <c r="U31" s="16"/>
      <c r="V31" s="16"/>
    </row>
    <row r="32" spans="9:22" ht="16.5" x14ac:dyDescent="0.3">
      <c r="I32" s="15"/>
      <c r="J32" s="17"/>
      <c r="K32" s="16"/>
      <c r="L32" s="16"/>
      <c r="M32" s="16"/>
      <c r="N32" s="16"/>
      <c r="O32" s="16"/>
      <c r="P32" s="16"/>
      <c r="Q32" s="16"/>
      <c r="R32" s="16"/>
      <c r="S32" s="16"/>
      <c r="T32" s="16"/>
      <c r="U32" s="16"/>
      <c r="V32" s="16"/>
    </row>
    <row r="33" spans="9:22" ht="16.5" x14ac:dyDescent="0.3">
      <c r="I33" s="15" t="s">
        <v>6081</v>
      </c>
      <c r="J33" s="15"/>
      <c r="K33" s="16"/>
      <c r="L33" s="16"/>
      <c r="M33" s="16"/>
      <c r="N33" s="16"/>
      <c r="O33" s="16"/>
      <c r="P33" s="16"/>
      <c r="Q33" s="16"/>
      <c r="R33" s="16"/>
      <c r="S33" s="16"/>
      <c r="T33" s="16"/>
      <c r="U33" s="16"/>
      <c r="V33" s="16"/>
    </row>
    <row r="34" spans="9:22" ht="16.5" x14ac:dyDescent="0.3">
      <c r="J34" s="17"/>
      <c r="K34" s="16"/>
      <c r="L34" s="16"/>
      <c r="M34" s="16"/>
      <c r="N34" s="16"/>
      <c r="O34" s="16"/>
      <c r="P34" s="16"/>
      <c r="Q34" s="16"/>
      <c r="R34" s="16"/>
      <c r="S34" s="16"/>
      <c r="T34" s="16"/>
      <c r="U34" s="16"/>
      <c r="V34" s="16"/>
    </row>
    <row r="35" spans="9:22" ht="16.5" x14ac:dyDescent="0.3">
      <c r="I35" s="15" t="s">
        <v>6082</v>
      </c>
      <c r="J35" s="15"/>
      <c r="K35" s="16"/>
      <c r="L35" s="16"/>
      <c r="M35" s="16"/>
      <c r="N35" s="16"/>
      <c r="O35" s="16"/>
      <c r="P35" s="16"/>
      <c r="Q35" s="16"/>
      <c r="R35" s="16"/>
      <c r="S35" s="16"/>
      <c r="T35" s="16"/>
      <c r="U35" s="16"/>
      <c r="V35" s="16"/>
    </row>
    <row r="36" spans="9:22" ht="16.5" x14ac:dyDescent="0.3">
      <c r="J36" s="17"/>
      <c r="K36" s="16"/>
      <c r="L36" s="16"/>
      <c r="M36" s="16"/>
      <c r="N36" s="16"/>
      <c r="O36" s="16"/>
      <c r="P36" s="16"/>
      <c r="Q36" s="16"/>
      <c r="R36" s="16"/>
      <c r="S36" s="16"/>
      <c r="T36" s="16"/>
      <c r="U36" s="16"/>
      <c r="V36" s="16"/>
    </row>
    <row r="37" spans="9:22" ht="16.5" x14ac:dyDescent="0.3">
      <c r="J37" s="15"/>
      <c r="K37" s="16"/>
      <c r="L37" s="16"/>
      <c r="M37" s="16"/>
      <c r="N37" s="16"/>
      <c r="O37" s="16"/>
      <c r="P37" s="16"/>
      <c r="Q37" s="16"/>
      <c r="R37" s="16"/>
      <c r="S37" s="16"/>
      <c r="T37" s="16"/>
      <c r="U37" s="16"/>
      <c r="V37" s="16"/>
    </row>
    <row r="38" spans="9:22" ht="16.5" x14ac:dyDescent="0.3">
      <c r="J38" s="17"/>
      <c r="K38" s="16"/>
      <c r="L38" s="16"/>
      <c r="M38" s="16"/>
      <c r="N38" s="16"/>
      <c r="O38" s="16"/>
      <c r="P38" s="16"/>
      <c r="Q38" s="16"/>
      <c r="R38" s="16"/>
      <c r="S38" s="16"/>
      <c r="T38" s="16"/>
      <c r="U38" s="16"/>
      <c r="V38" s="16"/>
    </row>
    <row r="39" spans="9:22" ht="16.5" x14ac:dyDescent="0.3">
      <c r="J39" s="15"/>
      <c r="K39" s="16"/>
      <c r="L39" s="16"/>
      <c r="M39" s="16"/>
      <c r="N39" s="16"/>
      <c r="O39" s="16"/>
      <c r="P39" s="16"/>
      <c r="Q39" s="16"/>
      <c r="R39" s="16"/>
      <c r="S39" s="16"/>
      <c r="T39" s="16"/>
      <c r="U39" s="16"/>
      <c r="V39"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Sheet4</vt:lpstr>
      <vt:lpstr>count of sentiment</vt:lpstr>
      <vt:lpstr>Sheet7</vt:lpstr>
      <vt:lpstr>Sheet12</vt:lpstr>
      <vt:lpstr>Sheet14</vt:lpstr>
      <vt:lpstr>Sheet15</vt:lpstr>
      <vt:lpstr>Sheet16</vt:lpstr>
      <vt:lpstr>Social Media Analytics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cchikkumbi@gmail.com</cp:lastModifiedBy>
  <dcterms:created xsi:type="dcterms:W3CDTF">2026-08-19T11:07:40Z</dcterms:created>
  <dcterms:modified xsi:type="dcterms:W3CDTF">2026-09-08T10:43:29Z</dcterms:modified>
</cp:coreProperties>
</file>